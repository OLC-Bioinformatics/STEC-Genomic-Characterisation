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hidePivotFieldList="1"/>
  <mc:AlternateContent xmlns:mc="http://schemas.openxmlformats.org/markup-compatibility/2006">
    <mc:Choice Requires="x15">
      <x15ac:absPath xmlns:x15ac="http://schemas.microsoft.com/office/spreadsheetml/2010/11/ac" url="/Users/noorshubair/Desktop/R_code_files/chapter3/"/>
    </mc:Choice>
  </mc:AlternateContent>
  <xr:revisionPtr revIDLastSave="0" documentId="13_ncr:1_{F691CF66-D3E6-9247-BD7D-FCF4AF27E000}" xr6:coauthVersionLast="47" xr6:coauthVersionMax="47" xr10:uidLastSave="{00000000-0000-0000-0000-000000000000}"/>
  <bookViews>
    <workbookView xWindow="0" yWindow="660" windowWidth="30240" windowHeight="17700" firstSheet="4" activeTab="6" xr2:uid="{00000000-000D-0000-FFFF-FFFF00000000}"/>
  </bookViews>
  <sheets>
    <sheet name="vtx_bysourcelamb" sheetId="12" r:id="rId1"/>
    <sheet name="vtx_bysource" sheetId="11" r:id="rId2"/>
    <sheet name="new_stx_by_source" sheetId="22" r:id="rId3"/>
    <sheet name="stx_pies_497" sheetId="23" r:id="rId4"/>
    <sheet name="Sheet14" sheetId="14" r:id="rId5"/>
    <sheet name="alldata" sheetId="1" r:id="rId6"/>
    <sheet name="alldata_newdb" sheetId="15" r:id="rId7"/>
    <sheet name="pivot_variant" sheetId="24" r:id="rId8"/>
    <sheet name="R_assocplot" sheetId="27" r:id="rId9"/>
    <sheet name="R_bubbleplot" sheetId="25" r:id="rId10"/>
    <sheet name="otype_by_source_pivot" sheetId="26" r:id="rId11"/>
    <sheet name="prjna454819" sheetId="21" r:id="rId12"/>
    <sheet name="serotype_bysource" sheetId="7" r:id="rId13"/>
    <sheet name="ter_pies_R" sheetId="2" r:id="rId14"/>
    <sheet name="stx_source_pies_R" sheetId="19" r:id="rId15"/>
    <sheet name="R_w_lamb" sheetId="20" r:id="rId16"/>
    <sheet name="Sheet6" sheetId="6" r:id="rId17"/>
    <sheet name="Sheet18" sheetId="18" r:id="rId18"/>
  </sheets>
  <definedNames>
    <definedName name="_xlnm._FilterDatabase" localSheetId="5" hidden="1">alldata!$A$1:$BE$589</definedName>
    <definedName name="_xlnm._FilterDatabase" localSheetId="6" hidden="1">alldata_newdb!$A$1:$BB$587</definedName>
    <definedName name="_xlnm._FilterDatabase" localSheetId="7" hidden="1">pivot_variant!$P:$P</definedName>
    <definedName name="_xlnm._FilterDatabase" localSheetId="11" hidden="1">prjna454819!$A$1:$O$498</definedName>
    <definedName name="_xlnm._FilterDatabase" localSheetId="12" hidden="1">serotype_bysource!#REF!</definedName>
    <definedName name="_xlnm._FilterDatabase" localSheetId="14" hidden="1">stx_source_pies_R!$A$1:$L$169</definedName>
    <definedName name="_xlnm._FilterDatabase" localSheetId="1" hidden="1">vtx_bysource!$A$1:$H$101</definedName>
    <definedName name="_xlnm.Extract" localSheetId="7">pivot_variant!$R$1</definedName>
    <definedName name="_xlnm.Extract" localSheetId="12">serotype_bysource!$K$1</definedName>
  </definedNames>
  <calcPr calcId="191029"/>
  <pivotCaches>
    <pivotCache cacheId="30" r:id="rId19"/>
    <pivotCache cacheId="31" r:id="rId20"/>
    <pivotCache cacheId="32" r:id="rId21"/>
    <pivotCache cacheId="33" r:id="rId22"/>
    <pivotCache cacheId="3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26" l="1"/>
  <c r="V17" i="26"/>
  <c r="V18" i="26" s="1"/>
  <c r="U17" i="26"/>
  <c r="S17" i="26"/>
  <c r="R17" i="26"/>
  <c r="Q17" i="26"/>
  <c r="P17" i="26"/>
  <c r="O17" i="26"/>
  <c r="V6" i="26"/>
  <c r="V7" i="26"/>
  <c r="V8" i="26"/>
  <c r="V9" i="26"/>
  <c r="V10" i="26"/>
  <c r="V11" i="26"/>
  <c r="V12" i="26"/>
  <c r="V13" i="26"/>
  <c r="V14" i="26"/>
  <c r="V15" i="26"/>
  <c r="V16" i="26"/>
  <c r="V5" i="26"/>
  <c r="U5" i="26"/>
  <c r="O6" i="26"/>
  <c r="P6" i="26"/>
  <c r="Q6" i="26"/>
  <c r="R6" i="26"/>
  <c r="S6" i="26"/>
  <c r="T6" i="26"/>
  <c r="U6" i="26"/>
  <c r="O7" i="26"/>
  <c r="P7" i="26"/>
  <c r="Q7" i="26"/>
  <c r="R7" i="26"/>
  <c r="S7" i="26"/>
  <c r="T7" i="26"/>
  <c r="U7" i="26"/>
  <c r="O8" i="26"/>
  <c r="P8" i="26"/>
  <c r="Q8" i="26"/>
  <c r="R8" i="26"/>
  <c r="S8" i="26"/>
  <c r="T8" i="26"/>
  <c r="U8" i="26"/>
  <c r="O9" i="26"/>
  <c r="P9" i="26"/>
  <c r="Q9" i="26"/>
  <c r="R9" i="26"/>
  <c r="S9" i="26"/>
  <c r="T9" i="26"/>
  <c r="U9" i="26"/>
  <c r="O10" i="26"/>
  <c r="P10" i="26"/>
  <c r="Q10" i="26"/>
  <c r="R10" i="26"/>
  <c r="S10" i="26"/>
  <c r="T10" i="26"/>
  <c r="U10" i="26"/>
  <c r="O11" i="26"/>
  <c r="P11" i="26"/>
  <c r="Q11" i="26"/>
  <c r="R11" i="26"/>
  <c r="S11" i="26"/>
  <c r="T11" i="26"/>
  <c r="U11" i="26"/>
  <c r="O12" i="26"/>
  <c r="P12" i="26"/>
  <c r="Q12" i="26"/>
  <c r="R12" i="26"/>
  <c r="S12" i="26"/>
  <c r="T12" i="26"/>
  <c r="U12" i="26"/>
  <c r="O13" i="26"/>
  <c r="P13" i="26"/>
  <c r="Q13" i="26"/>
  <c r="R13" i="26"/>
  <c r="S13" i="26"/>
  <c r="T13" i="26"/>
  <c r="U13" i="26"/>
  <c r="O14" i="26"/>
  <c r="P14" i="26"/>
  <c r="Q14" i="26"/>
  <c r="R14" i="26"/>
  <c r="S14" i="26"/>
  <c r="T14" i="26"/>
  <c r="U14" i="26"/>
  <c r="O15" i="26"/>
  <c r="P15" i="26"/>
  <c r="Q15" i="26"/>
  <c r="R15" i="26"/>
  <c r="S15" i="26"/>
  <c r="T15" i="26"/>
  <c r="U15" i="26"/>
  <c r="O16" i="26"/>
  <c r="P16" i="26"/>
  <c r="Q16" i="26"/>
  <c r="R16" i="26"/>
  <c r="S16" i="26"/>
  <c r="T16" i="26"/>
  <c r="U16" i="26"/>
  <c r="T5" i="26"/>
  <c r="S5" i="26"/>
  <c r="R5" i="26"/>
  <c r="Q5" i="26"/>
  <c r="P5" i="26"/>
  <c r="O5" i="26"/>
  <c r="O2" i="22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Z3" i="24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Z54" i="24"/>
  <c r="Z55" i="24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Y55" i="24"/>
  <c r="X3" i="24"/>
  <c r="X4" i="24"/>
  <c r="X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AA2" i="24"/>
  <c r="Z2" i="24"/>
  <c r="Y2" i="24"/>
  <c r="X2" i="24"/>
  <c r="V2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T3" i="24"/>
  <c r="T4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U2" i="24"/>
  <c r="T2" i="24"/>
  <c r="S2" i="24"/>
  <c r="K4" i="23"/>
  <c r="K5" i="23"/>
  <c r="K6" i="23" s="1"/>
  <c r="K7" i="23" s="1"/>
  <c r="K8" i="23" s="1"/>
  <c r="K9" i="23" s="1"/>
  <c r="K10" i="23" s="1"/>
  <c r="K11" i="23" s="1"/>
  <c r="K12" i="23" s="1"/>
  <c r="K13" i="23" s="1"/>
  <c r="K14" i="23" s="1"/>
  <c r="K3" i="23"/>
  <c r="I92" i="23"/>
  <c r="H92" i="23"/>
  <c r="I91" i="23"/>
  <c r="H91" i="23"/>
  <c r="I90" i="23"/>
  <c r="H90" i="23"/>
  <c r="I89" i="23"/>
  <c r="H89" i="23"/>
  <c r="I88" i="23"/>
  <c r="H88" i="23"/>
  <c r="I87" i="23"/>
  <c r="H87" i="23"/>
  <c r="I86" i="23"/>
  <c r="H86" i="23"/>
  <c r="I85" i="23"/>
  <c r="H85" i="23"/>
  <c r="I84" i="23"/>
  <c r="H84" i="23"/>
  <c r="I83" i="23"/>
  <c r="H83" i="23"/>
  <c r="I82" i="23"/>
  <c r="H82" i="23"/>
  <c r="I81" i="23"/>
  <c r="H81" i="23"/>
  <c r="I80" i="23"/>
  <c r="H80" i="23"/>
  <c r="I79" i="23"/>
  <c r="H79" i="23"/>
  <c r="I78" i="23"/>
  <c r="H78" i="23"/>
  <c r="I77" i="23"/>
  <c r="H77" i="23"/>
  <c r="I76" i="23"/>
  <c r="H76" i="23"/>
  <c r="I75" i="23"/>
  <c r="H75" i="23"/>
  <c r="I74" i="23"/>
  <c r="H74" i="23"/>
  <c r="I73" i="23"/>
  <c r="H73" i="23"/>
  <c r="I72" i="23"/>
  <c r="H72" i="23"/>
  <c r="I71" i="23"/>
  <c r="H71" i="23"/>
  <c r="I70" i="23"/>
  <c r="H70" i="23"/>
  <c r="I69" i="23"/>
  <c r="H69" i="23"/>
  <c r="I68" i="23"/>
  <c r="H68" i="23"/>
  <c r="I67" i="23"/>
  <c r="H67" i="23"/>
  <c r="I66" i="23"/>
  <c r="H66" i="23"/>
  <c r="I65" i="23"/>
  <c r="H65" i="23"/>
  <c r="I64" i="23"/>
  <c r="H64" i="23"/>
  <c r="I63" i="23"/>
  <c r="H63" i="23"/>
  <c r="I62" i="23"/>
  <c r="H62" i="23"/>
  <c r="I61" i="23"/>
  <c r="H61" i="23"/>
  <c r="I60" i="23"/>
  <c r="H60" i="23"/>
  <c r="I59" i="23"/>
  <c r="H59" i="23"/>
  <c r="I58" i="23"/>
  <c r="H58" i="23"/>
  <c r="I57" i="23"/>
  <c r="H57" i="23"/>
  <c r="I56" i="23"/>
  <c r="H56" i="23"/>
  <c r="I55" i="23"/>
  <c r="H55" i="23"/>
  <c r="I54" i="23"/>
  <c r="H54" i="23"/>
  <c r="I53" i="23"/>
  <c r="H53" i="23"/>
  <c r="I52" i="23"/>
  <c r="H52" i="23"/>
  <c r="I51" i="23"/>
  <c r="H51" i="23"/>
  <c r="I50" i="23"/>
  <c r="H50" i="23"/>
  <c r="I49" i="23"/>
  <c r="H49" i="23"/>
  <c r="I48" i="23"/>
  <c r="H48" i="23"/>
  <c r="I47" i="23"/>
  <c r="H47" i="23"/>
  <c r="I46" i="23"/>
  <c r="H46" i="23"/>
  <c r="I45" i="23"/>
  <c r="H45" i="23"/>
  <c r="I44" i="23"/>
  <c r="H44" i="23"/>
  <c r="I43" i="23"/>
  <c r="H43" i="23"/>
  <c r="I42" i="23"/>
  <c r="H42" i="23"/>
  <c r="I41" i="23"/>
  <c r="H41" i="23"/>
  <c r="I40" i="23"/>
  <c r="H40" i="23"/>
  <c r="I39" i="23"/>
  <c r="H39" i="23"/>
  <c r="I38" i="23"/>
  <c r="H38" i="23"/>
  <c r="I37" i="23"/>
  <c r="H37" i="23"/>
  <c r="I36" i="23"/>
  <c r="H36" i="23"/>
  <c r="I35" i="23"/>
  <c r="H35" i="23"/>
  <c r="I34" i="23"/>
  <c r="H34" i="23"/>
  <c r="I33" i="23"/>
  <c r="H33" i="23"/>
  <c r="I32" i="23"/>
  <c r="H32" i="23"/>
  <c r="I31" i="23"/>
  <c r="H31" i="23"/>
  <c r="I30" i="23"/>
  <c r="H30" i="23"/>
  <c r="I29" i="23"/>
  <c r="H29" i="23"/>
  <c r="I28" i="23"/>
  <c r="H28" i="23"/>
  <c r="I27" i="23"/>
  <c r="H27" i="23"/>
  <c r="I26" i="23"/>
  <c r="H26" i="23"/>
  <c r="I25" i="23"/>
  <c r="H25" i="23"/>
  <c r="I24" i="23"/>
  <c r="H24" i="23"/>
  <c r="I23" i="23"/>
  <c r="H23" i="23"/>
  <c r="I22" i="23"/>
  <c r="H22" i="23"/>
  <c r="I21" i="23"/>
  <c r="H21" i="23"/>
  <c r="I20" i="23"/>
  <c r="H20" i="23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I11" i="23"/>
  <c r="H11" i="23"/>
  <c r="I10" i="23"/>
  <c r="H10" i="23"/>
  <c r="I9" i="23"/>
  <c r="H9" i="23"/>
  <c r="I8" i="23"/>
  <c r="H8" i="23"/>
  <c r="I7" i="23"/>
  <c r="H7" i="23"/>
  <c r="I6" i="23"/>
  <c r="H6" i="23"/>
  <c r="I5" i="23"/>
  <c r="H5" i="23"/>
  <c r="I4" i="23"/>
  <c r="H4" i="23"/>
  <c r="I3" i="23"/>
  <c r="H3" i="23"/>
  <c r="I2" i="23"/>
  <c r="H2" i="23"/>
  <c r="W3" i="22" l="1"/>
  <c r="W4" i="22"/>
  <c r="W5" i="22"/>
  <c r="W6" i="22"/>
  <c r="W7" i="22"/>
  <c r="W8" i="22"/>
  <c r="W9" i="22"/>
  <c r="W10" i="22"/>
  <c r="W11" i="22"/>
  <c r="W12" i="22"/>
  <c r="W13" i="22"/>
  <c r="W14" i="22"/>
  <c r="W2" i="22"/>
  <c r="V2" i="22"/>
  <c r="O3" i="22"/>
  <c r="P3" i="22"/>
  <c r="Q3" i="22"/>
  <c r="R3" i="22"/>
  <c r="T3" i="22"/>
  <c r="U3" i="22"/>
  <c r="V3" i="22"/>
  <c r="O4" i="22"/>
  <c r="P4" i="22"/>
  <c r="Q4" i="22"/>
  <c r="R4" i="22"/>
  <c r="T4" i="22"/>
  <c r="U4" i="22"/>
  <c r="V4" i="22"/>
  <c r="O5" i="22"/>
  <c r="P5" i="22"/>
  <c r="Q5" i="22"/>
  <c r="R5" i="22"/>
  <c r="T5" i="22"/>
  <c r="U5" i="22"/>
  <c r="V5" i="22"/>
  <c r="O6" i="22"/>
  <c r="P6" i="22"/>
  <c r="Q6" i="22"/>
  <c r="R6" i="22"/>
  <c r="T6" i="22"/>
  <c r="U6" i="22"/>
  <c r="V6" i="22"/>
  <c r="O7" i="22"/>
  <c r="P7" i="22"/>
  <c r="Q7" i="22"/>
  <c r="R7" i="22"/>
  <c r="T7" i="22"/>
  <c r="U7" i="22"/>
  <c r="V7" i="22"/>
  <c r="O8" i="22"/>
  <c r="P8" i="22"/>
  <c r="Q8" i="22"/>
  <c r="R8" i="22"/>
  <c r="T8" i="22"/>
  <c r="U8" i="22"/>
  <c r="V8" i="22"/>
  <c r="O9" i="22"/>
  <c r="P9" i="22"/>
  <c r="Q9" i="22"/>
  <c r="R9" i="22"/>
  <c r="T9" i="22"/>
  <c r="U9" i="22"/>
  <c r="V9" i="22"/>
  <c r="O10" i="22"/>
  <c r="P10" i="22"/>
  <c r="Q10" i="22"/>
  <c r="R10" i="22"/>
  <c r="T10" i="22"/>
  <c r="U10" i="22"/>
  <c r="V10" i="22"/>
  <c r="O11" i="22"/>
  <c r="P11" i="22"/>
  <c r="Q11" i="22"/>
  <c r="R11" i="22"/>
  <c r="T11" i="22"/>
  <c r="U11" i="22"/>
  <c r="V11" i="22"/>
  <c r="O12" i="22"/>
  <c r="P12" i="22"/>
  <c r="Q12" i="22"/>
  <c r="R12" i="22"/>
  <c r="T12" i="22"/>
  <c r="U12" i="22"/>
  <c r="V12" i="22"/>
  <c r="O13" i="22"/>
  <c r="P13" i="22"/>
  <c r="Q13" i="22"/>
  <c r="R13" i="22"/>
  <c r="T13" i="22"/>
  <c r="U13" i="22"/>
  <c r="V13" i="22"/>
  <c r="O14" i="22"/>
  <c r="P14" i="22"/>
  <c r="Q14" i="22"/>
  <c r="R14" i="22"/>
  <c r="T14" i="22"/>
  <c r="U14" i="22"/>
  <c r="V14" i="22"/>
  <c r="U2" i="22"/>
  <c r="T2" i="22"/>
  <c r="R2" i="22"/>
  <c r="Q2" i="22"/>
  <c r="P2" i="22"/>
  <c r="V2" i="11"/>
  <c r="I193" i="20"/>
  <c r="H193" i="20"/>
  <c r="I192" i="20"/>
  <c r="H192" i="20"/>
  <c r="I191" i="20"/>
  <c r="H191" i="20"/>
  <c r="I190" i="20"/>
  <c r="H190" i="20"/>
  <c r="I189" i="20"/>
  <c r="H189" i="20"/>
  <c r="I188" i="20"/>
  <c r="H188" i="20"/>
  <c r="I187" i="20"/>
  <c r="H187" i="20"/>
  <c r="I186" i="20"/>
  <c r="H186" i="20"/>
  <c r="I185" i="20"/>
  <c r="H185" i="20"/>
  <c r="I184" i="20"/>
  <c r="H184" i="20"/>
  <c r="I183" i="20"/>
  <c r="H183" i="20"/>
  <c r="I182" i="20"/>
  <c r="H182" i="20"/>
  <c r="I181" i="20"/>
  <c r="H181" i="20"/>
  <c r="I180" i="20"/>
  <c r="H180" i="20"/>
  <c r="I179" i="20"/>
  <c r="H179" i="20"/>
  <c r="I178" i="20"/>
  <c r="H178" i="20"/>
  <c r="I177" i="20"/>
  <c r="H177" i="20"/>
  <c r="I176" i="20"/>
  <c r="H176" i="20"/>
  <c r="I175" i="20"/>
  <c r="H175" i="20"/>
  <c r="I174" i="20"/>
  <c r="H174" i="20"/>
  <c r="I173" i="20"/>
  <c r="H173" i="20"/>
  <c r="I172" i="20"/>
  <c r="H172" i="20"/>
  <c r="I171" i="20"/>
  <c r="H171" i="20"/>
  <c r="I170" i="20"/>
  <c r="H170" i="20"/>
  <c r="I169" i="20"/>
  <c r="H169" i="20"/>
  <c r="I168" i="20"/>
  <c r="H168" i="20"/>
  <c r="I167" i="20"/>
  <c r="H167" i="20"/>
  <c r="I166" i="20"/>
  <c r="H166" i="20"/>
  <c r="I165" i="20"/>
  <c r="H165" i="20"/>
  <c r="I164" i="20"/>
  <c r="H164" i="20"/>
  <c r="I163" i="20"/>
  <c r="H163" i="20"/>
  <c r="I162" i="20"/>
  <c r="H162" i="20"/>
  <c r="I161" i="20"/>
  <c r="H161" i="20"/>
  <c r="I160" i="20"/>
  <c r="H160" i="20"/>
  <c r="I159" i="20"/>
  <c r="H159" i="20"/>
  <c r="I158" i="20"/>
  <c r="H158" i="20"/>
  <c r="I157" i="20"/>
  <c r="H157" i="20"/>
  <c r="I156" i="20"/>
  <c r="H156" i="20"/>
  <c r="I155" i="20"/>
  <c r="H155" i="20"/>
  <c r="I154" i="20"/>
  <c r="H154" i="20"/>
  <c r="I153" i="20"/>
  <c r="H153" i="20"/>
  <c r="I152" i="20"/>
  <c r="H152" i="20"/>
  <c r="I151" i="20"/>
  <c r="H151" i="20"/>
  <c r="I150" i="20"/>
  <c r="H150" i="20"/>
  <c r="I149" i="20"/>
  <c r="H149" i="20"/>
  <c r="I148" i="20"/>
  <c r="H148" i="20"/>
  <c r="I147" i="20"/>
  <c r="H147" i="20"/>
  <c r="I146" i="20"/>
  <c r="H146" i="20"/>
  <c r="I145" i="20"/>
  <c r="H145" i="20"/>
  <c r="I144" i="20"/>
  <c r="H144" i="20"/>
  <c r="I143" i="20"/>
  <c r="H143" i="20"/>
  <c r="I142" i="20"/>
  <c r="H142" i="20"/>
  <c r="I141" i="20"/>
  <c r="H141" i="20"/>
  <c r="I140" i="20"/>
  <c r="H140" i="20"/>
  <c r="I139" i="20"/>
  <c r="H139" i="20"/>
  <c r="I138" i="20"/>
  <c r="H138" i="20"/>
  <c r="I137" i="20"/>
  <c r="H137" i="20"/>
  <c r="I136" i="20"/>
  <c r="H136" i="20"/>
  <c r="I135" i="20"/>
  <c r="H135" i="20"/>
  <c r="I134" i="20"/>
  <c r="H134" i="20"/>
  <c r="I133" i="20"/>
  <c r="H133" i="20"/>
  <c r="I132" i="20"/>
  <c r="H132" i="20"/>
  <c r="I131" i="20"/>
  <c r="H131" i="20"/>
  <c r="I130" i="20"/>
  <c r="H130" i="20"/>
  <c r="I129" i="20"/>
  <c r="H129" i="20"/>
  <c r="I128" i="20"/>
  <c r="H128" i="20"/>
  <c r="I127" i="20"/>
  <c r="H127" i="20"/>
  <c r="I126" i="20"/>
  <c r="H126" i="20"/>
  <c r="I125" i="20"/>
  <c r="H125" i="20"/>
  <c r="I124" i="20"/>
  <c r="H124" i="20"/>
  <c r="I123" i="20"/>
  <c r="H123" i="20"/>
  <c r="I122" i="20"/>
  <c r="H122" i="20"/>
  <c r="I121" i="20"/>
  <c r="H121" i="20"/>
  <c r="I120" i="20"/>
  <c r="H120" i="20"/>
  <c r="I119" i="20"/>
  <c r="H119" i="20"/>
  <c r="I118" i="20"/>
  <c r="H118" i="20"/>
  <c r="I117" i="20"/>
  <c r="H117" i="20"/>
  <c r="I116" i="20"/>
  <c r="H116" i="20"/>
  <c r="I115" i="20"/>
  <c r="H115" i="20"/>
  <c r="I114" i="20"/>
  <c r="H114" i="20"/>
  <c r="I113" i="20"/>
  <c r="H113" i="20"/>
  <c r="I112" i="20"/>
  <c r="H112" i="20"/>
  <c r="I111" i="20"/>
  <c r="H111" i="20"/>
  <c r="I110" i="20"/>
  <c r="H110" i="20"/>
  <c r="I109" i="20"/>
  <c r="H109" i="20"/>
  <c r="I108" i="20"/>
  <c r="H108" i="20"/>
  <c r="I107" i="20"/>
  <c r="H107" i="20"/>
  <c r="I106" i="20"/>
  <c r="H106" i="20"/>
  <c r="I105" i="20"/>
  <c r="H105" i="20"/>
  <c r="I104" i="20"/>
  <c r="H104" i="20"/>
  <c r="I103" i="20"/>
  <c r="H103" i="20"/>
  <c r="I102" i="20"/>
  <c r="H102" i="20"/>
  <c r="I101" i="20"/>
  <c r="H101" i="20"/>
  <c r="I100" i="20"/>
  <c r="H100" i="20"/>
  <c r="I99" i="20"/>
  <c r="H99" i="20"/>
  <c r="I98" i="20"/>
  <c r="H98" i="20"/>
  <c r="I97" i="20"/>
  <c r="H97" i="20"/>
  <c r="I96" i="20"/>
  <c r="H96" i="20"/>
  <c r="I95" i="20"/>
  <c r="H95" i="20"/>
  <c r="I94" i="20"/>
  <c r="H94" i="20"/>
  <c r="I93" i="20"/>
  <c r="H93" i="20"/>
  <c r="I92" i="20"/>
  <c r="H92" i="20"/>
  <c r="I91" i="20"/>
  <c r="H91" i="20"/>
  <c r="I90" i="20"/>
  <c r="H90" i="20"/>
  <c r="I89" i="20"/>
  <c r="H89" i="20"/>
  <c r="I88" i="20"/>
  <c r="H88" i="20"/>
  <c r="I87" i="20"/>
  <c r="H87" i="20"/>
  <c r="I86" i="20"/>
  <c r="H86" i="20"/>
  <c r="I85" i="20"/>
  <c r="H85" i="20"/>
  <c r="I84" i="20"/>
  <c r="H84" i="20"/>
  <c r="I83" i="20"/>
  <c r="H83" i="20"/>
  <c r="I82" i="20"/>
  <c r="H82" i="20"/>
  <c r="I81" i="20"/>
  <c r="H81" i="20"/>
  <c r="I80" i="20"/>
  <c r="H80" i="20"/>
  <c r="I79" i="20"/>
  <c r="H79" i="20"/>
  <c r="I78" i="20"/>
  <c r="H78" i="20"/>
  <c r="I77" i="20"/>
  <c r="H77" i="20"/>
  <c r="I76" i="20"/>
  <c r="H76" i="20"/>
  <c r="I75" i="20"/>
  <c r="H75" i="20"/>
  <c r="I74" i="20"/>
  <c r="H74" i="20"/>
  <c r="I73" i="20"/>
  <c r="H73" i="20"/>
  <c r="I72" i="20"/>
  <c r="H72" i="20"/>
  <c r="I71" i="20"/>
  <c r="H71" i="20"/>
  <c r="I70" i="20"/>
  <c r="H70" i="20"/>
  <c r="I69" i="20"/>
  <c r="H69" i="20"/>
  <c r="I68" i="20"/>
  <c r="H68" i="20"/>
  <c r="I67" i="20"/>
  <c r="H67" i="20"/>
  <c r="I66" i="20"/>
  <c r="H66" i="20"/>
  <c r="I65" i="20"/>
  <c r="H65" i="20"/>
  <c r="I64" i="20"/>
  <c r="H64" i="20"/>
  <c r="I63" i="20"/>
  <c r="H63" i="20"/>
  <c r="I62" i="20"/>
  <c r="H62" i="20"/>
  <c r="I61" i="20"/>
  <c r="H61" i="20"/>
  <c r="I60" i="20"/>
  <c r="H60" i="20"/>
  <c r="I59" i="20"/>
  <c r="H59" i="20"/>
  <c r="I58" i="20"/>
  <c r="H58" i="20"/>
  <c r="I57" i="20"/>
  <c r="H57" i="20"/>
  <c r="I56" i="20"/>
  <c r="H56" i="20"/>
  <c r="I55" i="20"/>
  <c r="H55" i="20"/>
  <c r="I54" i="20"/>
  <c r="H54" i="20"/>
  <c r="I53" i="20"/>
  <c r="H53" i="20"/>
  <c r="I52" i="20"/>
  <c r="H52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I6" i="20"/>
  <c r="H6" i="20"/>
  <c r="I5" i="20"/>
  <c r="H5" i="20"/>
  <c r="I4" i="20"/>
  <c r="H4" i="20"/>
  <c r="I3" i="20"/>
  <c r="H3" i="20"/>
  <c r="I2" i="20"/>
  <c r="H2" i="20"/>
  <c r="I169" i="19"/>
  <c r="H169" i="19"/>
  <c r="I168" i="19"/>
  <c r="H168" i="19"/>
  <c r="I167" i="19"/>
  <c r="H167" i="19"/>
  <c r="I166" i="19"/>
  <c r="H166" i="19"/>
  <c r="I165" i="19"/>
  <c r="H165" i="19"/>
  <c r="I164" i="19"/>
  <c r="H164" i="19"/>
  <c r="I163" i="19"/>
  <c r="H163" i="19"/>
  <c r="I162" i="19"/>
  <c r="H162" i="19"/>
  <c r="I161" i="19"/>
  <c r="H161" i="19"/>
  <c r="I160" i="19"/>
  <c r="H160" i="19"/>
  <c r="I159" i="19"/>
  <c r="H159" i="19"/>
  <c r="I158" i="19"/>
  <c r="H158" i="19"/>
  <c r="I157" i="19"/>
  <c r="H157" i="19"/>
  <c r="I156" i="19"/>
  <c r="H156" i="19"/>
  <c r="I155" i="19"/>
  <c r="H155" i="19"/>
  <c r="I154" i="19"/>
  <c r="H154" i="19"/>
  <c r="I153" i="19"/>
  <c r="H153" i="19"/>
  <c r="I152" i="19"/>
  <c r="H152" i="19"/>
  <c r="I151" i="19"/>
  <c r="H151" i="19"/>
  <c r="I150" i="19"/>
  <c r="H150" i="19"/>
  <c r="I149" i="19"/>
  <c r="H149" i="19"/>
  <c r="I148" i="19"/>
  <c r="H148" i="19"/>
  <c r="I147" i="19"/>
  <c r="H147" i="19"/>
  <c r="I146" i="19"/>
  <c r="H146" i="19"/>
  <c r="I145" i="19"/>
  <c r="H145" i="19"/>
  <c r="I144" i="19"/>
  <c r="H144" i="19"/>
  <c r="I143" i="19"/>
  <c r="H143" i="19"/>
  <c r="I142" i="19"/>
  <c r="H142" i="19"/>
  <c r="I141" i="19"/>
  <c r="H141" i="19"/>
  <c r="I140" i="19"/>
  <c r="H140" i="19"/>
  <c r="I139" i="19"/>
  <c r="H139" i="19"/>
  <c r="I138" i="19"/>
  <c r="H138" i="19"/>
  <c r="I137" i="19"/>
  <c r="H137" i="19"/>
  <c r="I136" i="19"/>
  <c r="H136" i="19"/>
  <c r="I135" i="19"/>
  <c r="H135" i="19"/>
  <c r="I134" i="19"/>
  <c r="H134" i="19"/>
  <c r="I133" i="19"/>
  <c r="H133" i="19"/>
  <c r="I132" i="19"/>
  <c r="H132" i="19"/>
  <c r="I131" i="19"/>
  <c r="H131" i="19"/>
  <c r="I130" i="19"/>
  <c r="H130" i="19"/>
  <c r="I129" i="19"/>
  <c r="H129" i="19"/>
  <c r="I128" i="19"/>
  <c r="H128" i="19"/>
  <c r="I127" i="19"/>
  <c r="H127" i="19"/>
  <c r="I126" i="19"/>
  <c r="H126" i="19"/>
  <c r="I125" i="19"/>
  <c r="H125" i="19"/>
  <c r="I124" i="19"/>
  <c r="H124" i="19"/>
  <c r="I123" i="19"/>
  <c r="H123" i="19"/>
  <c r="I122" i="19"/>
  <c r="H122" i="19"/>
  <c r="I121" i="19"/>
  <c r="H121" i="19"/>
  <c r="I120" i="19"/>
  <c r="H120" i="19"/>
  <c r="I119" i="19"/>
  <c r="H119" i="19"/>
  <c r="I118" i="19"/>
  <c r="H118" i="19"/>
  <c r="I117" i="19"/>
  <c r="H117" i="19"/>
  <c r="I116" i="19"/>
  <c r="H116" i="19"/>
  <c r="I115" i="19"/>
  <c r="H115" i="19"/>
  <c r="I114" i="19"/>
  <c r="H114" i="19"/>
  <c r="I113" i="19"/>
  <c r="H113" i="19"/>
  <c r="I112" i="19"/>
  <c r="H112" i="19"/>
  <c r="I111" i="19"/>
  <c r="H111" i="19"/>
  <c r="I110" i="19"/>
  <c r="H110" i="19"/>
  <c r="I109" i="19"/>
  <c r="H109" i="19"/>
  <c r="I108" i="19"/>
  <c r="H108" i="19"/>
  <c r="I107" i="19"/>
  <c r="H107" i="19"/>
  <c r="I106" i="19"/>
  <c r="H106" i="19"/>
  <c r="I105" i="19"/>
  <c r="H105" i="19"/>
  <c r="I104" i="19"/>
  <c r="H104" i="19"/>
  <c r="I103" i="19"/>
  <c r="H103" i="19"/>
  <c r="I102" i="19"/>
  <c r="H102" i="19"/>
  <c r="I101" i="19"/>
  <c r="H101" i="19"/>
  <c r="I100" i="19"/>
  <c r="H100" i="19"/>
  <c r="I99" i="19"/>
  <c r="H99" i="19"/>
  <c r="I98" i="19"/>
  <c r="H98" i="19"/>
  <c r="I97" i="19"/>
  <c r="H97" i="19"/>
  <c r="I96" i="19"/>
  <c r="H96" i="19"/>
  <c r="I95" i="19"/>
  <c r="H95" i="19"/>
  <c r="I94" i="19"/>
  <c r="H94" i="19"/>
  <c r="I93" i="19"/>
  <c r="H93" i="19"/>
  <c r="I92" i="19"/>
  <c r="H92" i="19"/>
  <c r="I91" i="19"/>
  <c r="H91" i="19"/>
  <c r="I90" i="19"/>
  <c r="H90" i="19"/>
  <c r="I89" i="19"/>
  <c r="H89" i="19"/>
  <c r="I88" i="19"/>
  <c r="H88" i="19"/>
  <c r="I87" i="19"/>
  <c r="H87" i="19"/>
  <c r="I86" i="19"/>
  <c r="H86" i="19"/>
  <c r="I85" i="19"/>
  <c r="H85" i="19"/>
  <c r="I84" i="19"/>
  <c r="H84" i="19"/>
  <c r="I83" i="19"/>
  <c r="H83" i="19"/>
  <c r="I82" i="19"/>
  <c r="H82" i="19"/>
  <c r="I81" i="19"/>
  <c r="H81" i="19"/>
  <c r="I80" i="19"/>
  <c r="H80" i="19"/>
  <c r="I79" i="19"/>
  <c r="H79" i="19"/>
  <c r="I78" i="19"/>
  <c r="H78" i="19"/>
  <c r="I77" i="19"/>
  <c r="H77" i="19"/>
  <c r="I76" i="19"/>
  <c r="H76" i="19"/>
  <c r="I75" i="19"/>
  <c r="H75" i="19"/>
  <c r="I74" i="19"/>
  <c r="H74" i="19"/>
  <c r="I73" i="19"/>
  <c r="H73" i="19"/>
  <c r="I72" i="19"/>
  <c r="H72" i="19"/>
  <c r="I71" i="19"/>
  <c r="H71" i="19"/>
  <c r="I70" i="19"/>
  <c r="H70" i="19"/>
  <c r="I69" i="19"/>
  <c r="H69" i="19"/>
  <c r="I68" i="19"/>
  <c r="H68" i="19"/>
  <c r="I67" i="19"/>
  <c r="H67" i="19"/>
  <c r="I66" i="19"/>
  <c r="H66" i="19"/>
  <c r="I65" i="19"/>
  <c r="H65" i="19"/>
  <c r="I64" i="19"/>
  <c r="H64" i="19"/>
  <c r="I63" i="19"/>
  <c r="H63" i="19"/>
  <c r="I62" i="19"/>
  <c r="H62" i="19"/>
  <c r="I61" i="19"/>
  <c r="H61" i="19"/>
  <c r="I60" i="19"/>
  <c r="H60" i="19"/>
  <c r="I59" i="19"/>
  <c r="H59" i="19"/>
  <c r="I58" i="19"/>
  <c r="H58" i="19"/>
  <c r="I57" i="19"/>
  <c r="H57" i="19"/>
  <c r="I56" i="19"/>
  <c r="H56" i="19"/>
  <c r="I55" i="19"/>
  <c r="H55" i="19"/>
  <c r="I54" i="19"/>
  <c r="H54" i="19"/>
  <c r="I53" i="19"/>
  <c r="H53" i="19"/>
  <c r="I52" i="19"/>
  <c r="H52" i="19"/>
  <c r="I51" i="19"/>
  <c r="H51" i="19"/>
  <c r="I50" i="19"/>
  <c r="H50" i="19"/>
  <c r="I49" i="19"/>
  <c r="H49" i="19"/>
  <c r="I48" i="19"/>
  <c r="H48" i="19"/>
  <c r="I47" i="19"/>
  <c r="H47" i="19"/>
  <c r="I46" i="19"/>
  <c r="H46" i="19"/>
  <c r="I45" i="19"/>
  <c r="H45" i="19"/>
  <c r="I44" i="19"/>
  <c r="H44" i="19"/>
  <c r="I43" i="19"/>
  <c r="H43" i="19"/>
  <c r="I42" i="19"/>
  <c r="H42" i="19"/>
  <c r="I41" i="19"/>
  <c r="H41" i="19"/>
  <c r="I40" i="19"/>
  <c r="H40" i="19"/>
  <c r="I39" i="19"/>
  <c r="H39" i="19"/>
  <c r="I38" i="19"/>
  <c r="H38" i="19"/>
  <c r="I37" i="19"/>
  <c r="H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I5" i="19"/>
  <c r="H5" i="19"/>
  <c r="I4" i="19"/>
  <c r="H4" i="19"/>
  <c r="I3" i="19"/>
  <c r="H3" i="19"/>
  <c r="I2" i="19"/>
  <c r="H2" i="19"/>
  <c r="J56" i="11"/>
  <c r="K32" i="11"/>
  <c r="L32" i="11"/>
  <c r="M32" i="11"/>
  <c r="N32" i="11"/>
  <c r="O32" i="11"/>
  <c r="P32" i="11"/>
  <c r="Q32" i="11"/>
  <c r="R32" i="11"/>
  <c r="K33" i="11"/>
  <c r="L33" i="11"/>
  <c r="M33" i="11"/>
  <c r="N33" i="11"/>
  <c r="O33" i="11"/>
  <c r="P33" i="11"/>
  <c r="Q33" i="11"/>
  <c r="R33" i="11"/>
  <c r="K34" i="11"/>
  <c r="L34" i="11"/>
  <c r="M34" i="11"/>
  <c r="N34" i="11"/>
  <c r="O34" i="11"/>
  <c r="P34" i="11"/>
  <c r="Q34" i="11"/>
  <c r="R34" i="11"/>
  <c r="K35" i="11"/>
  <c r="L35" i="11"/>
  <c r="M35" i="11"/>
  <c r="N35" i="11"/>
  <c r="O35" i="11"/>
  <c r="P35" i="11"/>
  <c r="Q35" i="11"/>
  <c r="R35" i="11"/>
  <c r="K36" i="11"/>
  <c r="L36" i="11"/>
  <c r="M36" i="11"/>
  <c r="N36" i="11"/>
  <c r="O36" i="11"/>
  <c r="P36" i="11"/>
  <c r="Q36" i="11"/>
  <c r="R36" i="11"/>
  <c r="K37" i="11"/>
  <c r="L37" i="11"/>
  <c r="M37" i="11"/>
  <c r="N37" i="11"/>
  <c r="O37" i="11"/>
  <c r="P37" i="11"/>
  <c r="Q37" i="11"/>
  <c r="R37" i="11"/>
  <c r="K38" i="11"/>
  <c r="L38" i="11"/>
  <c r="M38" i="11"/>
  <c r="N38" i="11"/>
  <c r="O38" i="11"/>
  <c r="P38" i="11"/>
  <c r="Q38" i="11"/>
  <c r="R38" i="11"/>
  <c r="K39" i="11"/>
  <c r="L39" i="11"/>
  <c r="M39" i="11"/>
  <c r="N39" i="11"/>
  <c r="O39" i="11"/>
  <c r="P39" i="11"/>
  <c r="Q39" i="11"/>
  <c r="R39" i="11"/>
  <c r="K40" i="11"/>
  <c r="L40" i="11"/>
  <c r="M40" i="11"/>
  <c r="N40" i="11"/>
  <c r="O40" i="11"/>
  <c r="P40" i="11"/>
  <c r="Q40" i="11"/>
  <c r="R40" i="11"/>
  <c r="K41" i="11"/>
  <c r="L41" i="11"/>
  <c r="M41" i="11"/>
  <c r="N41" i="11"/>
  <c r="O41" i="11"/>
  <c r="P41" i="11"/>
  <c r="Q41" i="11"/>
  <c r="R41" i="11"/>
  <c r="R31" i="11"/>
  <c r="Q31" i="11"/>
  <c r="P31" i="11"/>
  <c r="O31" i="11"/>
  <c r="N31" i="11"/>
  <c r="M31" i="11"/>
  <c r="L31" i="11"/>
  <c r="K31" i="11"/>
  <c r="R3" i="11"/>
  <c r="R4" i="11"/>
  <c r="R5" i="11"/>
  <c r="R6" i="11"/>
  <c r="R7" i="11"/>
  <c r="R8" i="11"/>
  <c r="R9" i="11"/>
  <c r="R10" i="11"/>
  <c r="R11" i="11"/>
  <c r="R12" i="11"/>
  <c r="R2" i="11"/>
  <c r="L3" i="11"/>
  <c r="M3" i="11"/>
  <c r="N3" i="11"/>
  <c r="O3" i="11"/>
  <c r="P3" i="11"/>
  <c r="Q3" i="11"/>
  <c r="L4" i="11"/>
  <c r="M4" i="11"/>
  <c r="N4" i="11"/>
  <c r="O4" i="11"/>
  <c r="P4" i="11"/>
  <c r="Q4" i="11"/>
  <c r="L5" i="11"/>
  <c r="M5" i="11"/>
  <c r="N5" i="11"/>
  <c r="O5" i="11"/>
  <c r="P5" i="11"/>
  <c r="Q5" i="11"/>
  <c r="L6" i="11"/>
  <c r="M6" i="11"/>
  <c r="N6" i="11"/>
  <c r="O6" i="11"/>
  <c r="P6" i="11"/>
  <c r="Q6" i="11"/>
  <c r="L7" i="11"/>
  <c r="M7" i="11"/>
  <c r="N7" i="11"/>
  <c r="O7" i="11"/>
  <c r="P7" i="11"/>
  <c r="Q7" i="11"/>
  <c r="L8" i="11"/>
  <c r="M8" i="11"/>
  <c r="N8" i="11"/>
  <c r="O8" i="11"/>
  <c r="P8" i="11"/>
  <c r="Q8" i="11"/>
  <c r="L9" i="11"/>
  <c r="M9" i="11"/>
  <c r="N9" i="11"/>
  <c r="O9" i="11"/>
  <c r="P9" i="11"/>
  <c r="Q9" i="11"/>
  <c r="L10" i="11"/>
  <c r="M10" i="11"/>
  <c r="N10" i="11"/>
  <c r="O10" i="11"/>
  <c r="P10" i="11"/>
  <c r="Q10" i="11"/>
  <c r="L11" i="11"/>
  <c r="M11" i="11"/>
  <c r="N11" i="11"/>
  <c r="O11" i="11"/>
  <c r="P11" i="11"/>
  <c r="Q11" i="11"/>
  <c r="L12" i="11"/>
  <c r="M12" i="11"/>
  <c r="N12" i="11"/>
  <c r="O12" i="11"/>
  <c r="P12" i="11"/>
  <c r="Q12" i="11"/>
  <c r="Q2" i="11"/>
  <c r="P2" i="11"/>
  <c r="O2" i="11"/>
  <c r="N2" i="11"/>
  <c r="M2" i="11"/>
  <c r="L2" i="11"/>
  <c r="K2" i="11"/>
  <c r="K3" i="11"/>
  <c r="K4" i="11"/>
  <c r="K5" i="11"/>
  <c r="K6" i="11"/>
  <c r="K7" i="11"/>
  <c r="K8" i="11"/>
  <c r="K9" i="11"/>
  <c r="K10" i="11"/>
  <c r="K11" i="11"/>
  <c r="K12" i="11"/>
  <c r="V3" i="11"/>
  <c r="W3" i="11"/>
  <c r="X3" i="11"/>
  <c r="Y3" i="11"/>
  <c r="Z3" i="11"/>
  <c r="AA3" i="11"/>
  <c r="AB3" i="11"/>
  <c r="V4" i="11"/>
  <c r="W4" i="11"/>
  <c r="X4" i="11"/>
  <c r="Y4" i="11"/>
  <c r="Z4" i="11"/>
  <c r="AA4" i="11"/>
  <c r="AB4" i="11"/>
  <c r="V5" i="11"/>
  <c r="W5" i="11"/>
  <c r="X5" i="11"/>
  <c r="Y5" i="11"/>
  <c r="Z5" i="11"/>
  <c r="AA5" i="11"/>
  <c r="AB5" i="11"/>
  <c r="V6" i="11"/>
  <c r="W6" i="11"/>
  <c r="X6" i="11"/>
  <c r="Y6" i="11"/>
  <c r="Z6" i="11"/>
  <c r="AA6" i="11"/>
  <c r="AB6" i="11"/>
  <c r="V7" i="11"/>
  <c r="W7" i="11"/>
  <c r="X7" i="11"/>
  <c r="Y7" i="11"/>
  <c r="Z7" i="11"/>
  <c r="AA7" i="11"/>
  <c r="AB7" i="11"/>
  <c r="V8" i="11"/>
  <c r="W8" i="11"/>
  <c r="X8" i="11"/>
  <c r="Y8" i="11"/>
  <c r="Z8" i="11"/>
  <c r="AA8" i="11"/>
  <c r="AB8" i="11"/>
  <c r="V9" i="11"/>
  <c r="W9" i="11"/>
  <c r="X9" i="11"/>
  <c r="Y9" i="11"/>
  <c r="Z9" i="11"/>
  <c r="AA9" i="11"/>
  <c r="AB9" i="11"/>
  <c r="V10" i="11"/>
  <c r="W10" i="11"/>
  <c r="X10" i="11"/>
  <c r="Y10" i="11"/>
  <c r="Z10" i="11"/>
  <c r="AA10" i="11"/>
  <c r="AB10" i="11"/>
  <c r="V11" i="11"/>
  <c r="W11" i="11"/>
  <c r="X11" i="11"/>
  <c r="Y11" i="11"/>
  <c r="Z11" i="11"/>
  <c r="AA11" i="11"/>
  <c r="AB11" i="11"/>
  <c r="V12" i="11"/>
  <c r="W12" i="11"/>
  <c r="X12" i="11"/>
  <c r="Y12" i="11"/>
  <c r="Z12" i="11"/>
  <c r="AA12" i="11"/>
  <c r="AB12" i="11"/>
  <c r="AB2" i="11"/>
  <c r="AA2" i="11"/>
  <c r="Z2" i="11"/>
  <c r="Y2" i="11"/>
  <c r="X2" i="11"/>
  <c r="W2" i="11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P13" i="7"/>
  <c r="Q13" i="7"/>
  <c r="R13" i="7"/>
  <c r="S13" i="7"/>
  <c r="T13" i="7"/>
  <c r="U13" i="7"/>
  <c r="V13" i="7"/>
  <c r="P12" i="7"/>
  <c r="Q12" i="7"/>
  <c r="R12" i="7"/>
  <c r="S12" i="7"/>
  <c r="T12" i="7"/>
  <c r="U12" i="7"/>
  <c r="V12" i="7"/>
  <c r="P11" i="7"/>
  <c r="Q11" i="7"/>
  <c r="R11" i="7"/>
  <c r="S11" i="7"/>
  <c r="T11" i="7"/>
  <c r="U11" i="7"/>
  <c r="V11" i="7"/>
  <c r="V10" i="7"/>
  <c r="V9" i="7"/>
  <c r="V8" i="7"/>
  <c r="V7" i="7"/>
  <c r="V6" i="7"/>
  <c r="V4" i="7"/>
  <c r="V5" i="7"/>
  <c r="V3" i="7"/>
  <c r="U3" i="7"/>
  <c r="V2" i="7"/>
  <c r="U2" i="7"/>
  <c r="P8" i="7"/>
  <c r="Q8" i="7"/>
  <c r="R8" i="7"/>
  <c r="S8" i="7"/>
  <c r="T8" i="7"/>
  <c r="U8" i="7"/>
  <c r="P9" i="7"/>
  <c r="Q9" i="7"/>
  <c r="R9" i="7"/>
  <c r="S9" i="7"/>
  <c r="T9" i="7"/>
  <c r="U9" i="7"/>
  <c r="P10" i="7"/>
  <c r="Q10" i="7"/>
  <c r="R10" i="7"/>
  <c r="S10" i="7"/>
  <c r="T10" i="7"/>
  <c r="U10" i="7"/>
  <c r="L3" i="7"/>
  <c r="L44" i="7"/>
  <c r="L4" i="7"/>
  <c r="L43" i="7"/>
  <c r="L42" i="7"/>
  <c r="L41" i="7"/>
  <c r="L64" i="7"/>
  <c r="L6" i="7"/>
  <c r="L23" i="7"/>
  <c r="L17" i="7"/>
  <c r="L30" i="7"/>
  <c r="L63" i="7"/>
  <c r="L62" i="7"/>
  <c r="L16" i="7"/>
  <c r="L19" i="7"/>
  <c r="L61" i="7"/>
  <c r="L60" i="7"/>
  <c r="L29" i="7"/>
  <c r="L59" i="7"/>
  <c r="L58" i="7"/>
  <c r="L15" i="7"/>
  <c r="L40" i="7"/>
  <c r="L39" i="7"/>
  <c r="L57" i="7"/>
  <c r="L22" i="7"/>
  <c r="L56" i="7"/>
  <c r="L55" i="7"/>
  <c r="L18" i="7"/>
  <c r="L38" i="7"/>
  <c r="L21" i="7"/>
  <c r="L10" i="7"/>
  <c r="L24" i="7"/>
  <c r="L54" i="7"/>
  <c r="L28" i="7"/>
  <c r="L37" i="7"/>
  <c r="L27" i="7"/>
  <c r="L36" i="7"/>
  <c r="L14" i="7"/>
  <c r="L2" i="7"/>
  <c r="L53" i="7"/>
  <c r="L52" i="7"/>
  <c r="L51" i="7"/>
  <c r="L9" i="7"/>
  <c r="L26" i="7"/>
  <c r="L50" i="7"/>
  <c r="L35" i="7"/>
  <c r="L20" i="7"/>
  <c r="L5" i="7"/>
  <c r="L49" i="7"/>
  <c r="L48" i="7"/>
  <c r="L47" i="7"/>
  <c r="L46" i="7"/>
  <c r="L7" i="7"/>
  <c r="L45" i="7"/>
  <c r="L34" i="7"/>
  <c r="L33" i="7"/>
  <c r="L32" i="7"/>
  <c r="L8" i="7"/>
  <c r="L11" i="7"/>
  <c r="L25" i="7"/>
  <c r="L31" i="7"/>
  <c r="L13" i="7"/>
  <c r="L12" i="7"/>
  <c r="S11" i="12"/>
  <c r="S3" i="12"/>
  <c r="S4" i="12"/>
  <c r="S5" i="12"/>
  <c r="S6" i="12"/>
  <c r="S7" i="12"/>
  <c r="S8" i="12"/>
  <c r="S9" i="12"/>
  <c r="S10" i="12"/>
  <c r="S12" i="12"/>
  <c r="S13" i="12"/>
  <c r="S2" i="12"/>
  <c r="X13" i="12"/>
  <c r="W13" i="12"/>
  <c r="V13" i="12"/>
  <c r="U13" i="12"/>
  <c r="T13" i="12"/>
  <c r="R13" i="12"/>
  <c r="Q13" i="12"/>
  <c r="X12" i="12"/>
  <c r="W12" i="12"/>
  <c r="V12" i="12"/>
  <c r="U12" i="12"/>
  <c r="T12" i="12"/>
  <c r="R12" i="12"/>
  <c r="Q12" i="12"/>
  <c r="X11" i="12"/>
  <c r="W11" i="12"/>
  <c r="V11" i="12"/>
  <c r="U11" i="12"/>
  <c r="T11" i="12"/>
  <c r="R11" i="12"/>
  <c r="Q11" i="12"/>
  <c r="X10" i="12"/>
  <c r="W10" i="12"/>
  <c r="V10" i="12"/>
  <c r="U10" i="12"/>
  <c r="T10" i="12"/>
  <c r="R10" i="12"/>
  <c r="Q10" i="12"/>
  <c r="X9" i="12"/>
  <c r="W9" i="12"/>
  <c r="V9" i="12"/>
  <c r="U9" i="12"/>
  <c r="T9" i="12"/>
  <c r="R9" i="12"/>
  <c r="Q9" i="12"/>
  <c r="X8" i="12"/>
  <c r="W8" i="12"/>
  <c r="V8" i="12"/>
  <c r="U8" i="12"/>
  <c r="T8" i="12"/>
  <c r="R8" i="12"/>
  <c r="Q8" i="12"/>
  <c r="X7" i="12"/>
  <c r="W7" i="12"/>
  <c r="V7" i="12"/>
  <c r="U7" i="12"/>
  <c r="T7" i="12"/>
  <c r="R7" i="12"/>
  <c r="Q7" i="12"/>
  <c r="X6" i="12"/>
  <c r="W6" i="12"/>
  <c r="V6" i="12"/>
  <c r="U6" i="12"/>
  <c r="T6" i="12"/>
  <c r="R6" i="12"/>
  <c r="Q6" i="12"/>
  <c r="X5" i="12"/>
  <c r="W5" i="12"/>
  <c r="V5" i="12"/>
  <c r="U5" i="12"/>
  <c r="T5" i="12"/>
  <c r="R5" i="12"/>
  <c r="Q5" i="12"/>
  <c r="X4" i="12"/>
  <c r="W4" i="12"/>
  <c r="V4" i="12"/>
  <c r="U4" i="12"/>
  <c r="T4" i="12"/>
  <c r="R4" i="12"/>
  <c r="Q4" i="12"/>
  <c r="X3" i="12"/>
  <c r="W3" i="12"/>
  <c r="V3" i="12"/>
  <c r="U3" i="12"/>
  <c r="T3" i="12"/>
  <c r="R3" i="12"/>
  <c r="Q3" i="12"/>
  <c r="X2" i="12"/>
  <c r="W2" i="12"/>
  <c r="V2" i="12"/>
  <c r="U2" i="12"/>
  <c r="T2" i="12"/>
  <c r="R2" i="12"/>
  <c r="Q2" i="12"/>
  <c r="P5" i="7"/>
  <c r="Q5" i="7"/>
  <c r="R5" i="7"/>
  <c r="S5" i="7"/>
  <c r="T5" i="7"/>
  <c r="U5" i="7"/>
  <c r="P6" i="7"/>
  <c r="Q6" i="7"/>
  <c r="R6" i="7"/>
  <c r="S6" i="7"/>
  <c r="T6" i="7"/>
  <c r="U6" i="7"/>
  <c r="U14" i="7" s="1"/>
  <c r="P7" i="7"/>
  <c r="Q7" i="7"/>
  <c r="R7" i="7"/>
  <c r="S7" i="7"/>
  <c r="T7" i="7"/>
  <c r="U7" i="7"/>
  <c r="P4" i="7"/>
  <c r="Q4" i="7"/>
  <c r="R4" i="7"/>
  <c r="S4" i="7"/>
  <c r="T4" i="7"/>
  <c r="T14" i="7" s="1"/>
  <c r="U4" i="7"/>
  <c r="P3" i="7"/>
  <c r="Q3" i="7"/>
  <c r="R3" i="7"/>
  <c r="S3" i="7"/>
  <c r="S14" i="7" s="1"/>
  <c r="T3" i="7"/>
  <c r="T2" i="7"/>
  <c r="S2" i="7"/>
  <c r="S15" i="7" s="1"/>
  <c r="R2" i="7"/>
  <c r="Q2" i="7"/>
  <c r="P2" i="7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6" i="1"/>
  <c r="N507" i="1"/>
  <c r="N506" i="1"/>
  <c r="N501" i="1"/>
  <c r="N497" i="1"/>
  <c r="N496" i="1"/>
  <c r="N495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7" i="1"/>
  <c r="N326" i="1"/>
  <c r="N325" i="1"/>
  <c r="N323" i="1"/>
  <c r="N322" i="1"/>
  <c r="N321" i="1"/>
  <c r="N320" i="1"/>
  <c r="N319" i="1"/>
  <c r="N318" i="1"/>
  <c r="N317" i="1"/>
  <c r="N5" i="1"/>
  <c r="N4" i="1"/>
  <c r="N3" i="1"/>
  <c r="N2" i="1"/>
  <c r="E27" i="2"/>
  <c r="J27" i="2" s="1"/>
  <c r="D27" i="2"/>
  <c r="I26" i="2"/>
  <c r="D26" i="2"/>
  <c r="E25" i="2"/>
  <c r="J25" i="2" s="1"/>
  <c r="D25" i="2"/>
  <c r="D24" i="2"/>
  <c r="J23" i="2"/>
  <c r="E23" i="2"/>
  <c r="D23" i="2"/>
  <c r="F23" i="2" s="1"/>
  <c r="D22" i="2"/>
  <c r="J21" i="2"/>
  <c r="F21" i="2"/>
  <c r="E21" i="2"/>
  <c r="D21" i="2"/>
  <c r="D20" i="2"/>
  <c r="J19" i="2"/>
  <c r="E19" i="2"/>
  <c r="D19" i="2"/>
  <c r="F19" i="2" s="1"/>
  <c r="D18" i="2"/>
  <c r="J17" i="2"/>
  <c r="F17" i="2"/>
  <c r="E17" i="2"/>
  <c r="D17" i="2"/>
  <c r="D16" i="2"/>
  <c r="J15" i="2"/>
  <c r="F15" i="2"/>
  <c r="I14" i="2"/>
  <c r="J14" i="2" s="1"/>
  <c r="E14" i="2"/>
  <c r="F14" i="2" s="1"/>
  <c r="J13" i="2"/>
  <c r="F13" i="2"/>
  <c r="J12" i="2"/>
  <c r="F12" i="2"/>
  <c r="E12" i="2"/>
  <c r="E26" i="2" s="1"/>
  <c r="F26" i="2" s="1"/>
  <c r="J11" i="2"/>
  <c r="F11" i="2"/>
  <c r="E10" i="2"/>
  <c r="J10" i="2" s="1"/>
  <c r="J9" i="2"/>
  <c r="F9" i="2"/>
  <c r="E8" i="2"/>
  <c r="J8" i="2" s="1"/>
  <c r="J7" i="2"/>
  <c r="F7" i="2"/>
  <c r="E6" i="2"/>
  <c r="J6" i="2" s="1"/>
  <c r="J5" i="2"/>
  <c r="F5" i="2"/>
  <c r="E4" i="2"/>
  <c r="E18" i="2" s="1"/>
  <c r="J3" i="2"/>
  <c r="F3" i="2"/>
  <c r="E2" i="2"/>
  <c r="J2" i="2" s="1"/>
  <c r="S32" i="11" l="1"/>
  <c r="S7" i="11"/>
  <c r="S4" i="11"/>
  <c r="S6" i="11"/>
  <c r="S3" i="11"/>
  <c r="S5" i="11"/>
  <c r="S33" i="11"/>
  <c r="S2" i="11"/>
  <c r="S37" i="11"/>
  <c r="S12" i="11"/>
  <c r="S39" i="11"/>
  <c r="S11" i="11"/>
  <c r="S41" i="11"/>
  <c r="S9" i="11"/>
  <c r="S10" i="11"/>
  <c r="S8" i="11"/>
  <c r="S36" i="11"/>
  <c r="S38" i="11"/>
  <c r="S40" i="11"/>
  <c r="S34" i="11"/>
  <c r="S35" i="11"/>
  <c r="S31" i="11"/>
  <c r="V14" i="7"/>
  <c r="T15" i="7"/>
  <c r="U15" i="7"/>
  <c r="R14" i="7"/>
  <c r="R15" i="7" s="1"/>
  <c r="Q14" i="7"/>
  <c r="Q15" i="7" s="1"/>
  <c r="P14" i="7"/>
  <c r="P15" i="7" s="1"/>
  <c r="V15" i="7"/>
  <c r="F18" i="2"/>
  <c r="J18" i="2"/>
  <c r="J26" i="2"/>
  <c r="F10" i="2"/>
  <c r="E16" i="2"/>
  <c r="E20" i="2"/>
  <c r="E24" i="2"/>
  <c r="F4" i="2"/>
  <c r="J4" i="2"/>
  <c r="F25" i="2"/>
  <c r="F6" i="2"/>
  <c r="E22" i="2"/>
  <c r="F8" i="2"/>
  <c r="F2" i="2"/>
  <c r="F27" i="2"/>
  <c r="F22" i="2" l="1"/>
  <c r="J22" i="2"/>
  <c r="J24" i="2"/>
  <c r="F24" i="2"/>
  <c r="J20" i="2"/>
  <c r="F20" i="2"/>
  <c r="J16" i="2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tc={D73F90CA-9C6A-4E51-934C-2B35AD99DF70}</author>
  </authors>
  <commentList>
    <comment ref="D1" authorId="0" shapeId="0" xr:uid="{D73F90CA-9C6A-4E51-934C-2B35AD99DF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sequence submitted to ncbi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tc={9F46D1E8-959A-442B-BB77-214C5DA629F1}</author>
  </authors>
  <commentList>
    <comment ref="D1" authorId="0" shapeId="0" xr:uid="{9F46D1E8-959A-442B-BB77-214C5DA629F1}">
      <text>
        <t>[Threaded comment]
Your version of Excel allows you to read this threaded comment; however, any edits to it will get removed if the file is opened in a newer version of Excel. Learn more: https://go.microsoft.com/fwlink/?linkid=870924
Comment:
    sequence submitted to ncbi</t>
      </text>
    </comment>
  </commentList>
</comments>
</file>

<file path=xl/sharedStrings.xml><?xml version="1.0" encoding="utf-8"?>
<sst xmlns="http://schemas.openxmlformats.org/spreadsheetml/2006/main" count="54114" uniqueCount="7530">
  <si>
    <t>Isolate identifiers</t>
  </si>
  <si>
    <t>Strain</t>
  </si>
  <si>
    <t>Sample identifier</t>
  </si>
  <si>
    <t>SEQID</t>
  </si>
  <si>
    <t>REFSEQ</t>
  </si>
  <si>
    <t>NOTES</t>
  </si>
  <si>
    <t>VTEC</t>
  </si>
  <si>
    <t>terB-C</t>
  </si>
  <si>
    <t>TerGenes</t>
  </si>
  <si>
    <t>terKMA</t>
  </si>
  <si>
    <t>Source_HC list</t>
  </si>
  <si>
    <t>DB source</t>
  </si>
  <si>
    <t>Serotype_HC list</t>
  </si>
  <si>
    <t>Serotype details</t>
  </si>
  <si>
    <t>GenSeekR</t>
  </si>
  <si>
    <t>Vtx</t>
  </si>
  <si>
    <t>StxDB_V1</t>
  </si>
  <si>
    <t>MLST</t>
  </si>
  <si>
    <t>rMLST</t>
  </si>
  <si>
    <t>AMR2_</t>
  </si>
  <si>
    <t>ROGA RDIMS</t>
  </si>
  <si>
    <t>BioSample</t>
  </si>
  <si>
    <t>Assembly</t>
  </si>
  <si>
    <t>BioProject</t>
  </si>
  <si>
    <t>SRA accession</t>
  </si>
  <si>
    <t>Isolate</t>
  </si>
  <si>
    <t>Create date</t>
  </si>
  <si>
    <t>Location</t>
  </si>
  <si>
    <t>WGS accession</t>
  </si>
  <si>
    <t>AMR genotypes core</t>
  </si>
  <si>
    <t>K-mer group</t>
  </si>
  <si>
    <t>Scientific name</t>
  </si>
  <si>
    <t>Virulence genotypes</t>
  </si>
  <si>
    <t>Stress genotypes</t>
  </si>
  <si>
    <t>AMR genotypes</t>
  </si>
  <si>
    <t>AMRFinderPlus version</t>
  </si>
  <si>
    <t>PD Ref Gene Catalog version</t>
  </si>
  <si>
    <t>AMRFinderPlus analysis type</t>
  </si>
  <si>
    <t>Collection date</t>
  </si>
  <si>
    <t>N50</t>
  </si>
  <si>
    <t>Length</t>
  </si>
  <si>
    <t>Contigs</t>
  </si>
  <si>
    <t>Library layout</t>
  </si>
  <si>
    <t>Species TaxID</t>
  </si>
  <si>
    <t>Level</t>
  </si>
  <si>
    <t>Method</t>
  </si>
  <si>
    <t>TaxID</t>
  </si>
  <si>
    <t>WGS prefix</t>
  </si>
  <si>
    <t>Isolation type</t>
  </si>
  <si>
    <t>Food origin</t>
  </si>
  <si>
    <t>SNP cluster</t>
  </si>
  <si>
    <t>Min-same</t>
  </si>
  <si>
    <t>Min-diff</t>
  </si>
  <si>
    <t>CFIAFB20170161</t>
  </si>
  <si>
    <t>GTA-FD-2017-MI-00044</t>
  </si>
  <si>
    <t>2017-SEQ-0168</t>
  </si>
  <si>
    <t>YES</t>
  </si>
  <si>
    <t>-</t>
  </si>
  <si>
    <t>terZ/A/B/C/D/E/W</t>
  </si>
  <si>
    <t>terA (99.83%),terB 100.00%),terC (99.90%),terD 100.00%),terE 100.00%),terZ (99.83%)</t>
  </si>
  <si>
    <t>Flour</t>
  </si>
  <si>
    <t>O121:H19</t>
  </si>
  <si>
    <t>O121 (100.0):H19 (98.31)</t>
  </si>
  <si>
    <t>eae;hlyAEc;O121;VT2;uidA</t>
  </si>
  <si>
    <t>vtx2a</t>
  </si>
  <si>
    <t>Stx2a_1_AB030484</t>
  </si>
  <si>
    <t>SAMN09468192</t>
  </si>
  <si>
    <t>GCA_012165175.1</t>
  </si>
  <si>
    <t>PRJNA454819</t>
  </si>
  <si>
    <t>SRS3464494</t>
  </si>
  <si>
    <t>SRR7435868</t>
  </si>
  <si>
    <t>PDT000336889.2</t>
  </si>
  <si>
    <t>2018-06-26T21:05:42Z</t>
  </si>
  <si>
    <t>Canada</t>
  </si>
  <si>
    <t>DAAZCD000000000.1</t>
  </si>
  <si>
    <t>glpT_E448K=POINT,pmrB_Y358N=POINT</t>
  </si>
  <si>
    <t>PDG000000004.5130</t>
  </si>
  <si>
    <t>Escherichia coli</t>
  </si>
  <si>
    <t>eae=COMPLETE,efa1=COMPLETE,ehxA=COMPLETE,espA=COMPLETE,espB=COMPLETE,espF=COMPLETE,espI=COMPLETE,espJ=COMPLETE,espK=COMPLETE,espP=COMPLETE,espX1=MISTRANSLATION,fdeC=COMPLETE,lpfA=COMPLETE,nleA=COMPLETE,nleB=COMPLETE,nleC=COMPLETE,nleC=PARTIAL_END_OF_CONTIG,sslE=HMM,stxA2c=COMPLETE,stxB2a=COMPLETE,tccP=PARTIAL,tir=COMPLETE,toxB=COMPLETE</t>
  </si>
  <si>
    <t>ariR=COMPLETE,terD=COMPLETE,terW=COMPLETE,terZ=COMPLETE</t>
  </si>
  <si>
    <t>acrF=COMPLETE,blaEC=COMPLETE,glpT_E448K=POINT,mdtM=COMPLETE,pmrB_Y358N=POINT</t>
  </si>
  <si>
    <t>3.11.26</t>
  </si>
  <si>
    <t>2023-08-08.2</t>
  </si>
  <si>
    <t>COMBINED</t>
  </si>
  <si>
    <t>PAIRED</t>
  </si>
  <si>
    <t>Contig</t>
  </si>
  <si>
    <t>SKESA v. 2.2</t>
  </si>
  <si>
    <t>DAAZCD</t>
  </si>
  <si>
    <t>environmental/other</t>
  </si>
  <si>
    <t>PDS000011681.24</t>
  </si>
  <si>
    <t>CFIAFB20170177</t>
  </si>
  <si>
    <t>BUR-FI-2017-MI-00011</t>
  </si>
  <si>
    <t>2017-BUR-0001</t>
  </si>
  <si>
    <t>terC</t>
  </si>
  <si>
    <t>Other-Flour</t>
  </si>
  <si>
    <t>O8:H28</t>
  </si>
  <si>
    <t>O8 (99.59):H28 (99.54)</t>
  </si>
  <si>
    <t>VT2;hlyAEc;uidA</t>
  </si>
  <si>
    <t>Stx2a_30_MZ229605O8:H28</t>
  </si>
  <si>
    <t>SAMN09468183</t>
  </si>
  <si>
    <t>GCA_012164995.1</t>
  </si>
  <si>
    <t>SRS3464489</t>
  </si>
  <si>
    <t>SRR7435865</t>
  </si>
  <si>
    <t>PDT000336886.2</t>
  </si>
  <si>
    <t>2018-06-26T21:05:41Z</t>
  </si>
  <si>
    <t>DAAZCB000000000.1</t>
  </si>
  <si>
    <t>ehxA=COMPLETE,espX1=COMPLETE,fdeC=COMPLETE,lpfA=COMPLETE,sslE=HMM,stxA2d=COMPLETE,stxB2e=COMPLETE</t>
  </si>
  <si>
    <t>ariR=COMPLETE</t>
  </si>
  <si>
    <t>DAAZCB</t>
  </si>
  <si>
    <t>PDS000035329.15</t>
  </si>
  <si>
    <t>CFIAFB20170178</t>
  </si>
  <si>
    <t>GTA-FD-2017-MI-00053</t>
  </si>
  <si>
    <t>2017-GTA-0025</t>
  </si>
  <si>
    <t>SAMN09468195</t>
  </si>
  <si>
    <t>GCA_012164435.1</t>
  </si>
  <si>
    <t>SRS3464482</t>
  </si>
  <si>
    <t>SRR7435876</t>
  </si>
  <si>
    <t>PDT000336897.2</t>
  </si>
  <si>
    <t>2018-06-26T21:05:43Z</t>
  </si>
  <si>
    <t>DAAZBS000000000.1</t>
  </si>
  <si>
    <t>DAAZBS</t>
  </si>
  <si>
    <t>CFIAFB20170179</t>
  </si>
  <si>
    <t>CAL-FD-2017-MI-0209</t>
  </si>
  <si>
    <t>2017-CAL-0335</t>
  </si>
  <si>
    <t>O88:H25</t>
  </si>
  <si>
    <t>O88 (100.0):H25 (99.92)ND</t>
  </si>
  <si>
    <t>VT1;VT2;uidA</t>
  </si>
  <si>
    <t>vtx1a;vtx2a</t>
  </si>
  <si>
    <t>Stx1a_9_M19437|Stx2a_6_GQ429163</t>
  </si>
  <si>
    <t>SAMN09468189</t>
  </si>
  <si>
    <t>GCA_012164515.1</t>
  </si>
  <si>
    <t>SRS3464490</t>
  </si>
  <si>
    <t>SRR7435870</t>
  </si>
  <si>
    <t>PDT000336891.2</t>
  </si>
  <si>
    <t>DAAZBV000000000.1</t>
  </si>
  <si>
    <t>cdtB=COMPLETE,ehxA=COMPLETE,espI=PARTIAL_END_OF_CONTIG,espX1=PARTIAL,iha=COMPLETE,lpfA=COMPLETE,stxA1a=COMPLETE,stxA2c=COMPLETE,stxB1a=COMPLETE,stxB2a=COMPLETE</t>
  </si>
  <si>
    <t>DAAZBV</t>
  </si>
  <si>
    <t>CFIAFB20170339</t>
  </si>
  <si>
    <t>BUR-FI-2017-MI-00240</t>
  </si>
  <si>
    <t>2017-BUR-0060</t>
  </si>
  <si>
    <t>Raw Ground Veal</t>
  </si>
  <si>
    <t>Raw meat | Veal | Ground</t>
  </si>
  <si>
    <t>O171:H2</t>
  </si>
  <si>
    <t>O171 (99.91):H2 (100.0)</t>
  </si>
  <si>
    <t>VT2;uidA</t>
  </si>
  <si>
    <t>Stx2a_183_DALPGO010000192.1</t>
  </si>
  <si>
    <t>aph(3'')-Ib (100.0%) ;aph(6)-Id (100.0%) Aminoglycoside;floR (98.11%) Phenicol;sul2 (100.0%) sulphonamide;tet(A) (100.0%) Tetracycline</t>
  </si>
  <si>
    <t>SAMN13334750</t>
  </si>
  <si>
    <t>GCA_027234125.1</t>
  </si>
  <si>
    <t>SRS16250847</t>
  </si>
  <si>
    <t>SRR22858703</t>
  </si>
  <si>
    <t>PDT001543040.1</t>
  </si>
  <si>
    <t>2022-12-22T05:39:37Z</t>
  </si>
  <si>
    <t>DALPGO000000000.1</t>
  </si>
  <si>
    <t>aph(3'')-Ib=COMPLETE,aph(6)-Id=COMPLETE,floR=COMPLETE,glpT_E448K=POINT,pmrB_Y358N=POINT,sul2=COMPLETE,tet(A)=COMPLETE</t>
  </si>
  <si>
    <t>espX1=PARTIAL,fdeC=COMPLETE,iha=COMPLETE,lpfA-O113=COMPLETE,sslE=HMM,stxA2=COMPLETE,stxA2=PARTIAL_END_OF_CONTIG,stxB2=COMPLETE</t>
  </si>
  <si>
    <t>ariR=COMPLETE,emrE=COMPLETE</t>
  </si>
  <si>
    <t>acrF=COMPLETE,aph(3'')-Ib=COMPLETE,aph(6)-Id=COMPLETE,blaEC=COMPLETE,floR=COMPLETE,glpT_E448K=POINT,mdtM=COMPLETE,pmrB_Y358N=POINT,sul2=COMPLETE,tet(A)=COMPLETE</t>
  </si>
  <si>
    <t>3.12.8</t>
  </si>
  <si>
    <t>2024-07-22.1</t>
  </si>
  <si>
    <t>DALPGO</t>
  </si>
  <si>
    <t>CFIAFB20170343</t>
  </si>
  <si>
    <t>GTA-FD-2017-MI-00099</t>
  </si>
  <si>
    <t>2017-GTA-0042</t>
  </si>
  <si>
    <t>O187:H52</t>
  </si>
  <si>
    <t>O187 (100.0):H52 (100.0)</t>
  </si>
  <si>
    <t>VT1;uidA</t>
  </si>
  <si>
    <t>vtx1c</t>
  </si>
  <si>
    <t>Stx1c_12_AARXOJ010000002.1</t>
  </si>
  <si>
    <t>ND</t>
  </si>
  <si>
    <t>NO</t>
  </si>
  <si>
    <t>SAMN09468196</t>
  </si>
  <si>
    <t>GCA_012164875.1</t>
  </si>
  <si>
    <t>SRS3464491</t>
  </si>
  <si>
    <t>SRR7435864</t>
  </si>
  <si>
    <t>PDT000336885.2</t>
  </si>
  <si>
    <t>DAAZCF000000000.1</t>
  </si>
  <si>
    <t>astA=COMPLETE,espI=COMPLETE,fdeC=COMPLETE,lpfA=COMPLETE,sslE=HMM,stxA1c=COMPLETE,stxB1c=COMPLETE</t>
  </si>
  <si>
    <t>DAAZCF</t>
  </si>
  <si>
    <t>CFIAFB20170345</t>
  </si>
  <si>
    <t>DAR-FD-2017-MI-00455</t>
  </si>
  <si>
    <t>2017-DAR-0087</t>
  </si>
  <si>
    <t>Raw meat | Veal | Ground | Lean</t>
  </si>
  <si>
    <t>O91:H14</t>
  </si>
  <si>
    <t>O91 (100.0):H14 (98.85)</t>
  </si>
  <si>
    <t>vtx1a;vtx2b</t>
  </si>
  <si>
    <t>Stx1a_19_AAAAYL020000128.1|Stx2b_116_AF043627</t>
  </si>
  <si>
    <t>SAMN13334752</t>
  </si>
  <si>
    <t>GCA_027231645.1</t>
  </si>
  <si>
    <t>SRS16250846</t>
  </si>
  <si>
    <t>SRR22858704</t>
  </si>
  <si>
    <t>PDT001543041.1</t>
  </si>
  <si>
    <t>2022-12-22T05:39:38Z</t>
  </si>
  <si>
    <t>DALPBX000000000.1</t>
  </si>
  <si>
    <t>espI=COMPLETE,espX1=PARTIAL,fdeC=COMPLETE,iha=MISTRANSLATION,iha=PARTIAL_END_OF_CONTIG,ireA=COMPLETE,iucA=COMPLETE,iucB=COMPLETE,iucC=COMPLETE,iucD=COMPLETE,iutA=COMPLETE,lpfA=COMPLETE,mchB=COMPLETE,mchF=COMPLETE,senB=COMPLETE,sslE=HMM,stxA1a=COMPLETE,stxA2b=COMPLETE,stxB1a=COMPLETE,stxB2b=COMPLETE,subA=PARTIAL_END_OF_CONTIG</t>
  </si>
  <si>
    <t>DALPBX</t>
  </si>
  <si>
    <t>CFIAFB20170346</t>
  </si>
  <si>
    <t>2017-SEQ-0059</t>
  </si>
  <si>
    <t>O8 (99.59):H28 (99.54)ND</t>
  </si>
  <si>
    <t>SAMN09468193</t>
  </si>
  <si>
    <t>GCA_012165235.1</t>
  </si>
  <si>
    <t>SRS3464495</t>
  </si>
  <si>
    <t>SRR7435867</t>
  </si>
  <si>
    <t>PDT000336888.2</t>
  </si>
  <si>
    <t>DAAZCA000000000.1</t>
  </si>
  <si>
    <t>DAAZCA</t>
  </si>
  <si>
    <t>CFIAFB20170347</t>
  </si>
  <si>
    <t>2017-DAR-0088</t>
  </si>
  <si>
    <t>O76:H19</t>
  </si>
  <si>
    <t>O76 (99.6):H19 (99.89)</t>
  </si>
  <si>
    <t>Stx1c_12_DQ449666</t>
  </si>
  <si>
    <t>SAMN13334753</t>
  </si>
  <si>
    <t>GCA_027231565.1</t>
  </si>
  <si>
    <t>SRS16250845</t>
  </si>
  <si>
    <t>SRR22858705</t>
  </si>
  <si>
    <t>PDT001543042.1</t>
  </si>
  <si>
    <t>DALPBV000000000.1</t>
  </si>
  <si>
    <t>ehxA=COMPLETE,espX1=COMPLETE,fdeC=COMPLETE,iha=COMPLETE,ireA=COMPLETE,lpfA=COMPLETE,pic=COMPLETE,senB=COMPLETE,sslE=HMM,stxA1c=COMPLETE,stxB1c=COMPLETE,subA=COMPLETE,subB=PARTIAL_END_OF_CONTIG</t>
  </si>
  <si>
    <t>DALPBV</t>
  </si>
  <si>
    <t>CFIAFB20170348</t>
  </si>
  <si>
    <t>CAL-FD-2017-MI-0066</t>
  </si>
  <si>
    <t>2017-CAL-0287</t>
  </si>
  <si>
    <t>O8 (99.59):H28 (99.54</t>
  </si>
  <si>
    <t>SAMN09468188</t>
  </si>
  <si>
    <t>GCA_012164475.1</t>
  </si>
  <si>
    <t>SRS3464484</t>
  </si>
  <si>
    <t>SRR7435875</t>
  </si>
  <si>
    <t>PDT000336896.2</t>
  </si>
  <si>
    <t>DAAZBU000000000.1</t>
  </si>
  <si>
    <t>DAAZBU</t>
  </si>
  <si>
    <t>CFIAFB20180572</t>
  </si>
  <si>
    <t>CAL-FD-2017-MI-1487</t>
  </si>
  <si>
    <t>2017-CAL-0427</t>
  </si>
  <si>
    <t>Raw meat | Veal | Ground | Lean |FRESH ONTARIO</t>
  </si>
  <si>
    <t>hlyAEc;VT1;uidA</t>
  </si>
  <si>
    <t>macrolide(mdf(A) (99.11%));</t>
  </si>
  <si>
    <t>SAMN13334882</t>
  </si>
  <si>
    <t>GCA_027232365.1</t>
  </si>
  <si>
    <t>SRS16250833</t>
  </si>
  <si>
    <t>SRR22858717</t>
  </si>
  <si>
    <t>PDT001543054.1</t>
  </si>
  <si>
    <t>2022-12-22T05:39:40Z</t>
  </si>
  <si>
    <t>DALPDE000000000.1</t>
  </si>
  <si>
    <t>ehxA=COMPLETE,espX1=COMPLETE,fdeC=COMPLETE,iha=COMPLETE,ireA=COMPLETE,lpfA=COMPLETE,pic=COMPLETE,senB=COMPLETE,sslE=HMM,stxA1c=COMPLETE,stxB1c=COMPLETE,subA=COMPLETE</t>
  </si>
  <si>
    <t>DALPDE</t>
  </si>
  <si>
    <t>CFIAFB20180574</t>
  </si>
  <si>
    <t>GTA-FD-2017-MI-01815</t>
  </si>
  <si>
    <t>2017-GTA-0244</t>
  </si>
  <si>
    <t>O78:H16</t>
  </si>
  <si>
    <t>O78 (100.0):H16 (99.94)</t>
  </si>
  <si>
    <t>vtx1a</t>
  </si>
  <si>
    <t>Stx1a_9_MPUD01000001.1</t>
  </si>
  <si>
    <t>aph(3'')-Ib (100.0%) Aminoglycoside;aph(3')-Ia (100.0%) Aminoglycoside;aph(6)-Id (88.53%) Aminoglycoside;blaTEM (RblaTEM-1) (100.0%) Beta-Lactamase;su</t>
  </si>
  <si>
    <t>SAMN13334883</t>
  </si>
  <si>
    <t>GCA_027231505.1</t>
  </si>
  <si>
    <t>SRS16250832</t>
  </si>
  <si>
    <t>SRR22858718</t>
  </si>
  <si>
    <t>PDT001543055.1</t>
  </si>
  <si>
    <t>DALPBO000000000.1</t>
  </si>
  <si>
    <t>aph(3'')-Ib=COMPLETE,aph(3')-Ia=COMPLETE,aph(6)-Id=PARTIAL,blaTEM-1=COMPLETE,glpT_E448K=POINT,pmrB_Y358N=POINT,sul2=COMPLETE,tet(A)=COMPLETE</t>
  </si>
  <si>
    <t>bmaE=COMPLETE,cdtB=COMPLETE,cnf2=COMPLETE,epeA=PARTIAL_END_OF_CONTIG,espP=PARTIAL_END_OF_CONTIG,espX1=COMPLETE,fdeC=COMPLETE,iha=COMPLETE,iss=COMPLETE,iucA=COMPLETE,iucB=COMPLETE,iucC=COMPLETE,iucD=COMPLETE,iutA=COMPLETE,lpfA-O113=COMPLETE,sslE=HMM,stxA1=COMPLETE,stxB1=COMPLETE</t>
  </si>
  <si>
    <t>ariR=COMPLETE,emrE=COMPLETE,emrE=MISTRANSLATION,merA=HMM,merC=COMPLETE,merD=HMM,merE=HMM,merP=COMPLETE,merR=COMPLETE,merT=COMPLETE</t>
  </si>
  <si>
    <t>acrF=COMPLETE,aph(3'')-Ib=COMPLETE,aph(3')-Ia=COMPLETE,aph(6)-Id=PARTIAL,blaEC=COMPLETE,blaTEM-1=COMPLETE,glpT_E448K=POINT,mdtM=COMPLETE,pmrB_Y358N=POINT,sul2=COMPLETE,tet(A)=COMPLETE</t>
  </si>
  <si>
    <t>DALPBO</t>
  </si>
  <si>
    <t>CFIAFB20180575</t>
  </si>
  <si>
    <t>GTA-FD-2017-MI-01937</t>
  </si>
  <si>
    <t>2017-GTA-0247</t>
  </si>
  <si>
    <t>Raw meat | Veal | Ground | Regular |FRESH</t>
  </si>
  <si>
    <t>O174:H21</t>
  </si>
  <si>
    <t>O174 (98.25):H21 (98.64)</t>
  </si>
  <si>
    <t>vtx2c</t>
  </si>
  <si>
    <t>Stx2c_7_LNZL01000033.1</t>
  </si>
  <si>
    <t>aph(6)-Id (100.0%) Aminoglycoside;strA (100.0%) ;sul2 (100.0%) sulphonamide;tet(B) (99.83%) Tetracycline</t>
  </si>
  <si>
    <t>SAMN13334884</t>
  </si>
  <si>
    <t>GCA_027231465.1</t>
  </si>
  <si>
    <t>SRS16250831</t>
  </si>
  <si>
    <t>SRR22858719</t>
  </si>
  <si>
    <t>PDT001543056.1</t>
  </si>
  <si>
    <t>DALPBN000000000.1</t>
  </si>
  <si>
    <t>aph(3'')-Ib=COMPLETE,aph(6)-Id=COMPLETE,glpT_E448K=POINT,gyrA_D87Y=POINT,pmrB_Y358N=POINT,sul2=COMPLETE,tet(B)=COMPLETE</t>
  </si>
  <si>
    <t>espX1=COMPLETE,fdeC=MISTRANSLATION,iha=COMPLETE,iss=COMPLETE,lpfA=COMPLETE,sslE=HMM,stxA2c=COMPLETE,stxB2c=COMPLETE</t>
  </si>
  <si>
    <t>acrF=COMPLETE,aph(3'')-Ib=COMPLETE,aph(6)-Id=COMPLETE,blaEC=COMPLETE,glpT_E448K=POINT,gyrA_D87Y=POINT,mdtM=COMPLETE,pmrB_Y358N=POINT,sul2=COMPLETE,tet(B)=COMPLETE</t>
  </si>
  <si>
    <t>DALPBN</t>
  </si>
  <si>
    <t>PDS000129628.2</t>
  </si>
  <si>
    <t>CFIAFB20180576</t>
  </si>
  <si>
    <t>GTA-FD-2017-MI-01938</t>
  </si>
  <si>
    <t>2017-GTA-0248</t>
  </si>
  <si>
    <t>Raw meat | Veal | Ground | Extra lean |FRESH</t>
  </si>
  <si>
    <t>SAMN13334885</t>
  </si>
  <si>
    <t>GCA_027234925.1</t>
  </si>
  <si>
    <t>SRS16250830</t>
  </si>
  <si>
    <t>SRR22858720</t>
  </si>
  <si>
    <t>PDT001543057.1</t>
  </si>
  <si>
    <t>DALPIA000000000.1</t>
  </si>
  <si>
    <t>espX1=COMPLETE,fdeC=MISTRANSLATION,iha=COMPLETE,iss=COMPLETE,lpfA-O113=COMPLETE,lpfA=COMPLETE,sslE=HMM,stxA2=COMPLETE,stxB2=COMPLETE</t>
  </si>
  <si>
    <t>DALPIA</t>
  </si>
  <si>
    <t>CFIAFB20180577</t>
  </si>
  <si>
    <t>GTA-FD-2017-MI-01940</t>
  </si>
  <si>
    <t>2017-GTA-0249</t>
  </si>
  <si>
    <t>SAMN13334886</t>
  </si>
  <si>
    <t>GCA_027231445.1</t>
  </si>
  <si>
    <t>SRS16250829</t>
  </si>
  <si>
    <t>SRR22858721</t>
  </si>
  <si>
    <t>PDT001543058.1</t>
  </si>
  <si>
    <t>2022-12-22T05:39:41Z</t>
  </si>
  <si>
    <t>DALPBM000000000.1</t>
  </si>
  <si>
    <t>DALPBM</t>
  </si>
  <si>
    <t>CFIAFB20180578</t>
  </si>
  <si>
    <t>GTA-FD-2017-MI-02059</t>
  </si>
  <si>
    <t>2017-SEQ-1688</t>
  </si>
  <si>
    <t>powdered milk formula (open package)</t>
  </si>
  <si>
    <t>O17/O77:H18</t>
  </si>
  <si>
    <t>O17/O77 (100.0):H18 (100.0)ND</t>
  </si>
  <si>
    <t>vtx2d</t>
  </si>
  <si>
    <t>Stx2d_27_DQ059012</t>
  </si>
  <si>
    <t>SAMN13334887</t>
  </si>
  <si>
    <t>GCA_027231425.1</t>
  </si>
  <si>
    <t>SRS16250828</t>
  </si>
  <si>
    <t>SRR22858722</t>
  </si>
  <si>
    <t>PDT001543059.1</t>
  </si>
  <si>
    <t>DALPBJ000000000.1</t>
  </si>
  <si>
    <t>cyaA_S352T=POINT,glpT_E448K=POINT,parC_S57T=POINT</t>
  </si>
  <si>
    <t>air=PARTIAL_END_OF_CONTIG,cdtB=COMPLETE,eilA=COMPLETE,espX1=COMPLETE,fdeC=COMPLETE,iss=COMPLETE,lpfA=COMPLETE,sinH=HMM,sslE=HMM,stxA2d=COMPLETE,stxB2k=COMPLETE</t>
  </si>
  <si>
    <t>ariR=COMPLETE,arsD=COMPLETE</t>
  </si>
  <si>
    <t>acrF=COMPLETE,blaEC=COMPLETE,cyaA_S352T=POINT,glpT_E448K=POINT,mdtM=COMPLETE,parC_S57T=POINT</t>
  </si>
  <si>
    <t>DALPBJ</t>
  </si>
  <si>
    <t>PDS000129656.1</t>
  </si>
  <si>
    <t>CFIAFB20180579</t>
  </si>
  <si>
    <t>2017-SEQ-1689</t>
  </si>
  <si>
    <t>SAMN13334888</t>
  </si>
  <si>
    <t>GCA_027232385.1</t>
  </si>
  <si>
    <t>SRS16250827</t>
  </si>
  <si>
    <t>SRR22858723</t>
  </si>
  <si>
    <t>PDT001543060.1</t>
  </si>
  <si>
    <t>DALPDD000000000.1</t>
  </si>
  <si>
    <t>air=PARTIAL_END_OF_CONTIG,astA=COMPLETE,cdtB=COMPLETE,eilA=COMPLETE,espX1=COMPLETE,fdeC=COMPLETE,iss=COMPLETE,lpfA=COMPLETE,sinH=HMM,sslE=HMM,stxA2d=COMPLETE,stxB2k=COMPLETE</t>
  </si>
  <si>
    <t>DALPDD</t>
  </si>
  <si>
    <t>CFIAFB20180580</t>
  </si>
  <si>
    <t>2017-SEQ-1690</t>
  </si>
  <si>
    <t>SAMN13334889</t>
  </si>
  <si>
    <t>GCA_027234805.1</t>
  </si>
  <si>
    <t>SRS16250804</t>
  </si>
  <si>
    <t>SRR22858746</t>
  </si>
  <si>
    <t>PDT001543083.1</t>
  </si>
  <si>
    <t>2022-12-22T05:39:45Z</t>
  </si>
  <si>
    <t>DALPHV000000000.1</t>
  </si>
  <si>
    <t>air=COMPLETE,astA=COMPLETE,astA=PARTIAL_END_OF_CONTIG,cdtB=COMPLETE,eilA=COMPLETE,espX1=COMPLETE,fdeC=COMPLETE,iss=COMPLETE,lpfA=COMPLETE,sinH=HMM,sslE=HMM,stxA2d=COMPLETE,stxB2k=COMPLETE</t>
  </si>
  <si>
    <t>DALPHV</t>
  </si>
  <si>
    <t>CFIAFB20180581</t>
  </si>
  <si>
    <t>DAR-FD-2018-MI-00354</t>
  </si>
  <si>
    <t>2019-DAR-0014</t>
  </si>
  <si>
    <t>terA (99.48%),terB (99.56%),terC (99.62%),terD (99.65%),terE 100.00%),terF (99.03%),terZ (99.48%)</t>
  </si>
  <si>
    <t>Raw meat | Lamb | Ground | Lean|frozen|New Zealand</t>
  </si>
  <si>
    <t>OUT:H21</t>
  </si>
  <si>
    <t>O-untypeable:H21 (98.64)</t>
  </si>
  <si>
    <t>vtx2i</t>
  </si>
  <si>
    <t>Stx2i_43_OLC3602</t>
  </si>
  <si>
    <t>SAMN13334890</t>
  </si>
  <si>
    <t>GCA_027231365.1</t>
  </si>
  <si>
    <t>SRS16250803</t>
  </si>
  <si>
    <t>SRR22858747</t>
  </si>
  <si>
    <t>PDT001543084.1</t>
  </si>
  <si>
    <t>DALPBH000000000.1</t>
  </si>
  <si>
    <t>espX1=COMPLETE,fdeC=COMPLETE,iss=COMPLETE,lpfA=COMPLETE,sslE=HMM,stxA2i=COMPLETE,stxB2i=COMPLETE</t>
  </si>
  <si>
    <t>ariR=COMPLETE,emrE=COMPLETE,terD=COMPLETE,terW=COMPLETE,terZ=COMPLETE</t>
  </si>
  <si>
    <t>DALPBH</t>
  </si>
  <si>
    <t>PDS000129627.5</t>
  </si>
  <si>
    <t>CFIAFB20180582</t>
  </si>
  <si>
    <t>GTA-FD-2018-MI-00025</t>
  </si>
  <si>
    <t>2018-SEQ-0240</t>
  </si>
  <si>
    <t>Raw Halal ground lamb</t>
  </si>
  <si>
    <t>Raw meat | Lamb | Ground | Halal | Fresh</t>
  </si>
  <si>
    <t>O108:H21</t>
  </si>
  <si>
    <t>VT1(cc)</t>
  </si>
  <si>
    <t>aph(6)-Id (99.88%) Colistin;tet(A) (100.0%) Tetracycline</t>
  </si>
  <si>
    <t>SAMN13334891</t>
  </si>
  <si>
    <t>GCA_027231325.1</t>
  </si>
  <si>
    <t>SRS16250802</t>
  </si>
  <si>
    <t>SRR22858748</t>
  </si>
  <si>
    <t>PDT001543085.1</t>
  </si>
  <si>
    <t>DALPBG000000000.1</t>
  </si>
  <si>
    <t>aph(6)-Id=COMPLETE,glpT_E448K=POINT,pmrB_Y358N=POINT,tet(A)=COMPLETE</t>
  </si>
  <si>
    <t>epeA=PARTIAL_END_OF_CONTIG,espX1=COMPLETE,fdeC=COMPLETE,iss=COMPLETE,katP=COMPLETE,lpfA=PARTIAL,sslE=HMM,stxA1c=COMPLETE,stxB1c=COMPLETE</t>
  </si>
  <si>
    <t>acrF=COMPLETE,aph(6)-Id=COMPLETE,blaEC=COMPLETE,glpT_E448K=POINT,mdtM=COMPLETE,pmrB_Y358N=POINT,tet(A)=COMPLETE</t>
  </si>
  <si>
    <t>DALPBG</t>
  </si>
  <si>
    <t>PDS000073509.6</t>
  </si>
  <si>
    <t>CFIAFB20180583</t>
  </si>
  <si>
    <t>GTA-FD-2018-MI-00220</t>
  </si>
  <si>
    <t>2018-GTA-0110</t>
  </si>
  <si>
    <t>Raw meat | Lamb | Ground</t>
  </si>
  <si>
    <t>O146:H8</t>
  </si>
  <si>
    <t>O146 (99.94):H8 (99.86)</t>
  </si>
  <si>
    <t>uidA;VT1</t>
  </si>
  <si>
    <t>SAMN13334892</t>
  </si>
  <si>
    <t>GCA_027234825.1</t>
  </si>
  <si>
    <t>SRS16250800</t>
  </si>
  <si>
    <t>SRR22858750</t>
  </si>
  <si>
    <t>PDT001543087.1</t>
  </si>
  <si>
    <t>2022-12-22T05:39:46Z</t>
  </si>
  <si>
    <t>DALPHU000000000.1</t>
  </si>
  <si>
    <t>espX1=COMPLETE,fdeC=COMPLETE,lpfA=COMPLETE,sslE=HMM,stxA1c=COMPLETE,stxB1c=COMPLETE,stxB1c=MISTRANSLATION</t>
  </si>
  <si>
    <t>acrF=COMPLETE,blaEC=PARTIAL,glpT_E448K=POINT,mdtM=COMPLETE,pmrB_Y358N=POINT</t>
  </si>
  <si>
    <t>DALPHU</t>
  </si>
  <si>
    <t>PDS000129644.1</t>
  </si>
  <si>
    <t>CFIAFB20180584</t>
  </si>
  <si>
    <t>2018-GTA-0049</t>
  </si>
  <si>
    <t>Raw Ground Lamb</t>
  </si>
  <si>
    <t>O146 (100.0):H8 (99.86)</t>
  </si>
  <si>
    <t>SAMN13334893</t>
  </si>
  <si>
    <t>GCA_027230845.1</t>
  </si>
  <si>
    <t>SRS16250799</t>
  </si>
  <si>
    <t>SRR22858751</t>
  </si>
  <si>
    <t>PDT001543088.1</t>
  </si>
  <si>
    <t>DALPAJ000000000.1</t>
  </si>
  <si>
    <t>espX1=COMPLETE,fdeC=COMPLETE,lpfA=COMPLETE,sslE=HMM,stxA1c=COMPLETE,stxB1c=COMPLETE</t>
  </si>
  <si>
    <t>DALPAJ</t>
  </si>
  <si>
    <t>CFIAFB20180585</t>
  </si>
  <si>
    <t>GTA-FD-2018-MI-00221</t>
  </si>
  <si>
    <t>2018-GTA-0051</t>
  </si>
  <si>
    <t>SAMN13334894</t>
  </si>
  <si>
    <t>GCA_027230805.1</t>
  </si>
  <si>
    <t>SRS16250798</t>
  </si>
  <si>
    <t>SRR22858752</t>
  </si>
  <si>
    <t>PDT001543089.1</t>
  </si>
  <si>
    <t>DALPAH000000000.1</t>
  </si>
  <si>
    <t>espX1=COMPLETE,fdeC=COMPLETE,katP=COMPLETE,lpfA=COMPLETE,sslE=HMM,stxA1c=COMPLETE,stxB1c=COMPLETE</t>
  </si>
  <si>
    <t>DALPAH</t>
  </si>
  <si>
    <t>PDS000179754.1</t>
  </si>
  <si>
    <t>CFIAFB20180587</t>
  </si>
  <si>
    <t>GTA-FD-2018-MI-00574</t>
  </si>
  <si>
    <t>2018-GTA-0113</t>
  </si>
  <si>
    <t>O123/O186:H10</t>
  </si>
  <si>
    <t>O123/O186 (100.0):H10 (99.37)</t>
  </si>
  <si>
    <t>uidA;hylA;VT1;VT2</t>
  </si>
  <si>
    <t>vtx1c;vtx2b</t>
  </si>
  <si>
    <t>Stx1c_12_Z36901|Stx2b_109_AAZFEP010000099.1</t>
  </si>
  <si>
    <t>SAMN13334895</t>
  </si>
  <si>
    <t>GCA_027230785.1</t>
  </si>
  <si>
    <t>SRS16250797</t>
  </si>
  <si>
    <t>SRR22858753</t>
  </si>
  <si>
    <t>PDT001543090.1</t>
  </si>
  <si>
    <t>DALPAK000000000.1</t>
  </si>
  <si>
    <t>ehxA=COMPLETE,fdeC=COMPLETE,iha=COMPLETE,ireA=COMPLETE,iss=COMPLETE,lpfA=COMPLETE,senB=COMPLETE,sslE=HMM,stxA1c=COMPLETE,stxA2b=COMPLETE,stxB1c=COMPLETE,stxB2b=COMPLETE,subA=COMPLETE,subB=COMPLETE,ybtP=COMPLETE,ybtQ=COMPLETE</t>
  </si>
  <si>
    <t>DALPAK</t>
  </si>
  <si>
    <t>CFIAFB20180588</t>
  </si>
  <si>
    <t>GTA-FD-2018-MI-00586</t>
  </si>
  <si>
    <t>2018-GTA-0101</t>
  </si>
  <si>
    <t>Raw ground lamb</t>
  </si>
  <si>
    <t>O128:H2</t>
  </si>
  <si>
    <t>O128ab;O128ac (100.0):H2 (100.0)</t>
  </si>
  <si>
    <t>uidA;VT1;VT2;hylA</t>
  </si>
  <si>
    <t>Stx1c_12_Z36901|Stx2b_110_ABJBRM010000291.1</t>
  </si>
  <si>
    <t>SAMN13334896</t>
  </si>
  <si>
    <t>GCA_027235575.1</t>
  </si>
  <si>
    <t>SRS16250796</t>
  </si>
  <si>
    <t>SRR22858754</t>
  </si>
  <si>
    <t>PDT001543091.1</t>
  </si>
  <si>
    <t>2022-12-22T05:39:47Z</t>
  </si>
  <si>
    <t>DALPIJ000000000.1</t>
  </si>
  <si>
    <t>ehxA=COMPLETE,espX1=COMPLETE,fdeC=COMPLETE,iha=COMPLETE,ireA=COMPLETE,iss=COMPLETE,lpfA=COMPLETE,mchB=COMPLETE,mchF=COMPLETE,stxA1c=COMPLETE,stxA2b=COMPLETE,stxB1c=COMPLETE,stxB2b=COMPLETE,subA=COMPLETE,subB=COMPLETE,ybtP=COMPLETE,ybtQ=COMPLETE</t>
  </si>
  <si>
    <t>DALPIJ</t>
  </si>
  <si>
    <t>PDS000129707.1</t>
  </si>
  <si>
    <t>CFIAFB20180589</t>
  </si>
  <si>
    <t>GTA-FD-2018-MI-00602</t>
  </si>
  <si>
    <t>2018-GTA-0114</t>
  </si>
  <si>
    <t>O75:H8</t>
  </si>
  <si>
    <t>O-untypeable:H8 (100.0)</t>
  </si>
  <si>
    <t>uidA;VT1;VT2</t>
  </si>
  <si>
    <t>Stx1c_12_Z36901|Stx2b_109_GCA_011901285.1</t>
  </si>
  <si>
    <t>SAMN13334897</t>
  </si>
  <si>
    <t>GCA_027230745.1</t>
  </si>
  <si>
    <t>SRS16250795</t>
  </si>
  <si>
    <t>SRR22858755</t>
  </si>
  <si>
    <t>PDT001543092.1</t>
  </si>
  <si>
    <t>DALPAI000000000.1</t>
  </si>
  <si>
    <t>fdeC=COMPLETE,iha=COMPLETE,ireA=COMPLETE,iss=COMPLETE,lpfA=COMPLETE,sslE=HMM,stxA1c=COMPLETE,stxA2b=COMPLETE,stxB1c=COMPLETE,stxB2b=COMPLETE,subA=COMPLETE,subB=COMPLETE</t>
  </si>
  <si>
    <t>DALPAI</t>
  </si>
  <si>
    <t>CFIAFB20180593</t>
  </si>
  <si>
    <t>GTA-FD-2018-MI-00916</t>
  </si>
  <si>
    <t>2018-GTA-0123</t>
  </si>
  <si>
    <t>Raw meat | Lamb | Ground | Frozen</t>
  </si>
  <si>
    <t>O178:H7</t>
  </si>
  <si>
    <t>O153/O178 (100.0):H7 (99.94)</t>
  </si>
  <si>
    <t>Stx1c_12_Z36901</t>
  </si>
  <si>
    <t>SAMN13334901</t>
  </si>
  <si>
    <t>GCA_027235545.1</t>
  </si>
  <si>
    <t>SRS16250794</t>
  </si>
  <si>
    <t>SRR22858756</t>
  </si>
  <si>
    <t>PDT001543093.1</t>
  </si>
  <si>
    <t>DALPIH000000000.1</t>
  </si>
  <si>
    <t>espX1=COMPLETE,fdeC=COMPLETE,iha=COMPLETE,ireA=COMPLETE,lpfA=COMPLETE,sslE=HMM,stxA1c=COMPLETE,stxB1c=COMPLETE,subA=COMPLETE,subB=COMPLETE</t>
  </si>
  <si>
    <t>DALPIH</t>
  </si>
  <si>
    <t>PDS000129609.1</t>
  </si>
  <si>
    <t>CFIAFB20180594</t>
  </si>
  <si>
    <t>2018-GTA-0124</t>
  </si>
  <si>
    <t>SAMN13334902</t>
  </si>
  <si>
    <t>GCA_027228845.1</t>
  </si>
  <si>
    <t>SRS16250793</t>
  </si>
  <si>
    <t>SRR22858757</t>
  </si>
  <si>
    <t>PDT001543094.1</t>
  </si>
  <si>
    <t>DALOXO000000000.1</t>
  </si>
  <si>
    <t>DALOXO</t>
  </si>
  <si>
    <t>CFIAFB20180595</t>
  </si>
  <si>
    <t>2018-GTA-0125</t>
  </si>
  <si>
    <t>SAMN13334903</t>
  </si>
  <si>
    <t>GCA_027228805.1</t>
  </si>
  <si>
    <t>SRS16250792</t>
  </si>
  <si>
    <t>SRR22858758</t>
  </si>
  <si>
    <t>PDT001543095.1</t>
  </si>
  <si>
    <t>DALOXP000000000.1</t>
  </si>
  <si>
    <t>DALOXP</t>
  </si>
  <si>
    <t>CFIAFB20180596</t>
  </si>
  <si>
    <t>2018-GTA-0126</t>
  </si>
  <si>
    <t>SAMN13334904</t>
  </si>
  <si>
    <t>GCA_027228785.1</t>
  </si>
  <si>
    <t>SRS16250791</t>
  </si>
  <si>
    <t>SRR22858759</t>
  </si>
  <si>
    <t>PDT001543096.1</t>
  </si>
  <si>
    <t>DALOXN000000000.1</t>
  </si>
  <si>
    <t>DALOXN</t>
  </si>
  <si>
    <t>CFIAFB20180597</t>
  </si>
  <si>
    <t>STH-FD-2017-MI-2421</t>
  </si>
  <si>
    <t>2018-STH-0001</t>
  </si>
  <si>
    <t>Raw extra-lean ground veal</t>
  </si>
  <si>
    <t>SAMN13334905</t>
  </si>
  <si>
    <t>GCA_027229545.2</t>
  </si>
  <si>
    <t>SRS16250826</t>
  </si>
  <si>
    <t>SRR22858724</t>
  </si>
  <si>
    <t>PDT001543061.2</t>
  </si>
  <si>
    <t>DALOYS000000000.2</t>
  </si>
  <si>
    <t>espI=COMPLETE,espX1=PARTIAL,fdeC=COMPLETE,iha=MISTRANSLATION,iha=PARTIAL_END_OF_CONTIG,ireA=COMPLETE,iucA=COMPLETE,iucB=COMPLETE,iucC=COMPLETE,iucD=COMPLETE,iutA=COMPLETE,lpfA-O113=COMPLETE,lpfA=COMPLETE,mchB=COMPLETE,mchF=COMPLETE,senB=COMPLETE,sslE=HMM,stx1a_operon=COMPLETE,stx2_operon=PARTIAL_CONTIG_END,stx2b_operon=COMPLETE,stxA1=COMPLETE,stxA2=COMPLETE,stxB1=COMPLETE,stxB2=COMPLETE,subA=PARTIAL_END_OF_CONTIG,subB=PARTIAL_END_OF_CONTIG</t>
  </si>
  <si>
    <t>acrF=COMPLETE,blaEC=COMPLETE,mdtM=COMPLETE</t>
  </si>
  <si>
    <t>4.0.19</t>
  </si>
  <si>
    <t>2024-12-18.1</t>
  </si>
  <si>
    <t>DALOYS</t>
  </si>
  <si>
    <t>PDS000219674.1</t>
  </si>
  <si>
    <t>CFIAFB20180598</t>
  </si>
  <si>
    <t>2018-STH-0003</t>
  </si>
  <si>
    <t>O91 (99.92):H14 (98.85)</t>
  </si>
  <si>
    <t>SAMN13334906</t>
  </si>
  <si>
    <t>GCA_027234905.2</t>
  </si>
  <si>
    <t>SRS16250825</t>
  </si>
  <si>
    <t>SRR22858725</t>
  </si>
  <si>
    <t>PDT001543062.2</t>
  </si>
  <si>
    <t>DALPHY000000000.2</t>
  </si>
  <si>
    <t>espI=COMPLETE,espX1=PARTIAL,fdeC=COMPLETE,iha=COMPLETE,iha=MISTRANSLATION,ireA=COMPLETE,iucA=COMPLETE,iucB=COMPLETE,iucC=COMPLETE,iucD=COMPLETE,iutA=COMPLETE,lpfA-O113=COMPLETE,lpfA=COMPLETE,mchB=COMPLETE,mchF=COMPLETE,senB=COMPLETE,sslE=HMM,stx1a_operon=COMPLETE,stx2_operon=PARTIAL_CONTIG_END,stx2b_operon=COMPLETE,stxA1=COMPLETE,stxA2=COMPLETE,stxA2=PARTIAL_END_OF_CONTIG,stxB1=COMPLETE,stxB2=COMPLETE,subA=COMPLETE</t>
  </si>
  <si>
    <t>emrE=COMPLETE</t>
  </si>
  <si>
    <t>DALPHY</t>
  </si>
  <si>
    <t>CFIAFB20180599</t>
  </si>
  <si>
    <t>2018-STH-0004</t>
  </si>
  <si>
    <t>SAMN13334907</t>
  </si>
  <si>
    <t>GCA_027231405.2</t>
  </si>
  <si>
    <t>SRS16250824</t>
  </si>
  <si>
    <t>SRR22858726</t>
  </si>
  <si>
    <t>PDT001543063.2</t>
  </si>
  <si>
    <t>DALPBL000000000.2</t>
  </si>
  <si>
    <t>espI=COMPLETE,espX1=PARTIAL,fdeC=COMPLETE,iha=MISTRANSLATION,iha=PARTIAL_END_OF_CONTIG,ireA=COMPLETE,iucA=COMPLETE,iucB=COMPLETE,iucC=COMPLETE,iucD=COMPLETE,iutA=COMPLETE,lpfA-O113=COMPLETE,lpfA=COMPLETE,mchB=COMPLETE,mchF=COMPLETE,senB=COMPLETE,sslE=HMM,stx1a_operon=COMPLETE,stx2_operon=PARTIAL_CONTIG_END,stx2b_operon=COMPLETE,stxA1=COMPLETE,stxA2=COMPLETE,stxA2=PARTIAL_END_OF_CONTIG,stxB1=COMPLETE,stxB2=COMPLETE,subA=COMPLETE</t>
  </si>
  <si>
    <t>DALPBL</t>
  </si>
  <si>
    <t>CFIAFB20180600</t>
  </si>
  <si>
    <t>STH-FD-2018-MI-0013</t>
  </si>
  <si>
    <t>2018-STH-0065</t>
  </si>
  <si>
    <t>Raw meat | Lamb | Ground | Lean | MADE FROM FRESH AND FROZEN MEAT</t>
  </si>
  <si>
    <t>O128ac;O128ab (100.0):H2 (99.93)ND</t>
  </si>
  <si>
    <t>Stx1c_26_ABNCNA010000007.1|Stx2b_110_ABJBRM010000291.1</t>
  </si>
  <si>
    <t>SAMN13334908</t>
  </si>
  <si>
    <t>GCA_027232445.1</t>
  </si>
  <si>
    <t>SRS16250851</t>
  </si>
  <si>
    <t>SRR22858699</t>
  </si>
  <si>
    <t>PDT001543036.1</t>
  </si>
  <si>
    <t>DALPDK000000000.1</t>
  </si>
  <si>
    <t>cvaC=COMPLETE,espX1=COMPLETE,fdeC=COMPLETE,iha=COMPLETE,ireA=COMPLETE,iroB=COMPLETE,iroC=COMPLETE,iroD=COMPLETE,iroE=COMPLETE,iroN=COMPLETE,iss=COMPLETE,iucA=COMPLETE,iucB=COMPLETE,iucC=COMPLETE,iucD=COMPLETE,iutA=COMPLETE,lpfA=COMPLETE,mchB=COMPLETE,mchF=COMPLETE,stxA1c=COMPLETE,stxA2b=COMPLETE,stxB1c=COMPLETE,stxB2b=COMPLETE,subA=PARTIAL_END_OF_CONTIG,subB=PARTIAL_END_OF_CONTIG</t>
  </si>
  <si>
    <t>DALPDK</t>
  </si>
  <si>
    <t>PDS000129633.1</t>
  </si>
  <si>
    <t>CFIAFB20180601</t>
  </si>
  <si>
    <t>2018-STH-0066</t>
  </si>
  <si>
    <t>SAMN13334909</t>
  </si>
  <si>
    <t>GCA_027226825.1</t>
  </si>
  <si>
    <t>SRS16250818</t>
  </si>
  <si>
    <t>SRR22858732</t>
  </si>
  <si>
    <t>PDT001543069.1</t>
  </si>
  <si>
    <t>2022-12-22T05:39:43Z</t>
  </si>
  <si>
    <t>DALOWO000000000.1</t>
  </si>
  <si>
    <t>cvaC=COMPLETE,espX1=COMPLETE,fdeC=COMPLETE,iha=COMPLETE,ireA=COMPLETE,iroB=COMPLETE,iroC=COMPLETE,iroD=COMPLETE,iroE=COMPLETE,iroN=COMPLETE,iss=COMPLETE,iucA=COMPLETE,iucB=COMPLETE,iucC=COMPLETE,iucD=COMPLETE,iutA=COMPLETE,lpfA=COMPLETE,mchB=COMPLETE,mchF=COMPLETE,stxA1c=COMPLETE,stxA2b=COMPLETE,stxB1c=COMPLETE,stxB2b=COMPLETE,subA=COMPLETE,subB=PARTIAL_END_OF_CONTIG</t>
  </si>
  <si>
    <t>DALOWO</t>
  </si>
  <si>
    <t>CFIAFB20180602</t>
  </si>
  <si>
    <t>STH-FD-2018-MI-0086</t>
  </si>
  <si>
    <t>2018-STH-0067</t>
  </si>
  <si>
    <t>O128ab (100.0):H2 (100.0)ND</t>
  </si>
  <si>
    <t>Stx1c_12_Z36901|Stx2b_116_AF043627</t>
  </si>
  <si>
    <t>SAMN13334910</t>
  </si>
  <si>
    <t>GCA_027228865.1</t>
  </si>
  <si>
    <t>SRS16250807</t>
  </si>
  <si>
    <t>SRR22858743</t>
  </si>
  <si>
    <t>PDT001543080.1</t>
  </si>
  <si>
    <t>DALOXS000000000.1</t>
  </si>
  <si>
    <t>cvaC=COMPLETE,ehxA=COMPLETE,espX1=COMPLETE,fdeC=COMPLETE,iha=COMPLETE,ireA=COMPLETE,iss=COMPLETE,lpfA=COMPLETE,mchB=COMPLETE,mchF=COMPLETE,stxA1c=COMPLETE,stxA2b=COMPLETE,stxB1c=COMPLETE,stxB2b=COMPLETE,subA=COMPLETE,subB=PARTIAL_END_OF_CONTIG,ybtP=COMPLETE,ybtQ=COMPLETE</t>
  </si>
  <si>
    <t>acrF=PARTIAL,blaEC=COMPLETE,glpT_E448K=POINT,mdtM=COMPLETE,pmrB_Y358N=POINT</t>
  </si>
  <si>
    <t>DALOXS</t>
  </si>
  <si>
    <t>WGL 2000-387</t>
  </si>
  <si>
    <t>CFIAFB20000006</t>
  </si>
  <si>
    <t>WGL 2000-387-1, 90020608</t>
  </si>
  <si>
    <t>2016-BUR-0134</t>
  </si>
  <si>
    <t>Missing</t>
  </si>
  <si>
    <t>O157:H7</t>
  </si>
  <si>
    <t>O157 (100.0):H7 (100.0)ND</t>
  </si>
  <si>
    <t>eae;O157;VT1;VT2;uidA</t>
  </si>
  <si>
    <t>Stx1a_9_AB035142|Stx2a_1_X07865</t>
  </si>
  <si>
    <t>SAMN13333295</t>
  </si>
  <si>
    <t>GCA_027231045.1</t>
  </si>
  <si>
    <t>SRS16250949</t>
  </si>
  <si>
    <t>SRR22858882</t>
  </si>
  <si>
    <t>PDT001543219.1</t>
  </si>
  <si>
    <t>2022-12-22T05:40:10Z</t>
  </si>
  <si>
    <t>DALPAR000000000.1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</si>
  <si>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nleC=MISTRANSLATION,stxA1a=COMPLETE,stxA2c=COMPLETE,stxB1a=COMPLETE,stxB2a=COMPLETE,tccP=PARTIAL_END_OF_CONTIG,tir=COMPLETE,toxB=COMPLETE</t>
  </si>
  <si>
    <t>emrE=COMPLETE,terD=COMPLETE,terW=COMPLETE,terZ=COMPLETE</t>
  </si>
  <si>
    <t>acrF=MISTRANSLATION,blaEC=COMPLETE,glpT_E448K=POINT,mdtM=COMPLETE,pmrB_Y358N=POINT</t>
  </si>
  <si>
    <t>DALPAR</t>
  </si>
  <si>
    <t>PDS000129654.1</t>
  </si>
  <si>
    <t>WGL 2000-406</t>
  </si>
  <si>
    <t>CFIAFB20000007</t>
  </si>
  <si>
    <t>WGL 2000-406-3, 90020772</t>
  </si>
  <si>
    <t>2016-BUR-0137</t>
  </si>
  <si>
    <t>SAMN13333296</t>
  </si>
  <si>
    <t>GCA_027230245.1</t>
  </si>
  <si>
    <t>SRS16250947</t>
  </si>
  <si>
    <t>SRR22858884</t>
  </si>
  <si>
    <t>PDT001543221.1</t>
  </si>
  <si>
    <t>2022-12-22T05:40:11Z</t>
  </si>
  <si>
    <t>DALOZG000000000.1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</si>
  <si>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</si>
  <si>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DALOZG</t>
  </si>
  <si>
    <t>PDS000145017.6</t>
  </si>
  <si>
    <t>WGL 2000-408</t>
  </si>
  <si>
    <t>CFIAFB20000008</t>
  </si>
  <si>
    <t>WGL 2000-408-4, 90020774</t>
  </si>
  <si>
    <t>2016-BUR-0138</t>
  </si>
  <si>
    <t>SAMN13333297</t>
  </si>
  <si>
    <t>GCA_027231245.1</t>
  </si>
  <si>
    <t>SRS16250999</t>
  </si>
  <si>
    <t>SRR22858832</t>
  </si>
  <si>
    <t>PDT001543169.1</t>
  </si>
  <si>
    <t>2022-12-22T05:40:01Z</t>
  </si>
  <si>
    <t>DALPBC000000000.1</t>
  </si>
  <si>
    <t>DALPBC</t>
  </si>
  <si>
    <t>CFIAFB20010012</t>
  </si>
  <si>
    <t>CAL-FD-2001-MC-0066</t>
  </si>
  <si>
    <t>2019-CAL-0097</t>
  </si>
  <si>
    <t>Raw Meat | Beef | Ground</t>
  </si>
  <si>
    <t>O157 (100.0):H7 (100.0)</t>
  </si>
  <si>
    <t>eae;hlyAEc;O157;VT1;VT2;uidA</t>
  </si>
  <si>
    <t>macrolide(mdf(A) (98.54%));</t>
  </si>
  <si>
    <t>SAMN13333304</t>
  </si>
  <si>
    <t>GCA_027230505.1</t>
  </si>
  <si>
    <t>SRS16250998</t>
  </si>
  <si>
    <t>SRR22858833</t>
  </si>
  <si>
    <t>PDT001543170.1</t>
  </si>
  <si>
    <t>DALOZW000000000.1</t>
  </si>
  <si>
    <t>DALOZW</t>
  </si>
  <si>
    <t>PDS000035066.74</t>
  </si>
  <si>
    <t>CFIAFB20010013</t>
  </si>
  <si>
    <t>CAL-FD-2001-MC-0585</t>
  </si>
  <si>
    <t>2019-CAL-0098</t>
  </si>
  <si>
    <t>SAMN13333305</t>
  </si>
  <si>
    <t>GCA_027234705.1</t>
  </si>
  <si>
    <t>SRS16250997</t>
  </si>
  <si>
    <t>SRR22858834</t>
  </si>
  <si>
    <t>PDT001543171.1</t>
  </si>
  <si>
    <t>DALPHQ000000000.1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</si>
  <si>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</si>
  <si>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DALPHQ</t>
  </si>
  <si>
    <t>CFIAFB20010014</t>
  </si>
  <si>
    <t>CAL-FD-2001-MC-0672</t>
  </si>
  <si>
    <t>2019-CAL-0099</t>
  </si>
  <si>
    <t>eae;hlyAEc;O157;VT2;uidA</t>
  </si>
  <si>
    <t>Stx2a_1_X07865</t>
  </si>
  <si>
    <t>SAMN13333306</t>
  </si>
  <si>
    <t>GCA_027230485.1</t>
  </si>
  <si>
    <t>SRS16250996</t>
  </si>
  <si>
    <t>SRR22858835</t>
  </si>
  <si>
    <t>PDT001543172.1</t>
  </si>
  <si>
    <t>DALOZR000000000.1</t>
  </si>
  <si>
    <t>eae=COMPLETE,ehxA=COMPLETE,espA=COMPLETE,espB=COMPLETE,espJ=PARTIAL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</si>
  <si>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DALOZR</t>
  </si>
  <si>
    <t>CFIAFB20020028</t>
  </si>
  <si>
    <t>BUR-FD-2002-MI-00344</t>
  </si>
  <si>
    <t>2016-BUR-0136</t>
  </si>
  <si>
    <t>SAMN13333330</t>
  </si>
  <si>
    <t>GCA_027232985.1</t>
  </si>
  <si>
    <t>SRS16250995</t>
  </si>
  <si>
    <t>SRR22858836</t>
  </si>
  <si>
    <t>PDT001543173.1</t>
  </si>
  <si>
    <t>2022-12-22T05:40:02Z</t>
  </si>
  <si>
    <t>DALPEL000000000.1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</si>
  <si>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ir=COMPLETE,toxB=COMPLETE</t>
  </si>
  <si>
    <t>DALPEL</t>
  </si>
  <si>
    <t>PDS000048338.5</t>
  </si>
  <si>
    <t>CFIAFB20040032</t>
  </si>
  <si>
    <t>CAL-FD-2004-MI-0590</t>
  </si>
  <si>
    <t>2017-CAL-0120</t>
  </si>
  <si>
    <t>Raw Meat | Beef | Trim</t>
  </si>
  <si>
    <t>Stx2c_17_AB015057</t>
  </si>
  <si>
    <t>SAMN13333346</t>
  </si>
  <si>
    <t>GCA_027234685.1</t>
  </si>
  <si>
    <t>SRS16250994</t>
  </si>
  <si>
    <t>SRR22858837</t>
  </si>
  <si>
    <t>PDT001543174.1</t>
  </si>
  <si>
    <t>DALPHP000000000.1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</si>
  <si>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2c=COMPLETE,stxB2c=COMPLETE,tccP=PARTIAL_END_OF_CONTIG,tir=COMPLETE,toxB=COMPLETE</t>
  </si>
  <si>
    <t>DALPHP</t>
  </si>
  <si>
    <t>PDS000181369.214</t>
  </si>
  <si>
    <t>CFIAFB20040033</t>
  </si>
  <si>
    <t>2017-CAL-0119</t>
  </si>
  <si>
    <t>Stx2a_1_JH968311.1</t>
  </si>
  <si>
    <t>SAMN13333347</t>
  </si>
  <si>
    <t>GCA_027233005.2</t>
  </si>
  <si>
    <t>SRS16250993</t>
  </si>
  <si>
    <t>SRR22858838</t>
  </si>
  <si>
    <t>PDT001543175.2</t>
  </si>
  <si>
    <t>DALPEJ000000000.2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</si>
  <si>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2_operon=PARTIAL_CONTIG_END,stx2a_operon=COMPLETE,stx2c_operon=COMPLETE,stxA2=COMPLETE,stxA2=PARTIAL_END_OF_CONTIG,stxB2=COMPLETE,tccP=PARTIAL_END_OF_CONTIG,tir=COMPLETE,toxB=PARTIAL_END_OF_CONTIG</t>
  </si>
  <si>
    <t>acrF=MISTRANSLATION,blaEC=COMPLETE,mdtM=COMPLETE</t>
  </si>
  <si>
    <t>DALPEJ</t>
  </si>
  <si>
    <t>CFIAFB20040034</t>
  </si>
  <si>
    <t>CAL-FD-2004-MI-1215</t>
  </si>
  <si>
    <t>2017-CAL-0121</t>
  </si>
  <si>
    <t>Raw Meat | Beef</t>
  </si>
  <si>
    <t>SAMN13333348</t>
  </si>
  <si>
    <t>GCA_027230445.1</t>
  </si>
  <si>
    <t>SRS16250992</t>
  </si>
  <si>
    <t>SRR22858839</t>
  </si>
  <si>
    <t>PDT001543176.1</t>
  </si>
  <si>
    <t>DALOZQ000000000.1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</si>
  <si>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PARTIAL_END_OF_CONTIG</t>
  </si>
  <si>
    <t>DALOZQ</t>
  </si>
  <si>
    <t>PDS000004368.92</t>
  </si>
  <si>
    <t>CFIAFB20040035</t>
  </si>
  <si>
    <t>DAR-FD-2004-MI-00406</t>
  </si>
  <si>
    <t>2017-CAL-0118</t>
  </si>
  <si>
    <t>SAMN13333349</t>
  </si>
  <si>
    <t>GCA_027226755.1</t>
  </si>
  <si>
    <t>SRS16250991</t>
  </si>
  <si>
    <t>SRR22858840</t>
  </si>
  <si>
    <t>PDT001543177.1</t>
  </si>
  <si>
    <t>DALOWH000000000.1</t>
  </si>
  <si>
    <t>eae=COMPLETE,ehxA=COMPLETE,espA=COMPLETE,espB=COMPLETE,espJ=PARTIAL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</si>
  <si>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DALOWH</t>
  </si>
  <si>
    <t>CFIAFB20040036</t>
  </si>
  <si>
    <t>STH-FD-2004-MI-0263</t>
  </si>
  <si>
    <t>2017-CAL-0117</t>
  </si>
  <si>
    <t>eae;hlyAEc;O157;VT1;uidA</t>
  </si>
  <si>
    <t>Stx1a_9_AF461168</t>
  </si>
  <si>
    <t>SAMN13333350</t>
  </si>
  <si>
    <t>GCA_027231165.1</t>
  </si>
  <si>
    <t>SRS16250989</t>
  </si>
  <si>
    <t>SRR22858842</t>
  </si>
  <si>
    <t>PDT001543179.1</t>
  </si>
  <si>
    <t>2022-12-22T05:40:03Z</t>
  </si>
  <si>
    <t>DALPBA000000000.1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</si>
  <si>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nleC=PARTIAL_END_OF_CONTIG,stxA1a=COMPLETE,stxB1a=COMPLETE,tccP=PARTIAL_END_OF_CONTIG,tir=COMPLETE,toxB=PARTIAL_END_OF_CONTIG</t>
  </si>
  <si>
    <t>DALPBA</t>
  </si>
  <si>
    <t>CFIAFB20050045</t>
  </si>
  <si>
    <t>STH-FD-2005-MI-1439</t>
  </si>
  <si>
    <t>2017-CAL-0123</t>
  </si>
  <si>
    <t>SAMN13333360</t>
  </si>
  <si>
    <t>GCA_027226725.1</t>
  </si>
  <si>
    <t>SRS16250988</t>
  </si>
  <si>
    <t>SRR22858843</t>
  </si>
  <si>
    <t>PDT001543180.1</t>
  </si>
  <si>
    <t>DALOWF000000000.1</t>
  </si>
  <si>
    <t>DALOWF</t>
  </si>
  <si>
    <t>CFIAFB20070057</t>
  </si>
  <si>
    <t>CAL-FD-2007-MI-0509</t>
  </si>
  <si>
    <t>2017-CAL-0125</t>
  </si>
  <si>
    <t>SAMN13333371</t>
  </si>
  <si>
    <t>GCA_027226705.1</t>
  </si>
  <si>
    <t>SRS16250987</t>
  </si>
  <si>
    <t>SRR22858844</t>
  </si>
  <si>
    <t>PDT001543181.1</t>
  </si>
  <si>
    <t>DALOWD000000000.1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</si>
  <si>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</si>
  <si>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DALOWD</t>
  </si>
  <si>
    <t>PDS000004357.37</t>
  </si>
  <si>
    <t>CFIAFB20070058</t>
  </si>
  <si>
    <t>CAL-FD-2007-MI-0510</t>
  </si>
  <si>
    <t>2017-CAL-0126</t>
  </si>
  <si>
    <t>SAMN13333372</t>
  </si>
  <si>
    <t>GCA_027227685.1</t>
  </si>
  <si>
    <t>SRS16250986</t>
  </si>
  <si>
    <t>SRR22858845</t>
  </si>
  <si>
    <t>PDT001543182.1</t>
  </si>
  <si>
    <t>DALOWY000000000.1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</si>
  <si>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</si>
  <si>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DALOWY</t>
  </si>
  <si>
    <t>CFIAFB20070059</t>
  </si>
  <si>
    <t>CAL-FD-2007-MI-0520</t>
  </si>
  <si>
    <t>2017-CAL-0127</t>
  </si>
  <si>
    <t>SAMN13333373</t>
  </si>
  <si>
    <t>GCA_027236565.1</t>
  </si>
  <si>
    <t>SRS16250985</t>
  </si>
  <si>
    <t>SRR22858846</t>
  </si>
  <si>
    <t>PDT001543183.1</t>
  </si>
  <si>
    <t>2022-12-22T05:40:04Z</t>
  </si>
  <si>
    <t>DALPIS000000000.1</t>
  </si>
  <si>
    <t>DALPIS</t>
  </si>
  <si>
    <t>CFIAFB20070060</t>
  </si>
  <si>
    <t>CAL-FD-2007-MI-0566</t>
  </si>
  <si>
    <t>2017-CAL-0128</t>
  </si>
  <si>
    <t>Stx1a_9_AB035142|Stx2a_1_DALPAZ010000087.1</t>
  </si>
  <si>
    <t>SAMN13333374</t>
  </si>
  <si>
    <t>GCA_027231185.1</t>
  </si>
  <si>
    <t>SRS16250984</t>
  </si>
  <si>
    <t>SRR22858847</t>
  </si>
  <si>
    <t>PDT001543184.1</t>
  </si>
  <si>
    <t>DALPAZ000000000.1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</si>
  <si>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</t>
  </si>
  <si>
    <t>DALPAZ</t>
  </si>
  <si>
    <t>CFIAFB20070062</t>
  </si>
  <si>
    <t>CAL-FD-2007-MI-0694</t>
  </si>
  <si>
    <t>2017-CAL-0226</t>
  </si>
  <si>
    <t>vtx1a;vtx2c</t>
  </si>
  <si>
    <t>Stx1a_9_AB035142|Stx2c_17_AB015057</t>
  </si>
  <si>
    <t>SAMN13333376</t>
  </si>
  <si>
    <t>GCA_027231965.1</t>
  </si>
  <si>
    <t>SRS16250983</t>
  </si>
  <si>
    <t>SRR22858848</t>
  </si>
  <si>
    <t>PDT001543185.1</t>
  </si>
  <si>
    <t>DALPCL000000000.1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</si>
  <si>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nleC=MISTRANSLATION,stxA1a=COMPLETE,stxA2c=COMPLETE,stxB1a=COMPLETE,stxB2c=COMPLETE,tccP=PARTIAL_END_OF_CONTIG,tir=COMPLETE,toxB=COMPLETE</t>
  </si>
  <si>
    <t>DALPCL</t>
  </si>
  <si>
    <t>PDS000026529.30</t>
  </si>
  <si>
    <t>CFIAFB20070063</t>
  </si>
  <si>
    <t>2017-CAL-0227</t>
  </si>
  <si>
    <t>new</t>
  </si>
  <si>
    <t>SAMN13333377</t>
  </si>
  <si>
    <t>GCA_027227665.1</t>
  </si>
  <si>
    <t>SRS16250982</t>
  </si>
  <si>
    <t>SRR22858849</t>
  </si>
  <si>
    <t>PDT001543186.1</t>
  </si>
  <si>
    <t>DALOXA000000000.1</t>
  </si>
  <si>
    <t>DALOXA</t>
  </si>
  <si>
    <t>PDS000071644.38</t>
  </si>
  <si>
    <t>CFIAFB20070064</t>
  </si>
  <si>
    <t>CAL-FD-2007-MI-0720</t>
  </si>
  <si>
    <t>2017-CAL-0229</t>
  </si>
  <si>
    <t>SAMN13333378</t>
  </si>
  <si>
    <t>GCA_027230365.1</t>
  </si>
  <si>
    <t>SRS16250981</t>
  </si>
  <si>
    <t>SRR22858850</t>
  </si>
  <si>
    <t>PDT001543187.1</t>
  </si>
  <si>
    <t>DALOZO000000000.1</t>
  </si>
  <si>
    <t>DALOZO</t>
  </si>
  <si>
    <t>PDS000035074.4</t>
  </si>
  <si>
    <t>OLC0803</t>
  </si>
  <si>
    <t>CFIAFB20080069</t>
  </si>
  <si>
    <t>STH-FD-2008-MI-0406</t>
  </si>
  <si>
    <t>2016-SEQ-0250</t>
  </si>
  <si>
    <t xml:space="preserve">VEAL TRIM </t>
  </si>
  <si>
    <t>aph(3'')-Ib (100.0%) Aminoglycoside;aph(6)-Id (100.0%) Aminoglycoside;floR (98.11%) Phenicol;sul2 (100.0%) sulphonamide;tet(A) (100.0%) Tetracycline</t>
  </si>
  <si>
    <t>SAMN13333399</t>
  </si>
  <si>
    <t>GCA_027872745.1</t>
  </si>
  <si>
    <t>SRS12174895</t>
  </si>
  <si>
    <t>SRR18215057</t>
  </si>
  <si>
    <t>PDT001563936.1</t>
  </si>
  <si>
    <t>2023-01-05T21:49:26Z</t>
  </si>
  <si>
    <t>DAMHJQ000000000.1</t>
  </si>
  <si>
    <t>emrE=COMPLETE,merA=COMPLETE,merB=COMPLETE,merD=COMPLETE,merE=COMPLETE,merP=COMPLETE,merR=COMPLETE,merT=COMPLETE,terD=COMPLETE,terW=COMPLETE,terZ=COMPLETE</t>
  </si>
  <si>
    <t>acrF=MISTRANSLATION,aph(3'')-Ib=COMPLETE,aph(6)-Id=COMPLETE,blaEC=COMPLETE,floR=COMPLETE,glpT_E448K=POINT,mdtM=COMPLETE,pmrB_Y358N=POINT,sul2=COMPLETE,tet(A)=COMPLETE</t>
  </si>
  <si>
    <t>DAMHJQ</t>
  </si>
  <si>
    <t>PDS000131321.1</t>
  </si>
  <si>
    <t>OLC0807</t>
  </si>
  <si>
    <t>CFIAFB20080070</t>
  </si>
  <si>
    <t>BUR-FD-2008-MI-00369</t>
  </si>
  <si>
    <t>2016-SEQ-0251</t>
  </si>
  <si>
    <t>BEEF</t>
  </si>
  <si>
    <t>eae;O157;VT2;uidA</t>
  </si>
  <si>
    <t>SAMN13333400</t>
  </si>
  <si>
    <t>GCA_027230405.1</t>
  </si>
  <si>
    <t>SRS16250980</t>
  </si>
  <si>
    <t>SRR22858851</t>
  </si>
  <si>
    <t>PDT001543188.1</t>
  </si>
  <si>
    <t>DALOZN000000000.1</t>
  </si>
  <si>
    <t>eae=COMPLETE,ehxA=COMPLETE,espA=COMPLETE,espB=COMPLETE,espF=PARTIAL,espJ=COMPLETE,espK=COMPLETE,espP=COMPLETE,espX1=COMPLETE,etpD=COMPLETE,fdeC=COMPLETE,iha=COMPLETE,iss=COMPLETE,katP=COMPLETE,lpfA1=COMPLETE,lpfA2=COMPLETE,nleA=COMPLETE,nleB2=COMPLETE,nleB=COMPLETE,nleC=COMPLETE,stxA2c=COMPLETE,stxB2c=COMPLETE,tccP=PARTIAL_END_OF_CONTIG,tir=COMPLETE,toxB=COMPLETE</t>
  </si>
  <si>
    <t>DALOZN</t>
  </si>
  <si>
    <t>CFIAFB20080071</t>
  </si>
  <si>
    <t>BUR-FD-2008-MI-00706</t>
  </si>
  <si>
    <t>2016-BUR-0140</t>
  </si>
  <si>
    <t>SAMN13333401</t>
  </si>
  <si>
    <t>GCA_027231125.1</t>
  </si>
  <si>
    <t>SRS16250978</t>
  </si>
  <si>
    <t>SRR22858853</t>
  </si>
  <si>
    <t>PDT001543190.1</t>
  </si>
  <si>
    <t>2022-12-22T05:40:05Z</t>
  </si>
  <si>
    <t>DALPAX000000000.1</t>
  </si>
  <si>
    <t>DALPAX</t>
  </si>
  <si>
    <t>PDS000083644.150</t>
  </si>
  <si>
    <t>CFIAFB20080072</t>
  </si>
  <si>
    <t>BUR-FD-2008-MI-00773</t>
  </si>
  <si>
    <t>2016-BUR-0141</t>
  </si>
  <si>
    <t>SAMN13333402</t>
  </si>
  <si>
    <t>GCA_027234665.1</t>
  </si>
  <si>
    <t>SRS16250977</t>
  </si>
  <si>
    <t>SRR22858854</t>
  </si>
  <si>
    <t>PDT001543191.1</t>
  </si>
  <si>
    <t>DALPHO000000000.1</t>
  </si>
  <si>
    <t>eae=COMPLETE,ehxA=COMPLETE,espA=COMPLETE,espB=COMPLETE,espF=PARTIAL,espJ=PARTIAL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</si>
  <si>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DALPHO</t>
  </si>
  <si>
    <t>CFIAFB20080073</t>
  </si>
  <si>
    <t>CAL-FD-2008-MI-1429</t>
  </si>
  <si>
    <t>2017-CAL-0230</t>
  </si>
  <si>
    <t>Raw Meat | Beef | Trim | 85/15</t>
  </si>
  <si>
    <t>SAMN13333403</t>
  </si>
  <si>
    <t>GCA_027226685.1</t>
  </si>
  <si>
    <t>SRS16250976</t>
  </si>
  <si>
    <t>SRR22858855</t>
  </si>
  <si>
    <t>PDT001543192.1</t>
  </si>
  <si>
    <t>DALOWE000000000.1</t>
  </si>
  <si>
    <t>DALOWE</t>
  </si>
  <si>
    <t>PDS000076422.58</t>
  </si>
  <si>
    <t>CFIAFB20080074</t>
  </si>
  <si>
    <t>CAL-FD-2008-MI-1430</t>
  </si>
  <si>
    <t>2017-CAL-0231</t>
  </si>
  <si>
    <t>RTE Meat | BEEF SHORT RIBS</t>
  </si>
  <si>
    <t>SAMN13333404</t>
  </si>
  <si>
    <t>GCA_027230385.1</t>
  </si>
  <si>
    <t>SRS16250975</t>
  </si>
  <si>
    <t>SRR22858856</t>
  </si>
  <si>
    <t>PDT001543193.1</t>
  </si>
  <si>
    <t>DALOZM000000000.1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</si>
  <si>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</si>
  <si>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DALOZM</t>
  </si>
  <si>
    <t>OLF09002-1</t>
  </si>
  <si>
    <t>CFIAFB20090190</t>
  </si>
  <si>
    <t>OLF-PFGE-2008-003-773-6</t>
  </si>
  <si>
    <t>2014-SEQ-1302</t>
  </si>
  <si>
    <t>MEAT</t>
  </si>
  <si>
    <t>SAMN13333594</t>
  </si>
  <si>
    <t>GCA_027227705.1</t>
  </si>
  <si>
    <t>SRS16250974</t>
  </si>
  <si>
    <t>SRR22858857</t>
  </si>
  <si>
    <t>PDT001543194.1</t>
  </si>
  <si>
    <t>2022-12-22T05:40:06Z</t>
  </si>
  <si>
    <t>DALOWU000000000.1</t>
  </si>
  <si>
    <t>DALOWU</t>
  </si>
  <si>
    <t>OLF09002-2</t>
  </si>
  <si>
    <t>CFIAFB20090191</t>
  </si>
  <si>
    <t>OLF-PFGE-2008-003-773-14</t>
  </si>
  <si>
    <t>2014-SEQ-1303</t>
  </si>
  <si>
    <t>SAMN13333595</t>
  </si>
  <si>
    <t>GCA_027234645.1</t>
  </si>
  <si>
    <t>SRS16250973</t>
  </si>
  <si>
    <t>SRR22858858</t>
  </si>
  <si>
    <t>PDT001543195.1</t>
  </si>
  <si>
    <t>DALPHN000000000.1</t>
  </si>
  <si>
    <t>DALPHN</t>
  </si>
  <si>
    <t>OLF09008</t>
  </si>
  <si>
    <t>CFIAFB20090193</t>
  </si>
  <si>
    <t>MIS-FI-2008-MI-02144</t>
  </si>
  <si>
    <t>2014-SEQ-1304</t>
  </si>
  <si>
    <t>RTE MEAT</t>
  </si>
  <si>
    <t>aadA1 (99.75%) Aminoglycoside;aadA1 (99.75%) Aminoglycoside;sul1 (100.0%) sulphonamide;tet(A) (100.0%) Tetracycline</t>
  </si>
  <si>
    <t>SAMN13333596</t>
  </si>
  <si>
    <t>GCA_027230285.1</t>
  </si>
  <si>
    <t>SRS16250972</t>
  </si>
  <si>
    <t>SRR22858859</t>
  </si>
  <si>
    <t>PDT001543196.1</t>
  </si>
  <si>
    <t>DALOZJ000000000.1</t>
  </si>
  <si>
    <t>aadA1=COMPLETE,glpT_E448K=POINT,pmrB_Y358N=POINT,sul1=COMPLETE,tet(A)=COMPLETE</t>
  </si>
  <si>
    <t>eae=COMPLETE,ehxA=COMPLETE,espA=COMPLETE,espB=COMPLETE,espJ=COMPLETE,espK=COMPLETE,espP=COMPLETE,espX1=COMPLETE,etpD=COMPLETE,fdeC=COMPLETE,iha=COMPLETE,katP=COMPLETE,lpfA1=COMPLETE,lpfA2=COMPLETE,nleA=COMPLETE,nleB2=COMPLETE,nleB=COMPLETE,nleC=PARTIAL_END_OF_CONTIG,stxA1a=COMPLETE,stxA2c=COMPLETE,stxB1a=COMPLETE,stxB2a=COMPLETE,tccP=PARTIAL_END_OF_CONTIG,tir=COMPLETE,toxB=COMPLETE</t>
  </si>
  <si>
    <t>emrE=COMPLETE,merA=HMM,merC=COMPLETE,merD=HMM,merE=HMM,merP=COMPLETE,merR=COMPLETE,merT=COMPLETE,qacEdelta1=COMPLETE,terD=COMPLETE,terW=COMPLETE,terZ=COMPLETE</t>
  </si>
  <si>
    <t>aadA1=COMPLETE,acrF=MISTRANSLATION,blaEC=COMPLETE,glpT_E448K=POINT,mdtM=COMPLETE,pmrB_Y358N=POINT,sul1=COMPLETE,tet(A)=COMPLETE</t>
  </si>
  <si>
    <t>DALOZJ</t>
  </si>
  <si>
    <t>OLF09014</t>
  </si>
  <si>
    <t>CFIAFB20090196</t>
  </si>
  <si>
    <t>2181-5 MHC-1</t>
  </si>
  <si>
    <t>2014-SEQ-1305</t>
  </si>
  <si>
    <t>GROUND BEEF</t>
  </si>
  <si>
    <t>SAMN13333599</t>
  </si>
  <si>
    <t>GCA_027231105.1</t>
  </si>
  <si>
    <t>SRS16250971</t>
  </si>
  <si>
    <t>SRR22858860</t>
  </si>
  <si>
    <t>PDT001543197.1</t>
  </si>
  <si>
    <t>DALPAW000000000.1</t>
  </si>
  <si>
    <t>DALPAW</t>
  </si>
  <si>
    <t>PDS000026464.4</t>
  </si>
  <si>
    <t>OLF09021-1</t>
  </si>
  <si>
    <t>CFIAFB20090198</t>
  </si>
  <si>
    <t>CAL-FD-2008-MI-1776</t>
  </si>
  <si>
    <t>2014-SEQ-1306</t>
  </si>
  <si>
    <t>Beef</t>
  </si>
  <si>
    <t>SAMN13333600</t>
  </si>
  <si>
    <t>GCA_027230345.1</t>
  </si>
  <si>
    <t>SRS16250970</t>
  </si>
  <si>
    <t>SRR22858861</t>
  </si>
  <si>
    <t>PDT001543198.1</t>
  </si>
  <si>
    <t>DALOZL000000000.1</t>
  </si>
  <si>
    <t>DALOZL</t>
  </si>
  <si>
    <t>OLF09021-2</t>
  </si>
  <si>
    <t>CFIAFB20090199</t>
  </si>
  <si>
    <t>2014-SEQ-1307</t>
  </si>
  <si>
    <t>SAMN13333601</t>
  </si>
  <si>
    <t>GCA_027231135.1</t>
  </si>
  <si>
    <t>SRS16250969</t>
  </si>
  <si>
    <t>SRR22858862</t>
  </si>
  <si>
    <t>PDT001543199.1</t>
  </si>
  <si>
    <t>2022-12-22T05:40:07Z</t>
  </si>
  <si>
    <t>DALPAV000000000.1</t>
  </si>
  <si>
    <t>DALPAV</t>
  </si>
  <si>
    <t>OLF09025</t>
  </si>
  <si>
    <t>CFIAFB20090201</t>
  </si>
  <si>
    <t>CAL-FD-2009-MI-0006</t>
  </si>
  <si>
    <t>2014-SEQ-1308</t>
  </si>
  <si>
    <t>CORED BEEF TRIM</t>
  </si>
  <si>
    <t>SAMN13333602</t>
  </si>
  <si>
    <t>GCA_027226655.1</t>
  </si>
  <si>
    <t>SRS16250967</t>
  </si>
  <si>
    <t>SRR22858864</t>
  </si>
  <si>
    <t>PDT001543201.1</t>
  </si>
  <si>
    <t>DALOWC000000000.1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</si>
  <si>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c=COMPLETE,stxB1a=COMPLETE,stxB1a=PARTIAL_END_OF_CONTIG,stxB2a=COMPLETE,tccP=PARTIAL_END_OF_CONTIG,tir=COMPLETE,toxB=PARTIAL_END_OF_CONTIG</t>
  </si>
  <si>
    <t>DALOWC</t>
  </si>
  <si>
    <t>OLF09086-1</t>
  </si>
  <si>
    <t>CFIAFB20090227</t>
  </si>
  <si>
    <t>STH-FD-2009-MI-1158</t>
  </si>
  <si>
    <t>2014-SEQ-1309</t>
  </si>
  <si>
    <t>FOOD-MEAT</t>
  </si>
  <si>
    <t>SAMN13333615</t>
  </si>
  <si>
    <t>GCA_027227725.1</t>
  </si>
  <si>
    <t>SRS16250966</t>
  </si>
  <si>
    <t>SRR22858865</t>
  </si>
  <si>
    <t>PDT001543202.1</t>
  </si>
  <si>
    <t>DALOWV000000000.1</t>
  </si>
  <si>
    <t>eae=COMPLETE,ehxA=COMPLETE,espA=COMPLETE,espB=COMPLETE,espF=PARTIAL,espJ=PARTIAL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</si>
  <si>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DALOWV</t>
  </si>
  <si>
    <t>PDS000035421.5</t>
  </si>
  <si>
    <t>OLF09114-1</t>
  </si>
  <si>
    <t>CFIAFB20090264</t>
  </si>
  <si>
    <t>GTA-FD-2009-MI-01280</t>
  </si>
  <si>
    <t>2019-MER-0212</t>
  </si>
  <si>
    <t>Raw beef trim</t>
  </si>
  <si>
    <t>macrolide(mdf(A) (98.54%));phenicol(catA1 (99.85%));</t>
  </si>
  <si>
    <t>SAMN13333645</t>
  </si>
  <si>
    <t>GCA_027232925.1</t>
  </si>
  <si>
    <t>SRS16250965</t>
  </si>
  <si>
    <t>SRR22858866</t>
  </si>
  <si>
    <t>PDT001543203.1</t>
  </si>
  <si>
    <t>DALPEH000000000.1</t>
  </si>
  <si>
    <t>catA1=COMPLETE,glpT_E448K=POINT,pmrB_Y358N=POINT</t>
  </si>
  <si>
    <t>acrF=MISTRANSLATION,blaEC=COMPLETE,catA1=COMPLETE,glpT_E448K=POINT,mdtM=COMPLETE,pmrB_Y358N=POINT</t>
  </si>
  <si>
    <t>DALPEH</t>
  </si>
  <si>
    <t>OLF10029</t>
  </si>
  <si>
    <t>CFIAFB20100182</t>
  </si>
  <si>
    <t>GTA-FD-2009-MI-04170</t>
  </si>
  <si>
    <t>2014-SEQ-1312</t>
  </si>
  <si>
    <t>BEEF: raw, trim</t>
  </si>
  <si>
    <t>aph(3'')-Ib (100.0%) Colistin;aph(6)-Id (100.0%) Colistin;floR (98.11%) Phenicol;sul2 (100.0%) sulphonamide;tet(A) (100.0%) Tetracycline</t>
  </si>
  <si>
    <t>SAMN13333830</t>
  </si>
  <si>
    <t>GCA_027230325.1</t>
  </si>
  <si>
    <t>SRS16250964</t>
  </si>
  <si>
    <t>SRR22858867</t>
  </si>
  <si>
    <t>PDT001543204.1</t>
  </si>
  <si>
    <t>2022-12-22T05:40:08Z</t>
  </si>
  <si>
    <t>DALOZK000000000.1</t>
  </si>
  <si>
    <t>aph(3'')-Ib=COMPLETE,aph(3'')-Ib=PARTIAL_END_OF_CONTIG,aph(6)-Id=COMPLETE,floR=COMPLETE,glpT_E448K=POINT,pmrB_Y358N=POINT,sul2=COMPLETE,sul2=PARTIAL_END_OF_CONTIG,tet(A)=COMPLETE</t>
  </si>
  <si>
    <t>acrF=MISTRANSLATION,aph(3'')-Ib=COMPLETE,aph(3'')-Ib=PARTIAL_END_OF_CONTIG,aph(6)-Id=COMPLETE,blaEC=COMPLETE,floR=COMPLETE,glpT_E448K=POINT,mdtM=COMPLETE,pmrB_Y358N=POINT,sul2=COMPLETE,sul2=PARTIAL_END_OF_CONTIG,tet(A)=COMPLETE</t>
  </si>
  <si>
    <t>DALOZK</t>
  </si>
  <si>
    <t>OLF10049-1</t>
  </si>
  <si>
    <t>CFIAFB20100189</t>
  </si>
  <si>
    <t xml:space="preserve">GTA-FD-2010-MI-00160 </t>
  </si>
  <si>
    <t>2017-MER-0306</t>
  </si>
  <si>
    <t>BEEF TRIM</t>
  </si>
  <si>
    <t>SAMN13333833</t>
  </si>
  <si>
    <t>GCA_027230265.1</t>
  </si>
  <si>
    <t>SRS16250963</t>
  </si>
  <si>
    <t>SRR22858868</t>
  </si>
  <si>
    <t>PDT001543205.1</t>
  </si>
  <si>
    <t>DALOZI000000000.1</t>
  </si>
  <si>
    <t>DALOZI</t>
  </si>
  <si>
    <t>PDS000129729.1</t>
  </si>
  <si>
    <t>OLF10049-2</t>
  </si>
  <si>
    <t>CFIAFB20100190</t>
  </si>
  <si>
    <t>GTA-FD-2010-MI-00160</t>
  </si>
  <si>
    <t>2014-SEQ-1314</t>
  </si>
  <si>
    <t>SAMN13333834</t>
  </si>
  <si>
    <t>GCA_027234745.1</t>
  </si>
  <si>
    <t>SRS16250962</t>
  </si>
  <si>
    <t>SRR22858869</t>
  </si>
  <si>
    <t>PDT001543206.1</t>
  </si>
  <si>
    <t>DALPHM000000000.1</t>
  </si>
  <si>
    <t>DALPHM</t>
  </si>
  <si>
    <t>OLF10054</t>
  </si>
  <si>
    <t>CFIAFB20100193</t>
  </si>
  <si>
    <t>OTT-FD-2010-MI-0124</t>
  </si>
  <si>
    <t>2014-SEQ-1315</t>
  </si>
  <si>
    <t>Ground beef/trim</t>
  </si>
  <si>
    <t>aadA1 (99.87%) Aminoglycoside;aadA2 (100.0%) Aminoglycoside;cmlA1 (99.92%) Phenicol;sul3 (100.0%) sulphonamide;tet(A) (100.0%) Tetracycline</t>
  </si>
  <si>
    <t>SAMN13333836</t>
  </si>
  <si>
    <t>GCA_027234625.1</t>
  </si>
  <si>
    <t>SRS16250961</t>
  </si>
  <si>
    <t>SRR22858870</t>
  </si>
  <si>
    <t>PDT001543207.1</t>
  </si>
  <si>
    <t>DALPHL000000000.1</t>
  </si>
  <si>
    <t>aadA1=COMPLETE,aadA1=PARTIAL_END_OF_CONTIG,aadA2=COMPLETE,cmlA1=COMPLETE,glpT_E448K=POINT,pmrB_Y358N=POINT,sul3=COMPLETE,tet(A)=COMPLETE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</si>
  <si>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=COMPLETE,stxA2=COMPLETE,stxB1=COMPLETE,stxB2=COMPLETE,tccP=PARTIAL_END_OF_CONTIG,tir=COMPLETE,toxB=COMPLETE</t>
  </si>
  <si>
    <t>emrE=COMPLETE,merA=HMM,merC=COMPLETE,merD=HMM,merE=HMM,merP=COMPLETE,merR=COMPLETE,merT=COMPLETE,qacL=COMPLETE,terD=COMPLETE,terW=COMPLETE,terZ=COMPLETE</t>
  </si>
  <si>
    <t>aadA1=COMPLETE,aadA1=PARTIAL_END_OF_CONTIG,aadA2=COMPLETE,acrF=MISTRANSLATION,blaEC=COMPLETE,cmlA1=COMPLETE,glpT_E448K=POINT,mdtM=COMPLETE,pmrB_Y358N=POINT,sul3=COMPLETE,tet(A)=COMPLETE</t>
  </si>
  <si>
    <t>DALPHL</t>
  </si>
  <si>
    <t>PDS000129682.1</t>
  </si>
  <si>
    <t>OLF10122-1</t>
  </si>
  <si>
    <t>CFIAFB20100212</t>
  </si>
  <si>
    <t>GTA-FD-2010-MI-02108</t>
  </si>
  <si>
    <t>2015-SEQ-0036</t>
  </si>
  <si>
    <t>MINCED VEAL</t>
  </si>
  <si>
    <t>aac(3) (99.78%) Quinolone;aadA1 (100.0%) Aminoglycoside;sul1 (100.0%) sulphonamide;tet(A) (100.0%) Tetracycline</t>
  </si>
  <si>
    <t>SAMN13333849</t>
  </si>
  <si>
    <t>GCA_027236485.1</t>
  </si>
  <si>
    <t>SRS16250960</t>
  </si>
  <si>
    <t>SRR22858871</t>
  </si>
  <si>
    <t>PDT001543208.1</t>
  </si>
  <si>
    <t>DALPIR000000000.1</t>
  </si>
  <si>
    <t>aac(3)-VIa=COMPLETE,aadA1=COMPLETE,glpT_E448K=POINT,pmrB_Y358N=POINT,sul1=COMPLETE,tet(A)=COMPLETE</t>
  </si>
  <si>
    <t>eae=COMPLETE,ehxA=COMPLETE,espA=COMPLETE,espB=COMPLETE,espJ=COMPLETE,espK=COMPLETE,espP=COMPLETE,etpD=COMPLETE,fdeC=COMPLETE,iha=COMPLETE,katP=COMPLETE,lpfA1=COMPLETE,lpfA2=COMPLETE,nleA=COMPLETE,nleB2=COMPLETE,nleB=COMPLETE,nleC=COMPLETE,stxA2=COMPLETE,stxB2=COMPLETE,tccP=PARTIAL_END_OF_CONTIG,tir=COMPLETE</t>
  </si>
  <si>
    <t>ariR=COMPLETE,emrE=COMPLETE,emrE=PARTIAL_END_OF_CONTIG,merA=HMM,merC=COMPLETE,merD=HMM,merE=HMM,merP=COMPLETE,merR=COMPLETE,merT=COMPLETE,qacE=COMPLETE,qacEdelta1=COMPLETE,terD=COMPLETE,terW=COMPLETE,terZ=COMPLETE</t>
  </si>
  <si>
    <t>aac(3)-VIa=COMPLETE,aadA1=COMPLETE,acrF=MISTRANSLATION,blaEC=COMPLETE,glpT_E448K=POINT,mdtM=COMPLETE,pmrB_Y358N=POINT,sul1=COMPLETE,tet(A)=COMPLETE</t>
  </si>
  <si>
    <t>DALPIR</t>
  </si>
  <si>
    <t>PDS000129716.1</t>
  </si>
  <si>
    <t>OLF10122-2</t>
  </si>
  <si>
    <t>CFIAFB20100213</t>
  </si>
  <si>
    <t>GTA-FD-2010-MI-02109</t>
  </si>
  <si>
    <t>2015-SEQ-0037</t>
  </si>
  <si>
    <t>SAMN13333850</t>
  </si>
  <si>
    <t>GCA_027231085.1</t>
  </si>
  <si>
    <t>SRS16250959</t>
  </si>
  <si>
    <t>SRR22858872</t>
  </si>
  <si>
    <t>PDT001543209.1</t>
  </si>
  <si>
    <t>2022-12-22T05:40:09Z</t>
  </si>
  <si>
    <t>DALPAU000000000.1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</si>
  <si>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2c=COMPLETE,stxB2c=COMPLETE,tccP=PARTIAL_END_OF_CONTIG,tir=COMPLETE,toxB=COMPLETE</t>
  </si>
  <si>
    <t>ariR=COMPLETE,emrE=COMPLETE,emrE=PARTIAL_END_OF_CONTIG,merA=HMM,merC=COMPLETE,merD=HMM,merE=HMM,merP=COMPLETE,merR=COMPLETE,merT=COMPLETE,qacEdelta1=COMPLETE,terD=COMPLETE,terW=COMPLETE,terZ=COMPLETE</t>
  </si>
  <si>
    <t>DALPAU</t>
  </si>
  <si>
    <t>OLF10125-1</t>
  </si>
  <si>
    <t>CFIAFB20100214</t>
  </si>
  <si>
    <t>GTA-FD-2010-MI-02102</t>
  </si>
  <si>
    <t>2017-MER-0539</t>
  </si>
  <si>
    <t>SAMN13333851</t>
  </si>
  <si>
    <t>GCA_027229285.1</t>
  </si>
  <si>
    <t>SRS16250958</t>
  </si>
  <si>
    <t>SRR22858873</t>
  </si>
  <si>
    <t>PDT001543210.1</t>
  </si>
  <si>
    <t>DALOYG000000000.1</t>
  </si>
  <si>
    <t>DALOYG</t>
  </si>
  <si>
    <t>OLF10127</t>
  </si>
  <si>
    <t>CFIAFB20100215</t>
  </si>
  <si>
    <t>OTT-FD-2010-MI-0980</t>
  </si>
  <si>
    <t>2015-SEQ-0039</t>
  </si>
  <si>
    <t>SAMN13333852</t>
  </si>
  <si>
    <t>GCA_027235485.1</t>
  </si>
  <si>
    <t>SRS16250956</t>
  </si>
  <si>
    <t>SRR22858875</t>
  </si>
  <si>
    <t>PDT001543212.1</t>
  </si>
  <si>
    <t>DALPIF000000000.1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</si>
  <si>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=COMPLETE,stxA2=COMPLETE,stxB1=COMPLETE,stxB2=COMPLETE,tccP=PARTIAL_END_OF_CONTIG,tir=COMPLETE,toxB=COMPLETE</t>
  </si>
  <si>
    <t>DALPIF</t>
  </si>
  <si>
    <t>OLF10111-2</t>
  </si>
  <si>
    <t>CFIAFB20100224</t>
  </si>
  <si>
    <t>GTA-FD-2010-MI-01856</t>
  </si>
  <si>
    <t>2017-GTA-0164</t>
  </si>
  <si>
    <t>Beef burgers</t>
  </si>
  <si>
    <t>SAMN13333854</t>
  </si>
  <si>
    <t>GCA_027234605.1</t>
  </si>
  <si>
    <t>SRS16250955</t>
  </si>
  <si>
    <t>SRR22858876</t>
  </si>
  <si>
    <t>PDT001543213.1</t>
  </si>
  <si>
    <t>DALPHJ000000000.1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</si>
  <si>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ccP=PARTIAL,tccP=PARTIAL_END_OF_CONTIG,tir=COMPLETE,toxB=COMPLETE</t>
  </si>
  <si>
    <t>DALPHJ</t>
  </si>
  <si>
    <t>OLF10111-3</t>
  </si>
  <si>
    <t>CFIAFB20100225</t>
  </si>
  <si>
    <t>2017-GTA-0165</t>
  </si>
  <si>
    <t>SAMN13333855</t>
  </si>
  <si>
    <t>GCA_027231005.1</t>
  </si>
  <si>
    <t>SRS16250954</t>
  </si>
  <si>
    <t>SRR22858877</t>
  </si>
  <si>
    <t>PDT001543214.1</t>
  </si>
  <si>
    <t>DALPAS000000000.1</t>
  </si>
  <si>
    <t>DALPAS</t>
  </si>
  <si>
    <t>OLF10111-4</t>
  </si>
  <si>
    <t>CFIAFB20100226</t>
  </si>
  <si>
    <t>2017-GTA-0166</t>
  </si>
  <si>
    <t>SAMN13333856</t>
  </si>
  <si>
    <t>GCA_027236425.1</t>
  </si>
  <si>
    <t>SRS16250953</t>
  </si>
  <si>
    <t>SRR22858878</t>
  </si>
  <si>
    <t>PDT001543215.1</t>
  </si>
  <si>
    <t>DALPIQ000000000.1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</si>
  <si>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ccP=COMPLETE,tir=COMPLETE,toxB=COMPLETE</t>
  </si>
  <si>
    <t>DALPIQ</t>
  </si>
  <si>
    <t>OLF10125-2</t>
  </si>
  <si>
    <t>CFIAFB20100227</t>
  </si>
  <si>
    <t>2014-SEQ-0093</t>
  </si>
  <si>
    <t>beef trim</t>
  </si>
  <si>
    <t>SAMN13333857</t>
  </si>
  <si>
    <t>GCA_027229365.1</t>
  </si>
  <si>
    <t>SRS16250952</t>
  </si>
  <si>
    <t>SRR22858879</t>
  </si>
  <si>
    <t>PDT001543216.1</t>
  </si>
  <si>
    <t>DALOYF000000000.1</t>
  </si>
  <si>
    <t>DALOYF</t>
  </si>
  <si>
    <t>OLF10125-3</t>
  </si>
  <si>
    <t>CFIAFB20100228</t>
  </si>
  <si>
    <t>2014-SEQ-0094</t>
  </si>
  <si>
    <t>SAMN13333858</t>
  </si>
  <si>
    <t>GCA_027230225.1</t>
  </si>
  <si>
    <t>SRS16250946</t>
  </si>
  <si>
    <t>SRR22858885</t>
  </si>
  <si>
    <t>PDT001543222.1</t>
  </si>
  <si>
    <t>DALOZF000000000.1</t>
  </si>
  <si>
    <t>eae=COMPLETE,ehxA=COMPLETE,espA=COMPLETE,espB=COMPLETE,espJ=PARTIAL,espK=COMPLETE,espP=COMPLETE,etpD=COMPLETE,fdeC=COMPLETE,iha=COMPLETE,katP=COMPLETE,lpfA1=COMPLETE,lpfA2=COMPLETE,nleA=COMPLETE,nleB2=COMPLETE,nleB=COMPLETE,nleC=COMPLETE,stxA1=COMPLETE,stxA2=COMPLETE,stxB1=COMPLETE,stxB2=COMPLETE,tccP=PARTIAL_END_OF_CONTIG,tir=COMPLETE</t>
  </si>
  <si>
    <t>DALOZF</t>
  </si>
  <si>
    <t>OLF10125-4</t>
  </si>
  <si>
    <t>CFIAFB20100229</t>
  </si>
  <si>
    <t>2014-SEQ-0095</t>
  </si>
  <si>
    <t>SAMN13333859</t>
  </si>
  <si>
    <t>GCA_027234565.1</t>
  </si>
  <si>
    <t>SRS16250945</t>
  </si>
  <si>
    <t>SRR22858886</t>
  </si>
  <si>
    <t>PDT001543223.1</t>
  </si>
  <si>
    <t>DALPHK000000000.1</t>
  </si>
  <si>
    <t>DALPHK</t>
  </si>
  <si>
    <t>OLF10125-5</t>
  </si>
  <si>
    <t>CFIAFB20100230</t>
  </si>
  <si>
    <t>2014-SEQ-0096</t>
  </si>
  <si>
    <t>SAMN13333860</t>
  </si>
  <si>
    <t>GCA_027234585.1</t>
  </si>
  <si>
    <t>SRS16250944</t>
  </si>
  <si>
    <t>SRR22858887</t>
  </si>
  <si>
    <t>PDT001543224.1</t>
  </si>
  <si>
    <t>DALPHI000000000.1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</si>
  <si>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stxA1=COMPLETE,stxA2=COMPLETE,stxB1=COMPLETE,stxB2=COMPLETE,tccP=PARTIAL_END_OF_CONTIG,tir=COMPLETE,toxB=COMPLETE</t>
  </si>
  <si>
    <t>aadA1=COMPLETE,aadA1=PARTIAL_END_OF_CONTIG,aadA2=COMPLETE,acrF=MISTRANSLATION,blaEC=COMPLETE,blaEC=PARTIAL,cmlA1=COMPLETE,glpT_E448K=POINT,mdtM=COMPLETE,pmrB_Y358N=POINT,sul3=COMPLETE,tet(A)=COMPLETE</t>
  </si>
  <si>
    <t>DALPHI</t>
  </si>
  <si>
    <t>OLF11038</t>
  </si>
  <si>
    <t>CFIAFB20110113</t>
  </si>
  <si>
    <t>STH-FD-2011-MI-0517</t>
  </si>
  <si>
    <t>2015-SEQ-0040</t>
  </si>
  <si>
    <t>SAMN13333970</t>
  </si>
  <si>
    <t>GCA_027234005.1</t>
  </si>
  <si>
    <t>SRS16250943</t>
  </si>
  <si>
    <t>SRR22858888</t>
  </si>
  <si>
    <t>PDT001543225.1</t>
  </si>
  <si>
    <t>2022-12-22T05:40:12Z</t>
  </si>
  <si>
    <t>DALPGG000000000.1</t>
  </si>
  <si>
    <t>eae=COMPLETE,ehxA=COMPLETE,espA=COMPLETE,espB=COMPLETE,espF=PARTIAL,espJ=COMPLETE,espK=COMPLETE,espP=COMPLETE,espX1=COMPLETE,etpD=COMPLETE,fdeC=COMPLETE,iha=COMPLETE,katP=PARTIAL_END_OF_CONTIG,lpfA1=COMPLETE,lpfA2=COMPLETE,nleA=COMPLETE,nleB2=COMPLETE,nleB=COMPLETE,nleC=COMPLETE,stxA2c=COMPLETE,stxB2c=COMPLETE,tccP=PARTIAL_END_OF_CONTIG,tir=COMPLETE,toxB=PARTIAL_END_OF_CONTIG</t>
  </si>
  <si>
    <t>ariR=COMPLETE,emrE=COMPLETE,emrE=PARTIAL,terD=COMPLETE,terW=COMPLETE,terZ=COMPLETE</t>
  </si>
  <si>
    <t>DALPGG</t>
  </si>
  <si>
    <t>OLF11091</t>
  </si>
  <si>
    <t>CFIAFB20110122</t>
  </si>
  <si>
    <t>GTA-FD-2011-MI-00941</t>
  </si>
  <si>
    <t>2017-MER-0542</t>
  </si>
  <si>
    <t>SAMN13333978</t>
  </si>
  <si>
    <t>GCA_027230205.1</t>
  </si>
  <si>
    <t>SRS16250942</t>
  </si>
  <si>
    <t>SRR22858889</t>
  </si>
  <si>
    <t>PDT001543226.1</t>
  </si>
  <si>
    <t>DALOZC000000000.1</t>
  </si>
  <si>
    <t>eae=COMPLETE,ehxA=COMPLETE,espA=COMPLETE,espB=COMPLETE,espJ=COMPLETE,espK=COMPLETE,espP=COMPLETE,espX1=COMPLETE,etpD=COMPLETE,fdeC=COMPLETE,iha=COMPLETE,iss=COMPLETE,katP=COMPLETE,lpfA1=COMPLETE,lpfA2=COMPLETE,nleA=COMPLETE,nleB2=COMPLETE,nleB=COMPLETE,nleC=COMPLETE,stxA2c=COMPLETE,stxB2c=COMPLETE,tccP=PARTIAL_END_OF_CONTIG,tir=COMPLETE,toxB=COMPLETE</t>
  </si>
  <si>
    <t>DALOZC</t>
  </si>
  <si>
    <t>OLC1128</t>
  </si>
  <si>
    <t>CFIAFB20110141</t>
  </si>
  <si>
    <t>GTA-FD-2011-MI-00510</t>
  </si>
  <si>
    <t>2017-MER-0377</t>
  </si>
  <si>
    <t>Veal liver (white veal)</t>
  </si>
  <si>
    <t>SAMN13333984</t>
  </si>
  <si>
    <t>GCA_027234525.1</t>
  </si>
  <si>
    <t>SRS16250940</t>
  </si>
  <si>
    <t>SRR22858891</t>
  </si>
  <si>
    <t>PDT001543228.1</t>
  </si>
  <si>
    <t>DALPHG000000000.1</t>
  </si>
  <si>
    <t>eae=COMPLETE,ehxA=COMPLETE,espA=COMPLETE,espB=COMPLETE,espJ=COMPLETE,espK=COMPLETE,espP=PARTIAL_END_OF_CONTIG,espX1=COMPLETE,etpD=COMPLETE,fdeC=COMPLETE,iha=COMPLETE,katP=COMPLETE,lpfA1=COMPLETE,lpfA2=COMPLETE,nleA=COMPLETE,nleB2=COMPLETE,nleB=COMPLETE,nleC=COMPLETE,stxA2c=COMPLETE,stxB2a=COMPLETE,tccP=PARTIAL_END_OF_CONTIG,tir=COMPLETE,toxB=COMPLETE</t>
  </si>
  <si>
    <t>DALPHG</t>
  </si>
  <si>
    <t>PDS000129622.1</t>
  </si>
  <si>
    <t>OLC1359</t>
  </si>
  <si>
    <t>CFIAFB20110143</t>
  </si>
  <si>
    <t>GTA-FD-2011-MI-00512</t>
  </si>
  <si>
    <t>2019-MER-0040</t>
  </si>
  <si>
    <t>aminoglycoside(aadA1 (99.75%);aadA1 (99.75%));macrolide(mdf(A) (98.54%));sulphonamide(sul1 (100.0%));tetracycline(tet(A) (100.0%));</t>
  </si>
  <si>
    <t>SAMN13333986</t>
  </si>
  <si>
    <t>GCA_027239345.1</t>
  </si>
  <si>
    <t>SRS16250939</t>
  </si>
  <si>
    <t>SRR22858892</t>
  </si>
  <si>
    <t>PDT001543229.1</t>
  </si>
  <si>
    <t>DALPNB000000000.1</t>
  </si>
  <si>
    <t>eae=COMPLETE,ehxA=COMPLETE,espA=COMPLETE,espB=COMPLETE,espF=PARTIAL,espJ=COMPLETE,espK=COMPLETE,espP=PARTIAL_END_OF_CONTIG,espX1=COMPLETE,etpD=COMPLETE,fdeC=COMPLETE,iha=COMPLETE,katP=COMPLETE,lpfA1=COMPLETE,lpfA2=COMPLETE,nleA=COMPLETE,nleB2=COMPLETE,nleB=COMPLETE,nleC=COMPLETE,stxA2c=COMPLETE,stxB2a=COMPLETE,tccP=PARTIAL_END_OF_CONTIG,tir=COMPLETE,toxB=COMPLETE</t>
  </si>
  <si>
    <t>DALPNB</t>
  </si>
  <si>
    <t>OLC1338</t>
  </si>
  <si>
    <t>CFIAFB20110144</t>
  </si>
  <si>
    <t>GTA-FD-2011-MI-00595</t>
  </si>
  <si>
    <t>2017-GTA-0167</t>
  </si>
  <si>
    <t>Walnuts</t>
  </si>
  <si>
    <t>SAMN13333987</t>
  </si>
  <si>
    <t>GCA_027228545.1</t>
  </si>
  <si>
    <t>SRS16250938</t>
  </si>
  <si>
    <t>SRR22858893</t>
  </si>
  <si>
    <t>PDT001543230.1</t>
  </si>
  <si>
    <t>DALOXD000000000.1</t>
  </si>
  <si>
    <t>DALOXD</t>
  </si>
  <si>
    <t>OLF12010-1</t>
  </si>
  <si>
    <t>CFIAFB20120176</t>
  </si>
  <si>
    <t>GTA-FD-2011-MI-01604</t>
  </si>
  <si>
    <t>2015-SEQ-0044</t>
  </si>
  <si>
    <t>Stx1a_9_AF461168|Stx2c_17_AB015057</t>
  </si>
  <si>
    <t>aph(6)-Id (100.0%) Aminoglycoside;strA (100.0%) ;sul2 (100.0%) sulphonamide;tet(B) (100.0%) Tetracycline</t>
  </si>
  <si>
    <t>SAMN13334061</t>
  </si>
  <si>
    <t>GCA_027230185.1</t>
  </si>
  <si>
    <t>SRS16250937</t>
  </si>
  <si>
    <t>SRR22858894</t>
  </si>
  <si>
    <t>PDT001543231.1</t>
  </si>
  <si>
    <t>2022-12-22T05:40:13Z</t>
  </si>
  <si>
    <t>DALOZD000000000.1</t>
  </si>
  <si>
    <t>aph(3'')-Ib=COMPLETE,aph(6)-Id=COMPLETE,glpT_E448K=POINT,pmrB_Y358N=POINT,sul2=COMPLETE,tet(B)=COMPLETE</t>
  </si>
  <si>
    <t>eae=COMPLETE,ehxA=COMPLETE,espA=COMPLETE,espB=COMPLETE,espJ=COMPLETE,espK=COMPLETE,espP=COMPLETE,espX1=PARTIAL_END_OF_CONTIG,etpD=COMPLETE,fdeC=COMPLETE,iha=COMPLETE,iss=COMPLETE,katP=COMPLETE,lpfA1=COMPLETE,lpfA2=COMPLETE,nleA=COMPLETE,nleB2=COMPLETE,nleB=COMPLETE,nleC=COMPLETE,stxA1=COMPLETE,stxA2=COMPLETE,stxB1=COMPLETE,stxB2=COMPLETE,tccP=PARTIAL_END_OF_CONTIG,tir=COMPLETE,toxB=PARTIAL_END_OF_CONTIG</t>
  </si>
  <si>
    <t>acrF=MISTRANSLATION,aph(3'')-Ib=COMPLETE,aph(6)-Id=COMPLETE,blaEC=COMPLETE,glpT_E448K=POINT,mdtM=COMPLETE,pmrB_Y358N=POINT,sul2=COMPLETE,tet(B)=COMPLETE</t>
  </si>
  <si>
    <t>DALOZD</t>
  </si>
  <si>
    <t>OLF12013-1</t>
  </si>
  <si>
    <t>CFIAFB20120177</t>
  </si>
  <si>
    <t>CAL-FD-2011-MI-1357-1</t>
  </si>
  <si>
    <t>2016-SEQ-0396</t>
  </si>
  <si>
    <t>BEEF BURGER</t>
  </si>
  <si>
    <t>SAMN09668380</t>
  </si>
  <si>
    <t>GCA_012140265.1</t>
  </si>
  <si>
    <t>SRS3615470</t>
  </si>
  <si>
    <t>SRR7629315</t>
  </si>
  <si>
    <t>PDT000356164.2</t>
  </si>
  <si>
    <t>2018-08-01T01:02:35Z</t>
  </si>
  <si>
    <t>DAAZAF000000000.1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</si>
  <si>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c=COMPLETE,stxB1a=COMPLETE,stxB2a=COMPLETE,tir=COMPLETE,toxB=COMPLETE</t>
  </si>
  <si>
    <t>DAAZAF</t>
  </si>
  <si>
    <t>12-1569</t>
  </si>
  <si>
    <t>CFIAFB20120178</t>
  </si>
  <si>
    <t>CAL-FD-2011-MI-1357-2</t>
  </si>
  <si>
    <t>GCA_012140625.1</t>
  </si>
  <si>
    <t>Preformed beef patties</t>
  </si>
  <si>
    <t>SAMN09668381</t>
  </si>
  <si>
    <t>SRS3615488</t>
  </si>
  <si>
    <t>SRR7629297</t>
  </si>
  <si>
    <t>PDT000356146.2</t>
  </si>
  <si>
    <t>2018-08-01T01:02:32Z</t>
  </si>
  <si>
    <t>DAAZBA000000000.1</t>
  </si>
  <si>
    <t>DAAZBA</t>
  </si>
  <si>
    <t>12-1570</t>
  </si>
  <si>
    <t>CFIAFB20120179</t>
  </si>
  <si>
    <t>CAL-FD-2011-MI-1357-3</t>
  </si>
  <si>
    <t>GCA_012139605.1</t>
  </si>
  <si>
    <t>SAMN09668382</t>
  </si>
  <si>
    <t>SRS3615454</t>
  </si>
  <si>
    <t>SRR7629331</t>
  </si>
  <si>
    <t>PDT000356180.2</t>
  </si>
  <si>
    <t>2018-08-01T01:02:37Z</t>
  </si>
  <si>
    <t>DAAYZS000000000.1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</si>
  <si>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,toxB=PARTIAL_END_OF_CONTIG</t>
  </si>
  <si>
    <t>DAAYZS</t>
  </si>
  <si>
    <t>12-1571</t>
  </si>
  <si>
    <t>CFIAFB20120180</t>
  </si>
  <si>
    <t>CAL-FD-2011-MI-1354-4</t>
  </si>
  <si>
    <t>GCA_012139945.1</t>
  </si>
  <si>
    <t>SAMN09668383</t>
  </si>
  <si>
    <t>SRS3615463</t>
  </si>
  <si>
    <t>SRR7629322</t>
  </si>
  <si>
    <t>PDT000356171.2</t>
  </si>
  <si>
    <t>2018-08-01T01:02:36Z</t>
  </si>
  <si>
    <t>DAAZAC000000000.1</t>
  </si>
  <si>
    <t>DAAZAC</t>
  </si>
  <si>
    <t>12-1572</t>
  </si>
  <si>
    <t>CFIAFB20120181</t>
  </si>
  <si>
    <t>CAL-FD-2011-MI-1357-5</t>
  </si>
  <si>
    <t>GCA_012140725.1</t>
  </si>
  <si>
    <t>SAMN09668384</t>
  </si>
  <si>
    <t>SRS3615496</t>
  </si>
  <si>
    <t>SRR7629289</t>
  </si>
  <si>
    <t>PDT000356138.2</t>
  </si>
  <si>
    <t>2018-08-01T01:02:31Z</t>
  </si>
  <si>
    <t>DAAZBG000000000.1</t>
  </si>
  <si>
    <t>DAAZBG</t>
  </si>
  <si>
    <t>OLF12014-2</t>
  </si>
  <si>
    <t>CFIAFB20120182</t>
  </si>
  <si>
    <t>GTA-FD-2011-MI-01673</t>
  </si>
  <si>
    <t>2014-SEQ-0148</t>
  </si>
  <si>
    <t>PORK</t>
  </si>
  <si>
    <t>SAMN09668376</t>
  </si>
  <si>
    <t>GCA_012149025.1</t>
  </si>
  <si>
    <t>SRS3558915</t>
  </si>
  <si>
    <t>SRR7536943</t>
  </si>
  <si>
    <t>PDT000351477.2</t>
  </si>
  <si>
    <t>2018-07-18T17:45:16Z</t>
  </si>
  <si>
    <t>DAAZBO000000000.1</t>
  </si>
  <si>
    <t>DAAZBO</t>
  </si>
  <si>
    <t>12-1433</t>
  </si>
  <si>
    <t>CFIAFB20120183</t>
  </si>
  <si>
    <t>GTA-FD-2011-MI-01673- #2 SMAC 2 Beads</t>
  </si>
  <si>
    <t>GCA_012148805.1</t>
  </si>
  <si>
    <t>SAMN09668377</t>
  </si>
  <si>
    <t>SRS3558916</t>
  </si>
  <si>
    <t>SRR7536942</t>
  </si>
  <si>
    <t>PDT000351476.2</t>
  </si>
  <si>
    <t>2018-07-18T17:45:15Z</t>
  </si>
  <si>
    <t>DAAZBQ000000000.1</t>
  </si>
  <si>
    <t>DAAZBQ</t>
  </si>
  <si>
    <t>PDS000063298.90</t>
  </si>
  <si>
    <t>12-1434</t>
  </si>
  <si>
    <t>CFIAFB20120184</t>
  </si>
  <si>
    <t>GTA-FD-2011-MI-01675- #3 MHC 10 Bead</t>
  </si>
  <si>
    <t>GCA_012149105.1</t>
  </si>
  <si>
    <t>SAMN09668378</t>
  </si>
  <si>
    <t>SRS3558917</t>
  </si>
  <si>
    <t>SRR7536941</t>
  </si>
  <si>
    <t>PDT000351475.2</t>
  </si>
  <si>
    <t>DAAZBP000000000.1</t>
  </si>
  <si>
    <t>DAAZBP</t>
  </si>
  <si>
    <t>12-1435</t>
  </si>
  <si>
    <t>CFIAFB20120185</t>
  </si>
  <si>
    <t>GTA-FD-2011-MI-01675- #4 MHC 10 Beads</t>
  </si>
  <si>
    <t>GCA_012149165.1</t>
  </si>
  <si>
    <t>SAMN09668379</t>
  </si>
  <si>
    <t>SRS3558918</t>
  </si>
  <si>
    <t>SRR7536940</t>
  </si>
  <si>
    <t>PDT000351474.2</t>
  </si>
  <si>
    <t>DAAZBR000000000.1</t>
  </si>
  <si>
    <t>DAAZBR</t>
  </si>
  <si>
    <t>OLF12015-1</t>
  </si>
  <si>
    <t>CFIAFB20120186</t>
  </si>
  <si>
    <t>CAL-FD-2011-MI-1395-3</t>
  </si>
  <si>
    <t>2014-SEQ-0179</t>
  </si>
  <si>
    <t>SAMN09668385</t>
  </si>
  <si>
    <t>GCA_012139805.1</t>
  </si>
  <si>
    <t>SRS3615502</t>
  </si>
  <si>
    <t>SRR7629283</t>
  </si>
  <si>
    <t>PDT000356132.2</t>
  </si>
  <si>
    <t>2018-08-01T01:02:30Z</t>
  </si>
  <si>
    <t>DAAZBK000000000.1</t>
  </si>
  <si>
    <t>DAAZBK</t>
  </si>
  <si>
    <t>12-1576</t>
  </si>
  <si>
    <t>CFIAFB20120187</t>
  </si>
  <si>
    <t>CAL-FD-2011-MI-1396-6</t>
  </si>
  <si>
    <t>GCA_012141085.1</t>
  </si>
  <si>
    <t>SAMN09668386</t>
  </si>
  <si>
    <t>SRS3615474</t>
  </si>
  <si>
    <t>SRR7629311</t>
  </si>
  <si>
    <t>PDT000356160.2</t>
  </si>
  <si>
    <t>2018-08-01T01:02:34Z</t>
  </si>
  <si>
    <t>DAAZAM000000000.1</t>
  </si>
  <si>
    <t>DAAZAM</t>
  </si>
  <si>
    <t>12-1578</t>
  </si>
  <si>
    <t>CFIAFB20120188</t>
  </si>
  <si>
    <t>CAL-FD-2011-MI-1397-2</t>
  </si>
  <si>
    <t>GCA_012141125.1</t>
  </si>
  <si>
    <t>SAMN09668387</t>
  </si>
  <si>
    <t>SRS3615473</t>
  </si>
  <si>
    <t>SRR7629312</t>
  </si>
  <si>
    <t>PDT000356161.2</t>
  </si>
  <si>
    <t>DAAZAO000000000.1</t>
  </si>
  <si>
    <t>DAAZAO</t>
  </si>
  <si>
    <t>OLF12016-1</t>
  </si>
  <si>
    <t>CFIAFB20120189</t>
  </si>
  <si>
    <t>GTA-FD-2011-MI-01721</t>
  </si>
  <si>
    <t>2019-MER-0213</t>
  </si>
  <si>
    <t>Raw ground beef</t>
  </si>
  <si>
    <t>SAMN13334062</t>
  </si>
  <si>
    <t>GCA_027230165.2</t>
  </si>
  <si>
    <t>SRS16250936</t>
  </si>
  <si>
    <t>SRR22858895</t>
  </si>
  <si>
    <t>PDT001543232.2</t>
  </si>
  <si>
    <t>DALOZE000000000.2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</si>
  <si>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2_operon=PARTIAL_CONTIG_END,stx2a_operon=COMPLETE,stx2c_operon=COMPLETE,stxA2=COMPLETE,stxA2=PARTIAL_END_OF_CONTIG,stxB2=COMPLETE,tccP=PARTIAL_END_OF_CONTIG,tir=COMPLETE,toxB=COMPLETE</t>
  </si>
  <si>
    <t>DALOZE</t>
  </si>
  <si>
    <t>12-1887</t>
  </si>
  <si>
    <t>CFIAFB20120191</t>
  </si>
  <si>
    <t>GTA-FD-2011-MI-01771</t>
  </si>
  <si>
    <t>GCA_012140405.1</t>
  </si>
  <si>
    <t>SAMN09668393</t>
  </si>
  <si>
    <t>SRS3615479</t>
  </si>
  <si>
    <t>SRR7629305</t>
  </si>
  <si>
    <t>PDT000356154.2</t>
  </si>
  <si>
    <t>2018-08-01T01:02:33Z</t>
  </si>
  <si>
    <t>DAAZAU000000000.1</t>
  </si>
  <si>
    <t>DAAZAU</t>
  </si>
  <si>
    <t>OLF12019</t>
  </si>
  <si>
    <t>CFIAFB20120192</t>
  </si>
  <si>
    <t>2014-SEQ-0252</t>
  </si>
  <si>
    <t>Beef burger</t>
  </si>
  <si>
    <t>SAMN09668392</t>
  </si>
  <si>
    <t>GCA_012141005.1</t>
  </si>
  <si>
    <t>SRS3615468</t>
  </si>
  <si>
    <t>SRR7629317</t>
  </si>
  <si>
    <t>PDT000356166.2</t>
  </si>
  <si>
    <t>DAAZAJ000000000.1</t>
  </si>
  <si>
    <t>DAAZAJ</t>
  </si>
  <si>
    <t>OLF12034</t>
  </si>
  <si>
    <t>CFIAFB20120199</t>
  </si>
  <si>
    <t>STH-FD-2012-MI-0110</t>
  </si>
  <si>
    <t>2015-SEQ-0046</t>
  </si>
  <si>
    <t>SAMN13334068</t>
  </si>
  <si>
    <t>GCA_027226645.1</t>
  </si>
  <si>
    <t>SRS16250935</t>
  </si>
  <si>
    <t>SRR22858896</t>
  </si>
  <si>
    <t>PDT001543233.1</t>
  </si>
  <si>
    <t>DALOWG000000000.1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</si>
  <si>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stxA2c=COMPLETE,stxB2c=COMPLETE,tccP=PARTIAL_END_OF_CONTIG,tir=COMPLETE,toxB=PARTIAL_END_OF_CONTIG</t>
  </si>
  <si>
    <t>DALOWG</t>
  </si>
  <si>
    <t>PDS000129671.1</t>
  </si>
  <si>
    <t>OLF12044-1</t>
  </si>
  <si>
    <t>CFIAFB20120201</t>
  </si>
  <si>
    <t>GTA-FD-2012-MI-00164</t>
  </si>
  <si>
    <t>2014-SEQ-0149</t>
  </si>
  <si>
    <t>SAMN13334070</t>
  </si>
  <si>
    <t>GCA_027231025.1</t>
  </si>
  <si>
    <t>SRS16250934</t>
  </si>
  <si>
    <t>SRR22858897</t>
  </si>
  <si>
    <t>PDT001543234.1</t>
  </si>
  <si>
    <t>DALPAP000000000.1</t>
  </si>
  <si>
    <t>DALPAP</t>
  </si>
  <si>
    <t>OLF12062-1</t>
  </si>
  <si>
    <t>CFIAFB20120210</t>
  </si>
  <si>
    <t>GTA-FD-2012-MI-00508</t>
  </si>
  <si>
    <t>2015-SEQ-0048</t>
  </si>
  <si>
    <t>SAMN13334075</t>
  </si>
  <si>
    <t>GCA_027233945.1</t>
  </si>
  <si>
    <t>SRS16250933</t>
  </si>
  <si>
    <t>SRR22858898</t>
  </si>
  <si>
    <t>PDT001543235.1</t>
  </si>
  <si>
    <t>DALPGF000000000.1</t>
  </si>
  <si>
    <t>eae=COMPLETE,ehxA=COMPLETE,espA=COMPLETE,espB=COMPLETE,espF=PARTIAL,espJ=COMPLETE,espK=COMPLETE,espP=COMPLETE,espX1=PARTIAL_END_OF_CONTIG,etpD=COMPLETE,fdeC=COMPLETE,iha=COMPLETE,iss=COMPLETE,katP=COMPLETE,lpfA1=COMPLETE,lpfA2=COMPLETE,nleA=COMPLETE,nleB2=COMPLETE,nleB=COMPLETE,nleC=COMPLETE,stxA2=COMPLETE,stxB2=COMPLETE,tccP=PARTIAL_END_OF_CONTIG,tir=COMPLETE,toxB=PARTIAL_END_OF_CONTIG</t>
  </si>
  <si>
    <t>emrE=COMPLETE,merA=COMPLETE,merB=PARTIAL_END_OF_CONTIG,merD=COMPLETE,merE=COMPLETE,merP=COMPLETE,merR=COMPLETE,merT=COMPLETE,terD=COMPLETE,terW=COMPLETE,terZ=COMPLETE</t>
  </si>
  <si>
    <t>DALPGF</t>
  </si>
  <si>
    <t>PDS000129709.1</t>
  </si>
  <si>
    <t>OLF12062-2</t>
  </si>
  <si>
    <t>CFIAFB20120211</t>
  </si>
  <si>
    <t xml:space="preserve">GTA-FD-2012-MI-00508 </t>
  </si>
  <si>
    <t>2015-SEQ-0049</t>
  </si>
  <si>
    <t>SAMN13334076</t>
  </si>
  <si>
    <t>GCA_027230985.1</t>
  </si>
  <si>
    <t>SRS16250932</t>
  </si>
  <si>
    <t>SRR22858899</t>
  </si>
  <si>
    <t>PDT001543236.1</t>
  </si>
  <si>
    <t>2022-12-22T05:40:14Z</t>
  </si>
  <si>
    <t>DALPAQ000000000.1</t>
  </si>
  <si>
    <t>eae=COMPLETE,ehxA=COMPLETE,espA=COMPLETE,espB=COMPLETE,espJ=PARTIAL,espK=COMPLETE,espP=COMPLETE,espX1=COMPLETE,etpD=COMPLETE,fdeC=COMPLETE,iha=COMPLETE,iss=COMPLETE,katP=COMPLETE,lpfA1=COMPLETE,lpfA2=COMPLETE,nleA=COMPLETE,nleB2=COMPLETE,nleB=COMPLETE,nleC=COMPLETE,stxA2c=COMPLETE,stxB2c=COMPLETE,tccP=PARTIAL_END_OF_CONTIG,tir=COMPLETE,toxB=COMPLETE</t>
  </si>
  <si>
    <t>DALPAQ</t>
  </si>
  <si>
    <t>OLF12068-1</t>
  </si>
  <si>
    <t>CFIAFB20120213</t>
  </si>
  <si>
    <t>CAL-FD-2012-MI-0424</t>
  </si>
  <si>
    <t>2017-MER-0543</t>
  </si>
  <si>
    <t>Fresh Fruit/Veg: Romaine lettuce</t>
  </si>
  <si>
    <t>Stx1a_9_AF461168|Stx2a_1_AB030484</t>
  </si>
  <si>
    <t>SAMN13334077</t>
  </si>
  <si>
    <t>GCA_027235525.1</t>
  </si>
  <si>
    <t>SRS16250931</t>
  </si>
  <si>
    <t>SRR22858900</t>
  </si>
  <si>
    <t>PDT001543237.1</t>
  </si>
  <si>
    <t>DALPIE000000000.1</t>
  </si>
  <si>
    <t>DALPIE</t>
  </si>
  <si>
    <t>PDS000035114.113</t>
  </si>
  <si>
    <t>OLF12074</t>
  </si>
  <si>
    <t>CFIAFB20120216</t>
  </si>
  <si>
    <t>CAL-FD-2012-MI-0489-0001</t>
  </si>
  <si>
    <t>2014-SEQ-0181</t>
  </si>
  <si>
    <t>SAMN09668394</t>
  </si>
  <si>
    <t>GCA_012140865.1</t>
  </si>
  <si>
    <t>SRS3615500</t>
  </si>
  <si>
    <t>SRR7629285</t>
  </si>
  <si>
    <t>PDT000356134.2</t>
  </si>
  <si>
    <t>DAAZBN000000000.1</t>
  </si>
  <si>
    <t>DAAZBN</t>
  </si>
  <si>
    <t>PDS000035070.186</t>
  </si>
  <si>
    <t>OLF12077</t>
  </si>
  <si>
    <t>CFIAFB20120219</t>
  </si>
  <si>
    <t>STH-FD-2012-MI-1139</t>
  </si>
  <si>
    <t>2015-SEQ-0051</t>
  </si>
  <si>
    <t>SAMN13334082</t>
  </si>
  <si>
    <t>GCA_027233985.1</t>
  </si>
  <si>
    <t>SRS16250951</t>
  </si>
  <si>
    <t>SRR22858880</t>
  </si>
  <si>
    <t>PDT001543217.1</t>
  </si>
  <si>
    <t>DALPGH000000000.1</t>
  </si>
  <si>
    <t>eae=COMPLETE,ehxA=COMPLETE,espA=COMPLETE,espB=COMPLETE,espJ=COMPLETE,espK=COMPLETE,espP=COMPLETE,espX1=PARTIAL_END_OF_CONTIG,etpD=COMPLETE,fdeC=COMPLETE,iha=COMPLETE,katP=COMPLETE,lpfA1=COMPLETE,lpfA2=COMPLETE,nleA=COMPLETE,nleB2=COMPLETE,nleB=COMPLETE,nleC=COMPLETE,stxA1a=COMPLETE,stxA2c=COMPLETE,stxB1a=COMPLETE,stxB2a=COMPLETE,tccP=PARTIAL_END_OF_CONTIG,tir=COMPLETE,toxB=PARTIAL_END_OF_CONTIG</t>
  </si>
  <si>
    <t>DALPGH</t>
  </si>
  <si>
    <t>12-6574</t>
  </si>
  <si>
    <t>CFIAFB20120220</t>
  </si>
  <si>
    <t>OLF12082-1 (890564-2)</t>
  </si>
  <si>
    <t>GCA_012250705.1</t>
  </si>
  <si>
    <t>Beef products</t>
  </si>
  <si>
    <t>SAMN09668395</t>
  </si>
  <si>
    <t>SRS3615492</t>
  </si>
  <si>
    <t>SRR7629293</t>
  </si>
  <si>
    <t>PDT000356142.2</t>
  </si>
  <si>
    <t>DAAZEC000000000.1</t>
  </si>
  <si>
    <t>DAAZEC</t>
  </si>
  <si>
    <t>12-6575</t>
  </si>
  <si>
    <t>CFIAFB20120221</t>
  </si>
  <si>
    <t>OLF12082-2 (891174-1)</t>
  </si>
  <si>
    <t>GCA_012140445.1</t>
  </si>
  <si>
    <t>SAMN09668396</t>
  </si>
  <si>
    <t>SRS3615483</t>
  </si>
  <si>
    <t>SRR7629302</t>
  </si>
  <si>
    <t>PDT000356151.2</t>
  </si>
  <si>
    <t>DAAZAZ000000000.1</t>
  </si>
  <si>
    <t>DAAZAZ</t>
  </si>
  <si>
    <t>OLC1116</t>
  </si>
  <si>
    <t>CFIAFB20120240</t>
  </si>
  <si>
    <t>GTA-FD-2012-MI-01234</t>
  </si>
  <si>
    <t>2013-SEQ-0109</t>
  </si>
  <si>
    <t>BEEF: burger, HICKORY BARBECUE</t>
  </si>
  <si>
    <t>SAMN09668397</t>
  </si>
  <si>
    <t>GCA_012141205.1</t>
  </si>
  <si>
    <t>SRS3615475</t>
  </si>
  <si>
    <t>SRR7629310</t>
  </si>
  <si>
    <t>PDT000356159.2</t>
  </si>
  <si>
    <t>DAAZAN000000000.1</t>
  </si>
  <si>
    <t>DAAZAN</t>
  </si>
  <si>
    <t>OLC1117</t>
  </si>
  <si>
    <t>CFIAFB20120241</t>
  </si>
  <si>
    <t>GTA-FD-2012-MI-01237-1</t>
  </si>
  <si>
    <t>2013-SEQ-0110</t>
  </si>
  <si>
    <t>BEEF: burger, GARLIC PEPPERCORN</t>
  </si>
  <si>
    <t>SAMN09668398</t>
  </si>
  <si>
    <t>GCA_012140525.1</t>
  </si>
  <si>
    <t>SRS3615490</t>
  </si>
  <si>
    <t>SRR7629295</t>
  </si>
  <si>
    <t>PDT000356144.2</t>
  </si>
  <si>
    <t>DAAZBC000000000.1</t>
  </si>
  <si>
    <t>DAAZBC</t>
  </si>
  <si>
    <t>12-8356</t>
  </si>
  <si>
    <t>CFIAFB20120242</t>
  </si>
  <si>
    <t>GTA-FD-2012-MI-01237-2</t>
  </si>
  <si>
    <t>GCA_012139645.1</t>
  </si>
  <si>
    <t>SAMN09668399</t>
  </si>
  <si>
    <t>SRS3615456</t>
  </si>
  <si>
    <t>SRR7629329</t>
  </si>
  <si>
    <t>PDT000356178.2</t>
  </si>
  <si>
    <t>DAAYZU000000000.1</t>
  </si>
  <si>
    <t>DAAYZU</t>
  </si>
  <si>
    <t>12-8357</t>
  </si>
  <si>
    <t>CFIAFB20120243</t>
  </si>
  <si>
    <t>GTA-FD-2012-MI-01237-3</t>
  </si>
  <si>
    <t>GCA_012140245.1</t>
  </si>
  <si>
    <t>SAMN09668400</t>
  </si>
  <si>
    <t>SRS3615477</t>
  </si>
  <si>
    <t>SRR7629308</t>
  </si>
  <si>
    <t>PDT000356157.2</t>
  </si>
  <si>
    <t>DAAZAS000000000.1</t>
  </si>
  <si>
    <t>DAAZAS</t>
  </si>
  <si>
    <t>OLF12114-1</t>
  </si>
  <si>
    <t>CFIAFB20120244</t>
  </si>
  <si>
    <t>CAL-FD-2012-MI-1215-A-3</t>
  </si>
  <si>
    <t>2014-SEQ-0182</t>
  </si>
  <si>
    <t>Beef: burgers, GARLIC PEPPERCORN</t>
  </si>
  <si>
    <t>SAMN09668404</t>
  </si>
  <si>
    <t>GCA_012140685.1</t>
  </si>
  <si>
    <t>SRS3615498</t>
  </si>
  <si>
    <t>SRR7629287</t>
  </si>
  <si>
    <t>PDT000356136.2</t>
  </si>
  <si>
    <t>DAAZBJ000000000.1</t>
  </si>
  <si>
    <t>DAAZBJ</t>
  </si>
  <si>
    <t>12-8358</t>
  </si>
  <si>
    <t>CFIAFB20120245</t>
  </si>
  <si>
    <t>CAL-FD-2012-MI-1215-A-7</t>
  </si>
  <si>
    <t>GCA_012140285.1</t>
  </si>
  <si>
    <t>SAMN09668401</t>
  </si>
  <si>
    <t>SRS3615481</t>
  </si>
  <si>
    <t>SRR7629304</t>
  </si>
  <si>
    <t>PDT000356153.2</t>
  </si>
  <si>
    <t>DAAZAT000000000.1</t>
  </si>
  <si>
    <t>DAAZAT</t>
  </si>
  <si>
    <t>12-8359</t>
  </si>
  <si>
    <t>CFIAFB20120246</t>
  </si>
  <si>
    <t>CAL-FD-2012-MI-1215-B-2</t>
  </si>
  <si>
    <t>GCA_012139725.1</t>
  </si>
  <si>
    <t>SAMN09668402</t>
  </si>
  <si>
    <t>SRS3615465</t>
  </si>
  <si>
    <t>SRR7629320</t>
  </si>
  <si>
    <t>PDT000356169.2</t>
  </si>
  <si>
    <t>DAAZAE000000000.1</t>
  </si>
  <si>
    <t>DAAZAE</t>
  </si>
  <si>
    <t>12-8360</t>
  </si>
  <si>
    <t>CFIAFB20120247</t>
  </si>
  <si>
    <t>CAL-FD-2012-MI-1215-B-6</t>
  </si>
  <si>
    <t>GCA_012139625.1</t>
  </si>
  <si>
    <t>SAMN09668403</t>
  </si>
  <si>
    <t>SRS3615453</t>
  </si>
  <si>
    <t>SRR7629332</t>
  </si>
  <si>
    <t>PDT000356181.2</t>
  </si>
  <si>
    <t>DAAYZT000000000.1</t>
  </si>
  <si>
    <t>DAAYZT</t>
  </si>
  <si>
    <t>13-0981</t>
  </si>
  <si>
    <t>CFIAFB20120248</t>
  </si>
  <si>
    <t>DAR-FD-2012-MI-01405-1</t>
  </si>
  <si>
    <t>GCA_012140605.1</t>
  </si>
  <si>
    <t>Frozen beef burgers</t>
  </si>
  <si>
    <t>SAMN09668418</t>
  </si>
  <si>
    <t>SRS3615491</t>
  </si>
  <si>
    <t>SRR7629294</t>
  </si>
  <si>
    <t>PDT000356143.2</t>
  </si>
  <si>
    <t>DAAZBD000000000.1</t>
  </si>
  <si>
    <t>DAAZBD</t>
  </si>
  <si>
    <t>13-1080</t>
  </si>
  <si>
    <t>CFIAFB20120249</t>
  </si>
  <si>
    <t>DAR-FD-2012-MI-01405-2</t>
  </si>
  <si>
    <t>GCA_012140325.1</t>
  </si>
  <si>
    <t>SAMN09668419</t>
  </si>
  <si>
    <t>SRS3615472</t>
  </si>
  <si>
    <t>SRR7629313</t>
  </si>
  <si>
    <t>PDT000356162.2</t>
  </si>
  <si>
    <t>DAAZAL000000000.1</t>
  </si>
  <si>
    <t>DAAZAL</t>
  </si>
  <si>
    <t>12-8422</t>
  </si>
  <si>
    <t>CFIAFB20120250</t>
  </si>
  <si>
    <t>DAR-FD-2012-MI-01405-3</t>
  </si>
  <si>
    <t>GCA_012140085.1</t>
  </si>
  <si>
    <t>SAMN09668405</t>
  </si>
  <si>
    <t>SRS3615460</t>
  </si>
  <si>
    <t>SRR7629325</t>
  </si>
  <si>
    <t>PDT000356174.2</t>
  </si>
  <si>
    <t>DAAZAA000000000.1</t>
  </si>
  <si>
    <t>DAAZAA</t>
  </si>
  <si>
    <t>13-0980</t>
  </si>
  <si>
    <t>CFIAFB20120251</t>
  </si>
  <si>
    <t>DAR-FD-2012-MI-01402</t>
  </si>
  <si>
    <t>GCA_012139705.1</t>
  </si>
  <si>
    <t>SAMN09668417</t>
  </si>
  <si>
    <t>SRS3615461</t>
  </si>
  <si>
    <t>SRR7629324</t>
  </si>
  <si>
    <t>PDT000356173.2</t>
  </si>
  <si>
    <t>DAAYZY000000000.1</t>
  </si>
  <si>
    <t>DAAYZY</t>
  </si>
  <si>
    <t>OLF12117-1</t>
  </si>
  <si>
    <t>CFIAFB20120252</t>
  </si>
  <si>
    <t>CAL-FD-2012-MI-1223-1</t>
  </si>
  <si>
    <t>2014-SEQ-0183</t>
  </si>
  <si>
    <t>BEEF:  ground, burger (hickory)</t>
  </si>
  <si>
    <t>SAMN09668406</t>
  </si>
  <si>
    <t>GCA_012140185.1</t>
  </si>
  <si>
    <t>SRS3615466</t>
  </si>
  <si>
    <t>SRR7629319</t>
  </si>
  <si>
    <t>PDT000356168.2</t>
  </si>
  <si>
    <t>DAAZAD000000000.1</t>
  </si>
  <si>
    <t>DAAZAD</t>
  </si>
  <si>
    <t>12-8424</t>
  </si>
  <si>
    <t>CFIAFB20120253</t>
  </si>
  <si>
    <t>CAL-FD-2012-MI-1230-2</t>
  </si>
  <si>
    <t>GCA_012140365.1</t>
  </si>
  <si>
    <t>SAMN09668407</t>
  </si>
  <si>
    <t>SRS3615480</t>
  </si>
  <si>
    <t>SRR7629306</t>
  </si>
  <si>
    <t>PDT000356155.2</t>
  </si>
  <si>
    <t>DAAZAR000000000.1</t>
  </si>
  <si>
    <t>DAAZAR</t>
  </si>
  <si>
    <t>13-1183</t>
  </si>
  <si>
    <t>CFIAFB20120254</t>
  </si>
  <si>
    <t>DAR-FD-2012-MI-01405-4</t>
  </si>
  <si>
    <t>GCA_012139665.1</t>
  </si>
  <si>
    <t>SAMN09668420</t>
  </si>
  <si>
    <t>SRS3615455</t>
  </si>
  <si>
    <t>SRR7629330</t>
  </si>
  <si>
    <t>PDT000356179.2</t>
  </si>
  <si>
    <t>DAAYZV000000000.1</t>
  </si>
  <si>
    <t>eae=COMPLETE,ehxA=PARTIAL_END_OF_CONTIG,espA=COMPLETE,espB=COMPLETE,espJ=PARTIAL_END_OF_CONTIG,espK=COMPLETE,espP=COMPLETE,espX1=PARTIAL_END_OF_CONTIG,etpD=COMPLETE,fdeC=COMPLETE,iha=COMPLETE,katP=COMPLETE,lpfA1=COMPLETE,lpfA2=COMPLETE,nleA=COMPLETE,nleB2=COMPLETE,nleB=COMPLETE,nleC=COMPLETE,stxA2c=COMPLETE,stxB2a=COMPLETE,tccP=PARTIAL_END_OF_CONTIG,tir=COMPLETE</t>
  </si>
  <si>
    <t>DAAYZV</t>
  </si>
  <si>
    <t>13-1184</t>
  </si>
  <si>
    <t>CFIAFB20120255</t>
  </si>
  <si>
    <t>DAR-FD-2012-MI-01405-5</t>
  </si>
  <si>
    <t>GCA_013061965.1</t>
  </si>
  <si>
    <t>SAMN09668421</t>
  </si>
  <si>
    <t>SRS3615489</t>
  </si>
  <si>
    <t>SRR7629296</t>
  </si>
  <si>
    <t>PDT000356145.1</t>
  </si>
  <si>
    <t>DABIGU000000000.1</t>
  </si>
  <si>
    <t>eae=COMPLETE,ehxA=PARTIAL_END_OF_CONTIG,espA=COMPLETE,espB=COMPLETE,espF=PARTIAL_END_OF_CONTIG,espK=COMPLETE,espP=COMPLETE,etpD=COMPLETE,fdeC=COMPLETE,iha=COMPLETE,katP=COMPLETE,lpfA1=COMPLETE,lpfA2=COMPLETE,nleA=COMPLETE,nleB2=COMPLETE,nleB=PARTIAL,nleC=COMPLETE,tccP=PARTIAL_END_OF_CONTIG,tir=COMPLETE</t>
  </si>
  <si>
    <t>DABIGU</t>
  </si>
  <si>
    <t>12-1628</t>
  </si>
  <si>
    <t>CFIAFB20120268</t>
  </si>
  <si>
    <t>GTA-FD-2011-MI-01673-#1SMAC2</t>
  </si>
  <si>
    <t>GCA_012140385.1</t>
  </si>
  <si>
    <t>SAMN09668388</t>
  </si>
  <si>
    <t>SRS3615482</t>
  </si>
  <si>
    <t>SRR7629303</t>
  </si>
  <si>
    <t>PDT000356152.2</t>
  </si>
  <si>
    <t>DAAZAW000000000.1</t>
  </si>
  <si>
    <t>DAAZAW</t>
  </si>
  <si>
    <t>12-1629</t>
  </si>
  <si>
    <t>CFIAFB20120269</t>
  </si>
  <si>
    <t>GTA-FD-2011-MI-01673-#1SMAC3</t>
  </si>
  <si>
    <t>GCA_012140065.1</t>
  </si>
  <si>
    <t>SAMN09668389</t>
  </si>
  <si>
    <t>SRS3615501</t>
  </si>
  <si>
    <t>SRR7629284</t>
  </si>
  <si>
    <t>PDT000356133.2</t>
  </si>
  <si>
    <t>DAAZBL000000000.1</t>
  </si>
  <si>
    <t>DAAZBL</t>
  </si>
  <si>
    <t>12-1632</t>
  </si>
  <si>
    <t>CFIAFB20120270</t>
  </si>
  <si>
    <t>GTA-FD-2011-MI-01673-#2 SMAC1</t>
  </si>
  <si>
    <t>GCA_012141225.1</t>
  </si>
  <si>
    <t>SAMN09668390</t>
  </si>
  <si>
    <t>SRS3615476</t>
  </si>
  <si>
    <t>SRR7629309</t>
  </si>
  <si>
    <t>PDT000356158.2</t>
  </si>
  <si>
    <t>DAAZAP000000000.1</t>
  </si>
  <si>
    <t>DAAZAP</t>
  </si>
  <si>
    <t>12-1637</t>
  </si>
  <si>
    <t>CFIAFB20120271</t>
  </si>
  <si>
    <t>GTA-FD-2011-MI-01673-#2MHC2</t>
  </si>
  <si>
    <t>GCA_012140305.1</t>
  </si>
  <si>
    <t>SAMN09668391</t>
  </si>
  <si>
    <t>SRS3615478</t>
  </si>
  <si>
    <t>SRR7629307</t>
  </si>
  <si>
    <t>PDT000356156.2</t>
  </si>
  <si>
    <t>DAAZAQ000000000.1</t>
  </si>
  <si>
    <t>DAAZAQ</t>
  </si>
  <si>
    <t>OLC1118</t>
  </si>
  <si>
    <t>CFIAFB20130130</t>
  </si>
  <si>
    <t>GTA-FD-2012-MI-01620-1</t>
  </si>
  <si>
    <t>2013-SEQ-0111</t>
  </si>
  <si>
    <t>BEEF: raw, ground, lean</t>
  </si>
  <si>
    <t>SAMN09668408</t>
  </si>
  <si>
    <t>GCA_012140225.1</t>
  </si>
  <si>
    <t>SRS3615467</t>
  </si>
  <si>
    <t>SRR7629318</t>
  </si>
  <si>
    <t>PDT000356167.2</t>
  </si>
  <si>
    <t>DAAZAI000000000.1</t>
  </si>
  <si>
    <t>DAAZAI</t>
  </si>
  <si>
    <t>12-8426</t>
  </si>
  <si>
    <t>CFIAFB20130131</t>
  </si>
  <si>
    <t>GTA-FD-2012-MI-01620-2</t>
  </si>
  <si>
    <t>GCA_012140205.1</t>
  </si>
  <si>
    <t>SAMN09668409</t>
  </si>
  <si>
    <t>SRS3615471</t>
  </si>
  <si>
    <t>SRR7629314</t>
  </si>
  <si>
    <t>PDT000356163.2</t>
  </si>
  <si>
    <t>DAAZAK000000000.1</t>
  </si>
  <si>
    <t>DAAZAK</t>
  </si>
  <si>
    <t>12-8431</t>
  </si>
  <si>
    <t>CFIAFB20130132</t>
  </si>
  <si>
    <t>GTA-FD-2012-MI-01620-3</t>
  </si>
  <si>
    <t>GCA_012140505.1</t>
  </si>
  <si>
    <t>SAMN09668410</t>
  </si>
  <si>
    <t>SRS3615486</t>
  </si>
  <si>
    <t>SRR7629299</t>
  </si>
  <si>
    <t>PDT000356148.2</t>
  </si>
  <si>
    <t>DAAZBB000000000.1</t>
  </si>
  <si>
    <t>eae=COMPLETE,ehxA=COMPLETE,espA=COMPLETE,espB=COMPLETE,espK=COMPLETE,espP=COMPLETE,etpD=COMPLETE,fdeC=COMPLETE,iha=COMPLETE,katP=COMPLETE,lpfA1=COMPLETE,lpfA2=PARTIAL_END_OF_CONTIG,nleA=COMPLETE,nleB2=COMPLETE,nleB=PARTIAL_END_OF_CONTIG,nleC=COMPLETE,stxA1a=COMPLETE,stxA2c=COMPLETE,stxB1a=COMPLETE,stxB2a=COMPLETE,stxB2a=PARTIAL_END_OF_CONTIG,tir=COMPLETE</t>
  </si>
  <si>
    <t>DAAZBB</t>
  </si>
  <si>
    <t>12-8485</t>
  </si>
  <si>
    <t>CFIAFB20130133</t>
  </si>
  <si>
    <t>GTA-FD-2012-MI-01620-4</t>
  </si>
  <si>
    <t>GCA_012140465.1</t>
  </si>
  <si>
    <t>SAMN09668411</t>
  </si>
  <si>
    <t>SRS3615487</t>
  </si>
  <si>
    <t>SRR7629298</t>
  </si>
  <si>
    <t>PDT000356147.2</t>
  </si>
  <si>
    <t>DAAZAY000000000.1</t>
  </si>
  <si>
    <t>DAAZAY</t>
  </si>
  <si>
    <t>13-0897</t>
  </si>
  <si>
    <t>CFIAFB20130134</t>
  </si>
  <si>
    <t>BUR-FI-2012-MI-01137-13</t>
  </si>
  <si>
    <t>GCA_012140665.1</t>
  </si>
  <si>
    <t>Frozen beef burger</t>
  </si>
  <si>
    <t>SAMN09668413</t>
  </si>
  <si>
    <t>SRS3615494</t>
  </si>
  <si>
    <t>SRR7629291</t>
  </si>
  <si>
    <t>PDT000356140.2</t>
  </si>
  <si>
    <t>DAAZBE000000000.1</t>
  </si>
  <si>
    <t>DAAZBE</t>
  </si>
  <si>
    <t>12-8486</t>
  </si>
  <si>
    <t>CFIAFB20130135</t>
  </si>
  <si>
    <t>BUR-FI-2012-MI-01137-3</t>
  </si>
  <si>
    <t>GCA_012140485.1</t>
  </si>
  <si>
    <t>SAMN09668412</t>
  </si>
  <si>
    <t>SRS3615484</t>
  </si>
  <si>
    <t>SRR7629301</t>
  </si>
  <si>
    <t>PDT000356150.2</t>
  </si>
  <si>
    <t>DAAZAV000000000.1</t>
  </si>
  <si>
    <t>DAAZAV</t>
  </si>
  <si>
    <t>13-0898</t>
  </si>
  <si>
    <t>CFIAFB20130140</t>
  </si>
  <si>
    <t>CAL-FD-2012-MI-1559-0001</t>
  </si>
  <si>
    <t>GCA_012139885.1</t>
  </si>
  <si>
    <t>SAMN09668414</t>
  </si>
  <si>
    <t>SRS3615459</t>
  </si>
  <si>
    <t>SRR7629326</t>
  </si>
  <si>
    <t>PDT000356175.2</t>
  </si>
  <si>
    <t>DAAZAB000000000.1</t>
  </si>
  <si>
    <t>DAAZAB</t>
  </si>
  <si>
    <t>OLF13024-1</t>
  </si>
  <si>
    <t>CFIAFB20130141</t>
  </si>
  <si>
    <t>CAL-FD-2012-MI-1554-1</t>
  </si>
  <si>
    <t>2014-SEQ-0184</t>
  </si>
  <si>
    <t>BIG AND JUICY BURGERS</t>
  </si>
  <si>
    <t>SAMN09668415</t>
  </si>
  <si>
    <t>GCA_012139865.1</t>
  </si>
  <si>
    <t>SRS3615458</t>
  </si>
  <si>
    <t>SRR7629327</t>
  </si>
  <si>
    <t>PDT000356176.2</t>
  </si>
  <si>
    <t>DAAYZW000000000.1</t>
  </si>
  <si>
    <t>eae=COMPLETE,ehxA=COMPLETE,espA=COMPLETE,espB=COMPLETE,espJ=COMPLETE,espK=COMPLETE,espP=PARTIAL_END_OF_CONTIG,espX1=COMPLETE,etpD=COMPLETE,fdeC=COMPLETE,iha=COMPLETE,katP=PARTIAL_END_OF_CONTIG,lpfA1=COMPLETE,lpfA2=COMPLETE,nleA=COMPLETE,nleB2=COMPLETE,nleB=COMPLETE,nleC=COMPLETE,stxA2c=COMPLETE,stxB2a=COMPLETE,tccP=PARTIAL_END_OF_CONTIG,tir=COMPLETE</t>
  </si>
  <si>
    <t>DAAYZW</t>
  </si>
  <si>
    <t>13-0900</t>
  </si>
  <si>
    <t>CFIAFB20130142</t>
  </si>
  <si>
    <t>CAL-FD-2012-MI-1554-2</t>
  </si>
  <si>
    <t>GCA_012140425.1</t>
  </si>
  <si>
    <t>SAMN09668416</t>
  </si>
  <si>
    <t>SRS3615485</t>
  </si>
  <si>
    <t>SRR7629300</t>
  </si>
  <si>
    <t>PDT000356149.2</t>
  </si>
  <si>
    <t>DAAZAX000000000.1</t>
  </si>
  <si>
    <t>DAAZAX</t>
  </si>
  <si>
    <t>OLF13123-1</t>
  </si>
  <si>
    <t>CFIAFB20130252</t>
  </si>
  <si>
    <t>BUR-FI-2013-MI-00677-1</t>
  </si>
  <si>
    <t>2014-SEQ-0456</t>
  </si>
  <si>
    <t>Dairy-Cheese:GOUDA CHEESE</t>
  </si>
  <si>
    <t>SAMN09668422</t>
  </si>
  <si>
    <t>GCA_012140015.1</t>
  </si>
  <si>
    <t>SRS3615464</t>
  </si>
  <si>
    <t>SRR7629321</t>
  </si>
  <si>
    <t>PDT000356170.2</t>
  </si>
  <si>
    <t>DAAZAG000000000.1</t>
  </si>
  <si>
    <t>DAAZAG</t>
  </si>
  <si>
    <t>OLF13123-2</t>
  </si>
  <si>
    <t>CFIAFB20130253</t>
  </si>
  <si>
    <t>BUR-FI-2013-MI-00677-7</t>
  </si>
  <si>
    <t>2017-MER-0516</t>
  </si>
  <si>
    <t>SAMN09668423</t>
  </si>
  <si>
    <t>GCA_012141065.1</t>
  </si>
  <si>
    <t>SRS3615469</t>
  </si>
  <si>
    <t>SRR7629316</t>
  </si>
  <si>
    <t>PDT000356165.2</t>
  </si>
  <si>
    <t>DAAZAH000000000.1</t>
  </si>
  <si>
    <t>DAAZAH</t>
  </si>
  <si>
    <t>OLF13124</t>
  </si>
  <si>
    <t>CFIAFB20130254</t>
  </si>
  <si>
    <t>CAL-FD-2013-MI-0636-1</t>
  </si>
  <si>
    <t>2014-SEQ-0457</t>
  </si>
  <si>
    <t>Dairy-Cheese-PEPPERCORN, GINGER, PAPRIKA, ONION &amp; GARLIC QUASO DE PRATO</t>
  </si>
  <si>
    <t>SAMN09668424</t>
  </si>
  <si>
    <t>GCA_012140745.1</t>
  </si>
  <si>
    <t>SRS3615499</t>
  </si>
  <si>
    <t>SRR7629286</t>
  </si>
  <si>
    <t>PDT000356135.2</t>
  </si>
  <si>
    <t>DAAZBI000000000.1</t>
  </si>
  <si>
    <t>DAAZBI</t>
  </si>
  <si>
    <t>OLF13126-1</t>
  </si>
  <si>
    <t>CFIAFB20130257</t>
  </si>
  <si>
    <t>BUR-FI-2013-MI-00727-1</t>
  </si>
  <si>
    <t>2017-MER-0517</t>
  </si>
  <si>
    <t>PEPPERCORN GINGER PAPRIKA ONION AND GARLIC cheese</t>
  </si>
  <si>
    <t>SAMN09668425</t>
  </si>
  <si>
    <t>GCA_012140585.1</t>
  </si>
  <si>
    <t>SRS3615495</t>
  </si>
  <si>
    <t>SRR7629290</t>
  </si>
  <si>
    <t>PDT000356139.2</t>
  </si>
  <si>
    <t>DAAZBF000000000.1</t>
  </si>
  <si>
    <t>DAAZBF</t>
  </si>
  <si>
    <t>OLF13126-2</t>
  </si>
  <si>
    <t>CFIAFB20130258</t>
  </si>
  <si>
    <t>BUR-FI-2013-MI-00727-6</t>
  </si>
  <si>
    <t>2017-MER-0518</t>
  </si>
  <si>
    <t>SAMN09668426</t>
  </si>
  <si>
    <t>GCA_012140105.1</t>
  </si>
  <si>
    <t>SRS3615457</t>
  </si>
  <si>
    <t>SRR7629328</t>
  </si>
  <si>
    <t>PDT000356177.2</t>
  </si>
  <si>
    <t>DAAYZZ000000000.1</t>
  </si>
  <si>
    <t>DAAYZZ</t>
  </si>
  <si>
    <t>OLF13128</t>
  </si>
  <si>
    <t>CFIAFB20130259</t>
  </si>
  <si>
    <t>CAL-FD-2013-MI-0670-1</t>
  </si>
  <si>
    <t>2015-SEQ-0056</t>
  </si>
  <si>
    <t>SAMN09668427</t>
  </si>
  <si>
    <t>GCA_012139765.1</t>
  </si>
  <si>
    <t>SRS3615462</t>
  </si>
  <si>
    <t>SRR7629323</t>
  </si>
  <si>
    <t>PDT000356172.2</t>
  </si>
  <si>
    <t>DAAYZX000000000.1</t>
  </si>
  <si>
    <t>DAAYZX</t>
  </si>
  <si>
    <t>OLF13130-1</t>
  </si>
  <si>
    <t>CFIAFB20130260</t>
  </si>
  <si>
    <t>BUR-FI-2013-MI-00758-4-1</t>
  </si>
  <si>
    <t>2017-MER-0519</t>
  </si>
  <si>
    <t>Dairy-Cheese:RAW RED PEPPER GOUDA</t>
  </si>
  <si>
    <t>SAMN09668428</t>
  </si>
  <si>
    <t>GCA_012140765.1</t>
  </si>
  <si>
    <t>SRS3615497</t>
  </si>
  <si>
    <t>SRR7629288</t>
  </si>
  <si>
    <t>PDT000356137.2</t>
  </si>
  <si>
    <t>DAAZBM000000000.1</t>
  </si>
  <si>
    <t>DAAZBM</t>
  </si>
  <si>
    <t>OLF13130-2</t>
  </si>
  <si>
    <t>CFIAFB20130261</t>
  </si>
  <si>
    <t>BUR-FI-2013-MI-00758-4-6</t>
  </si>
  <si>
    <t>2017-MER-0520</t>
  </si>
  <si>
    <t>SAMN09668429</t>
  </si>
  <si>
    <t>GCA_012140565.1</t>
  </si>
  <si>
    <t>SRS3615493</t>
  </si>
  <si>
    <t>SRR7629292</t>
  </si>
  <si>
    <t>PDT000356141.2</t>
  </si>
  <si>
    <t>DAAZBH000000000.1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</si>
  <si>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c=COMPLETE,stxB1a=COMPLETE,stxB2a=COMPLETE,tccP=PARTIAL_END_OF_CONTIG,tir=COMPLETE</t>
  </si>
  <si>
    <t>DAAZBH</t>
  </si>
  <si>
    <t>OLF13161</t>
  </si>
  <si>
    <t>CFIAFB20130272</t>
  </si>
  <si>
    <t>BOEUF Haché 12-11-13</t>
  </si>
  <si>
    <t>2015-SEQ-0877</t>
  </si>
  <si>
    <t>SAMN13334344</t>
  </si>
  <si>
    <t>GCA_027236445.1</t>
  </si>
  <si>
    <t>SRS16250950</t>
  </si>
  <si>
    <t>SRR22858881</t>
  </si>
  <si>
    <t>PDT001543218.1</t>
  </si>
  <si>
    <t>DALPIP000000000.1</t>
  </si>
  <si>
    <t>DALPIP</t>
  </si>
  <si>
    <t>OLF13163</t>
  </si>
  <si>
    <t>CFIAFB20130273</t>
  </si>
  <si>
    <t>W84070-B376095</t>
  </si>
  <si>
    <t>2015-SEQ-0878</t>
  </si>
  <si>
    <t>Other-Ground veal</t>
  </si>
  <si>
    <t>SAMN13334345</t>
  </si>
  <si>
    <t>GCA_027230305.1</t>
  </si>
  <si>
    <t>SRS16250948</t>
  </si>
  <si>
    <t>SRR22858883</t>
  </si>
  <si>
    <t>PDT001543220.1</t>
  </si>
  <si>
    <t>DALOZH000000000.1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</si>
  <si>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2=COMPLETE,stxB2=COMPLETE,tccP=PARTIAL_END_OF_CONTIG,tir=COMPLETE,toxB=COMPLETE</t>
  </si>
  <si>
    <t>DALOZH</t>
  </si>
  <si>
    <t>OLC1326</t>
  </si>
  <si>
    <t>CFIAFB20130344</t>
  </si>
  <si>
    <t>CAL-FD-2013-MI-0768</t>
  </si>
  <si>
    <t>2014-SEQ-0186</t>
  </si>
  <si>
    <t>VTX gene check</t>
  </si>
  <si>
    <t>lean ground beef</t>
  </si>
  <si>
    <t>SAMN13334354</t>
  </si>
  <si>
    <t>GCA_027235565.1</t>
  </si>
  <si>
    <t>SRS16250928</t>
  </si>
  <si>
    <t>SRR22858762</t>
  </si>
  <si>
    <t>PDT001543099.1</t>
  </si>
  <si>
    <t>2022-12-22T05:39:48Z</t>
  </si>
  <si>
    <t>DALPIG000000000.1</t>
  </si>
  <si>
    <t>eae=COMPLETE,ehxA=COMPLETE,espA=COMPLETE,espB=COMPLETE,espJ=COMPLETE,espK=COMPLETE,espP=COMPLETE,espX1=COMPLETE,etpD=COMPLETE,fdeC=COMPLETE,iha=COMPLETE,iss=COMPLETE,katP=COMPLETE,lpfA1=COMPLETE,lpfA2=COMPLETE,nleA=COMPLETE,nleB2=COMPLETE,nleB=COMPLETE,nleC=COMPLETE,stxA1a=COMPLETE,stxA2c=PARTIAL,stxB1a=COMPLETE,stxB2c=COMPLETE,tccP=PARTIAL_END_OF_CONTIG,tir=COMPLETE,toxB=COMPLETE</t>
  </si>
  <si>
    <t>DALPIG</t>
  </si>
  <si>
    <t>PDS000114124.123</t>
  </si>
  <si>
    <t>OLC1327</t>
  </si>
  <si>
    <t>CFIAFB20130345</t>
  </si>
  <si>
    <t>CAL-FD-2013-MI-0770</t>
  </si>
  <si>
    <t>2019-MER-0039</t>
  </si>
  <si>
    <t>SAMN13334355</t>
  </si>
  <si>
    <t>GCA_027230765.1</t>
  </si>
  <si>
    <t>SRS16250927</t>
  </si>
  <si>
    <t>SRR22858763</t>
  </si>
  <si>
    <t>PDT001543100.1</t>
  </si>
  <si>
    <t>DALPAG000000000.1</t>
  </si>
  <si>
    <t>eae=COMPLETE,ehxA=COMPLETE,espA=COMPLETE,espB=COMPLETE,espF=PARTIAL,espJ=COMPLETE,espK=COMPLETE,espP=COMPLETE,espX1=COMPLETE,etpD=COMPLETE,fdeC=COMPLETE,iha=COMPLETE,iss=COMPLETE,katP=COMPLETE,lpfA1=COMPLETE,lpfA2=COMPLETE,nleA=COMPLETE,nleB2=COMPLETE,nleB=COMPLETE,nleC=COMPLETE,stxA1a=COMPLETE,stxA2c=PARTIAL,stxB1a=COMPLETE,stxB2c=COMPLETE,tccP=PARTIAL_END_OF_CONTIG,tir=COMPLETE,toxB=COMPLETE</t>
  </si>
  <si>
    <t>DALPAG</t>
  </si>
  <si>
    <t>OLC1328</t>
  </si>
  <si>
    <t>CFIAFB20130346</t>
  </si>
  <si>
    <t>CAL-FD-2013-MI-0778</t>
  </si>
  <si>
    <t>2017-MER-0187</t>
  </si>
  <si>
    <t>SAMN13334356</t>
  </si>
  <si>
    <t>GCA_027226925.1</t>
  </si>
  <si>
    <t>SRS16250926</t>
  </si>
  <si>
    <t>SRR22858764</t>
  </si>
  <si>
    <t>PDT001543101.1</t>
  </si>
  <si>
    <t>DALOWJ000000000.1</t>
  </si>
  <si>
    <t>DALOWJ</t>
  </si>
  <si>
    <t>OLF14062</t>
  </si>
  <si>
    <t>CFIAFB20140198</t>
  </si>
  <si>
    <t>DAR-FD-2014-MI-00076</t>
  </si>
  <si>
    <t>2015-SEQ-0879</t>
  </si>
  <si>
    <t>SAMN13334553</t>
  </si>
  <si>
    <t>GCA_027232225.1</t>
  </si>
  <si>
    <t>SRS16250922</t>
  </si>
  <si>
    <t>SRR22858768</t>
  </si>
  <si>
    <t>PDT001543105.1</t>
  </si>
  <si>
    <t>2022-12-22T05:39:49Z</t>
  </si>
  <si>
    <t>DALPCW000000000.1</t>
  </si>
  <si>
    <t>DALPCW</t>
  </si>
  <si>
    <t>PDS000129686.1</t>
  </si>
  <si>
    <t>OLF14066</t>
  </si>
  <si>
    <t>CFIAFB20140202</t>
  </si>
  <si>
    <t>Veau Hâché 30-04-14 (Y19059)</t>
  </si>
  <si>
    <t>2015-SEQ-0891</t>
  </si>
  <si>
    <t>Other-Veau hâché (ground veal)</t>
  </si>
  <si>
    <t>aph(3'')-Ib (100.0%) Aminoglycoside;aph(6)-Id (100.0%) Aminoglycoside;sul2 (100.0%) sulphonamide;tet(A) (100.0%) Tetracycline</t>
  </si>
  <si>
    <t>SAMN13334557</t>
  </si>
  <si>
    <t>GCA_027228735.1</t>
  </si>
  <si>
    <t>SRS16250921</t>
  </si>
  <si>
    <t>SRR22858769</t>
  </si>
  <si>
    <t>PDT001543106.1</t>
  </si>
  <si>
    <t>DALOXL000000000.1</t>
  </si>
  <si>
    <t>aph(3'')-Ib=COMPLETE,aph(6)-Id=COMPLETE,glpT_E448K=POINT,pmrB_Y358N=POINT,sul2=COMPLETE,tet(A)=COMPLETE</t>
  </si>
  <si>
    <t>eae=COMPLETE,ehxA=COMPLETE,espA=COMPLETE,espB=COMPLETE,espF=PARTIAL,espJ=COMPLETE,espK=COMPLETE,espP=COMPLETE,espX1=COMPLETE,etpD=COMPLETE,fdeC=COMPLETE,iha=COMPLETE,iss=COMPLETE,katP=COMPLETE,lpfA1=COMPLETE,lpfA2=COMPLETE,nleA=COMPLETE,nleB2=COMPLETE,nleB=COMPLETE,nleC=COMPLETE,stxA2c=COMPLETE,stxB2c=COMPLETE,tccP=PARTIAL_END_OF_CONTIG,tir=COMPLETE,toxB=PARTIAL_END_OF_CONTIG</t>
  </si>
  <si>
    <t>acrF=MISTRANSLATION,aph(3'')-Ib=COMPLETE,aph(6)-Id=COMPLETE,blaEC=COMPLETE,glpT_E448K=POINT,mdtM=COMPLETE,pmrB_Y358N=POINT,sul2=COMPLETE,tet(A)=COMPLETE</t>
  </si>
  <si>
    <t>DALOXL</t>
  </si>
  <si>
    <t>OLF14100-1</t>
  </si>
  <si>
    <t>CFIAFB20140238</t>
  </si>
  <si>
    <t>CAL-FD-2014-MI-0609</t>
  </si>
  <si>
    <t>2014-SEQ-0445</t>
  </si>
  <si>
    <t>PORK (raw, marinated)</t>
  </si>
  <si>
    <t>aadA1 (100.0%) Aminoglycoside;aadA2 (100.0%) Aminoglycoside;cmlA1 (99.92%) Phenicol;sul3 (100.0%) sulphonamide</t>
  </si>
  <si>
    <t>SAMN13334591</t>
  </si>
  <si>
    <t>GCA_027234065.1</t>
  </si>
  <si>
    <t>SRS16250920</t>
  </si>
  <si>
    <t>SRR22858770</t>
  </si>
  <si>
    <t>PDT001543107.1</t>
  </si>
  <si>
    <t>DALPGM000000000.1</t>
  </si>
  <si>
    <t>aadA1=COMPLETE,aadA1=PARTIAL_END_OF_CONTIG,aadA2=COMPLETE,cmlA1=COMPLETE,cmlA1=PARTIAL_END_OF_CONTIG,glpT_E448K=POINT,pmrB_Y358N=POINT,sul3=COMPLETE</t>
  </si>
  <si>
    <t>aadA1=COMPLETE,aadA1=PARTIAL_END_OF_CONTIG,aadA2=COMPLETE,acrF=MISTRANSLATION,blaEC=COMPLETE,cmlA1=COMPLETE,cmlA1=PARTIAL_END_OF_CONTIG,glpT_E448K=POINT,mdtM=COMPLETE,pmrB_Y358N=POINT,sul3=COMPLETE</t>
  </si>
  <si>
    <t>DALPGM</t>
  </si>
  <si>
    <t>PDS000056799.3</t>
  </si>
  <si>
    <t>OLF14100-2</t>
  </si>
  <si>
    <t>CFIAFB20140239</t>
  </si>
  <si>
    <t>2017-NML-0030</t>
  </si>
  <si>
    <t>macrolide(mdf(A) (98.54%));phenicol(cmlA1 (99.92%));aminoglycoside(aadA1 (100.0%);aadA2 (100.0%));sulphonamide(sul3 (100.0%));</t>
  </si>
  <si>
    <t>SAMN13334592</t>
  </si>
  <si>
    <t>GCA_027230825.1</t>
  </si>
  <si>
    <t>SRS16250918</t>
  </si>
  <si>
    <t>SRR22858772</t>
  </si>
  <si>
    <t>PDT001543109.1</t>
  </si>
  <si>
    <t>2022-12-22T05:39:50Z</t>
  </si>
  <si>
    <t>DALPAF000000000.1</t>
  </si>
  <si>
    <t>aadA1=COMPLETE,aadA1=PARTIAL_END_OF_CONTIG,aadA2=COMPLETE,cmlA1=COMPLETE,glpT_E448K=POINT,pmrB_Y358N=POINT,sul3=COMPLETE</t>
  </si>
  <si>
    <t>aadA1=COMPLETE,aadA1=PARTIAL_END_OF_CONTIG,aadA2=COMPLETE,acrF=MISTRANSLATION,blaEC=COMPLETE,cmlA1=COMPLETE,glpT_E448K=POINT,mdtM=COMPLETE,pmrB_Y358N=POINT,sul3=COMPLETE</t>
  </si>
  <si>
    <t>DALPAF</t>
  </si>
  <si>
    <t>OLF14100-3</t>
  </si>
  <si>
    <t>CFIAFB20140240</t>
  </si>
  <si>
    <t>2017-NML-0031</t>
  </si>
  <si>
    <t>SAMN13334593</t>
  </si>
  <si>
    <t>GCA_027229465.1</t>
  </si>
  <si>
    <t>SRS16250917</t>
  </si>
  <si>
    <t>SRR22858773</t>
  </si>
  <si>
    <t>PDT001543110.1</t>
  </si>
  <si>
    <t>DALOYO000000000.1</t>
  </si>
  <si>
    <t>DALOYO</t>
  </si>
  <si>
    <t>OLF14100-4</t>
  </si>
  <si>
    <t>CFIAFB20140241</t>
  </si>
  <si>
    <t>2017-NML-0032</t>
  </si>
  <si>
    <t>phenicol(cmlA1 (99.92%));aminoglycoside(aadA1 (100.0%);aadA2 (100.0%));sulphonamide(sul3 (100.0%));macrolide(mdf(A) (98.54%));</t>
  </si>
  <si>
    <t>SAMN13334594</t>
  </si>
  <si>
    <t>GCA_027230725.1</t>
  </si>
  <si>
    <t>SRS16250916</t>
  </si>
  <si>
    <t>SRR22858774</t>
  </si>
  <si>
    <t>PDT001543111.1</t>
  </si>
  <si>
    <t>DALPAD000000000.1</t>
  </si>
  <si>
    <t>DALPAD</t>
  </si>
  <si>
    <t>OLF14100-5</t>
  </si>
  <si>
    <t>CFIAFB20140242</t>
  </si>
  <si>
    <t>2017-NML-0033</t>
  </si>
  <si>
    <t>SAMN13334595</t>
  </si>
  <si>
    <t>GCA_027230705.1</t>
  </si>
  <si>
    <t>SRS16250915</t>
  </si>
  <si>
    <t>SRR22858775</t>
  </si>
  <si>
    <t>PDT001543112.1</t>
  </si>
  <si>
    <t>DALPAA000000000.1</t>
  </si>
  <si>
    <t>eae=COMPLETE,ehxA=COMPLETE,espA=COMPLETE,espB=COMPLETE,espF=PARTIAL,espJ=COMPLETE,espK=COMPLETE,espP=PARTIAL_END_OF_CONTIG,espX1=COMPLETE,etpD=COMPLETE,fdeC=COMPLETE,iha=COMPLETE,katP=COMPLETE,lpfA1=COMPLETE,lpfA2=COMPLETE,nleA=COMPLETE,nleB2=COMPLETE,nleB=COMPLETE,nleC=COMPLETE,stxA1=COMPLETE,stxA2=COMPLETE,stxB1=COMPLETE,stxB2=COMPLETE,tccP=PARTIAL_END_OF_CONTIG,tir=COMPLETE,toxB=COMPLETE</t>
  </si>
  <si>
    <t>DALPAA</t>
  </si>
  <si>
    <t>OLF14101-1</t>
  </si>
  <si>
    <t>CFIAFB20140243</t>
  </si>
  <si>
    <t>CAL-FD-2014-MI-0625</t>
  </si>
  <si>
    <t>2014-SEQ-0446</t>
  </si>
  <si>
    <t>PORK (raw, shoulder)</t>
  </si>
  <si>
    <t>aph(6)-Id (100.0%) Aminoglycoside;strA (100.0%) ;tet(A) (100.0%) Tetracycline</t>
  </si>
  <si>
    <t>SAMN13334596</t>
  </si>
  <si>
    <t>GCA_027229445.1</t>
  </si>
  <si>
    <t>SRS16250914</t>
  </si>
  <si>
    <t>SRR22858776</t>
  </si>
  <si>
    <t>PDT001543113.1</t>
  </si>
  <si>
    <t>DALOYN000000000.1</t>
  </si>
  <si>
    <t>aph(3'')-Ib=COMPLETE,aph(6)-Id=COMPLETE,glpT_E448K=POINT,pmrB_Y358N=POINT,tet(A)=COMPLETE</t>
  </si>
  <si>
    <t>eae=COMPLETE,ehxA=COMPLETE,espA=COMPLETE,espB=COMPLETE,espJ=COMPLETE,espK=COMPLETE,espP=PARTIAL_END_OF_CONTIG,espX1=COMPLETE,etpD=COMPLETE,fdeC=COMPLETE,iha=COMPLETE,katP=COMPLETE,lpfA1=COMPLETE,lpfA2=COMPLETE,nleA=COMPLETE,nleB2=COMPLETE,nleB=COMPLETE,nleC=MISTRANSLATION,nleC=PARTIAL_END_OF_CONTIG,stxA2c=COMPLETE,stxB2c=COMPLETE,tccP=PARTIAL_END_OF_CONTIG,tir=COMPLETE,toxB=COMPLETE</t>
  </si>
  <si>
    <t>acrF=PARTIAL,aph(3'')-Ib=COMPLETE,aph(6)-Id=COMPLETE,blaEC=COMPLETE,glpT_E448K=POINT,mdtM=COMPLETE,pmrB_Y358N=POINT,tet(A)=COMPLETE</t>
  </si>
  <si>
    <t>DALOYN</t>
  </si>
  <si>
    <t>PDS000091511.17</t>
  </si>
  <si>
    <t>OLF14101-2</t>
  </si>
  <si>
    <t>CFIAFB20140244</t>
  </si>
  <si>
    <t>2017-NML-0035</t>
  </si>
  <si>
    <t>tetracycline(tet(A) (100.0%));aminoglycoside(aph(3'')-Ib (99.88%);aph(6)-Id (100.0%));macrolide(mdf(A) (98.54%));</t>
  </si>
  <si>
    <t>SAMN13334597</t>
  </si>
  <si>
    <t>GCA_027232205.1</t>
  </si>
  <si>
    <t>SRS16250913</t>
  </si>
  <si>
    <t>SRR22858777</t>
  </si>
  <si>
    <t>PDT001543114.1</t>
  </si>
  <si>
    <t>DALPCV000000000.1</t>
  </si>
  <si>
    <t>eae=COMPLETE,ehxA=COMPLETE,espA=COMPLETE,espB=COMPLETE,espJ=COMPLETE,espK=COMPLETE,espP=PARTIAL_END_OF_CONTIG,espX1=COMPLETE,etpD=COMPLETE,fdeC=COMPLETE,iha=COMPLETE,katP=COMPLETE,lpfA1=COMPLETE,lpfA2=COMPLETE,nleA=COMPLETE,nleB2=COMPLETE,nleB=COMPLETE,nleC=MISTRANSLATION,nleC=PARTIAL_END_OF_CONTIG,stxA2=COMPLETE,stxB2=COMPLETE,tccP=PARTIAL_END_OF_CONTIG,tir=COMPLETE,toxB=COMPLETE</t>
  </si>
  <si>
    <t>DALPCV</t>
  </si>
  <si>
    <t>OLF14102-1</t>
  </si>
  <si>
    <t>CFIAFB20140245</t>
  </si>
  <si>
    <t>CAL-FD-2014-MI-0626</t>
  </si>
  <si>
    <t>2014-SEQ-0447</t>
  </si>
  <si>
    <t>PORK (raw, leg)</t>
  </si>
  <si>
    <t>SAMN13334598</t>
  </si>
  <si>
    <t>GCA_027232185.1</t>
  </si>
  <si>
    <t>SRS16250912</t>
  </si>
  <si>
    <t>SRR22858778</t>
  </si>
  <si>
    <t>PDT001543115.1</t>
  </si>
  <si>
    <t>2022-12-22T05:39:51Z</t>
  </si>
  <si>
    <t>DALPCU000000000.1</t>
  </si>
  <si>
    <t>DALPCU</t>
  </si>
  <si>
    <t>OLF14102-2</t>
  </si>
  <si>
    <t>CFIAFB20140246</t>
  </si>
  <si>
    <t>2017-NML-0037</t>
  </si>
  <si>
    <t>SAMN13334599</t>
  </si>
  <si>
    <t>GCA_027229425.1</t>
  </si>
  <si>
    <t>SRS16250911</t>
  </si>
  <si>
    <t>SRR22858779</t>
  </si>
  <si>
    <t>PDT001543116.1</t>
  </si>
  <si>
    <t>DALOYM000000000.1</t>
  </si>
  <si>
    <t>DALOYM</t>
  </si>
  <si>
    <t>OLF14103-1</t>
  </si>
  <si>
    <t>CFIAFB20140247</t>
  </si>
  <si>
    <t>CAL-FD-2014-MI-0627</t>
  </si>
  <si>
    <t>2014-SEQ-0448</t>
  </si>
  <si>
    <t>PORK (raw, frozen, leg)</t>
  </si>
  <si>
    <t>SAMN13334600</t>
  </si>
  <si>
    <t>GCA_027229345.1</t>
  </si>
  <si>
    <t>SRS16250910</t>
  </si>
  <si>
    <t>SRR22858780</t>
  </si>
  <si>
    <t>PDT001543117.1</t>
  </si>
  <si>
    <t>DALOYL000000000.1</t>
  </si>
  <si>
    <t>eae=COMPLETE,ehxA=COMPLETE,espA=COMPLETE,espB=COMPLETE,espF=PARTIAL,espJ=COMPLETE,espK=COMPLETE,espP=PARTIAL_END_OF_CONTIG,espX1=COMPLETE,etpD=COMPLETE,fdeC=COMPLETE,iha=COMPLETE,katP=COMPLETE,lpfA1=COMPLETE,lpfA2=COMPLETE,nleA=COMPLETE,nleB2=COMPLETE,nleB=COMPLETE,nleC=MISTRANSLATION,nleC=PARTIAL_END_OF_CONTIG,stxA2=COMPLETE,stxB2=COMPLETE,tccP=PARTIAL_END_OF_CONTIG,tir=COMPLETE,toxB=COMPLETE</t>
  </si>
  <si>
    <t>DALOYL</t>
  </si>
  <si>
    <t>OLF14103-2</t>
  </si>
  <si>
    <t>CFIAFB20140248</t>
  </si>
  <si>
    <t>2017-NML-0039</t>
  </si>
  <si>
    <t>SAMN13334601</t>
  </si>
  <si>
    <t>GCA_027238345.1</t>
  </si>
  <si>
    <t>SRS16250909</t>
  </si>
  <si>
    <t>SRR22858781</t>
  </si>
  <si>
    <t>PDT001543118.1</t>
  </si>
  <si>
    <t>DALPLO000000000.1</t>
  </si>
  <si>
    <t>eae=COMPLETE,ehxA=COMPLETE,espA=COMPLETE,espB=COMPLETE,espF=PARTIAL,espJ=COMPLETE,espK=COMPLETE,espP=PARTIAL_END_OF_CONTIG,espX1=COMPLETE,etpD=COMPLETE,fdeC=COMPLETE,iha=COMPLETE,katP=COMPLETE,lpfA1=COMPLETE,lpfA2=COMPLETE,nleA=COMPLETE,nleB2=COMPLETE,nleB=COMPLETE,nleC=MISTRANSLATION,nleC=PARTIAL_END_OF_CONTIG,stxA2c=COMPLETE,stxB2c=COMPLETE,tccP=PARTIAL_END_OF_CONTIG,tir=COMPLETE,toxB=COMPLETE</t>
  </si>
  <si>
    <t>DALPLO</t>
  </si>
  <si>
    <t>OLF14104-2</t>
  </si>
  <si>
    <t>CFIAFB20140250</t>
  </si>
  <si>
    <t>CAL-FD-2014-MI-0630</t>
  </si>
  <si>
    <t>2014-SEQ-0449</t>
  </si>
  <si>
    <t>Meat: pork, environmental (raw)</t>
  </si>
  <si>
    <t>SAMN13334602</t>
  </si>
  <si>
    <t>GCA_027232145.1</t>
  </si>
  <si>
    <t>SRS16250907</t>
  </si>
  <si>
    <t>SRR22858783</t>
  </si>
  <si>
    <t>PDT001543120.1</t>
  </si>
  <si>
    <t>2022-12-22T05:39:52Z</t>
  </si>
  <si>
    <t>DALPCT000000000.1</t>
  </si>
  <si>
    <t>DALPCT</t>
  </si>
  <si>
    <t>OLF14106-1</t>
  </si>
  <si>
    <t>CFIAFB20140251</t>
  </si>
  <si>
    <t>CAL-FD-2014-MI-0628</t>
  </si>
  <si>
    <t>2014-SEQ-0450</t>
  </si>
  <si>
    <t>PORK (raw, frozen, shoulder)</t>
  </si>
  <si>
    <t>SAMN13334603</t>
  </si>
  <si>
    <t>GCA_027234785.1</t>
  </si>
  <si>
    <t>SRS16250906</t>
  </si>
  <si>
    <t>SRR22858784</t>
  </si>
  <si>
    <t>PDT001543121.1</t>
  </si>
  <si>
    <t>DALPHT000000000.1</t>
  </si>
  <si>
    <t>DALPHT</t>
  </si>
  <si>
    <t>OLF14106-2</t>
  </si>
  <si>
    <t>CFIAFB20140252</t>
  </si>
  <si>
    <t>2017-NML-0043</t>
  </si>
  <si>
    <t>SAMN13334604</t>
  </si>
  <si>
    <t>GCA_027229405.1</t>
  </si>
  <si>
    <t>SRS16250905</t>
  </si>
  <si>
    <t>SRR22858785</t>
  </si>
  <si>
    <t>PDT001543122.1</t>
  </si>
  <si>
    <t>DALOYK000000000.1</t>
  </si>
  <si>
    <t>DALOYK</t>
  </si>
  <si>
    <t>OLF14107-1</t>
  </si>
  <si>
    <t>CFIAFB20140253</t>
  </si>
  <si>
    <t>CAL-FD-2014-MI-0635</t>
  </si>
  <si>
    <t>2018-MER-0007</t>
  </si>
  <si>
    <t>Environmental</t>
  </si>
  <si>
    <t>aph(6)-Id (100.0%) Colistin;strA (100.0%) ;tet(A) (100.0%) Tetracycline</t>
  </si>
  <si>
    <t>SAMN13334605</t>
  </si>
  <si>
    <t>GCA_027232165.1</t>
  </si>
  <si>
    <t>SRS16250904</t>
  </si>
  <si>
    <t>SRR22858786</t>
  </si>
  <si>
    <t>PDT001543123.1</t>
  </si>
  <si>
    <t>DALPCR000000000.1</t>
  </si>
  <si>
    <t>DALPCR</t>
  </si>
  <si>
    <t>OLF14107-2</t>
  </si>
  <si>
    <t>CFIAFB20140254</t>
  </si>
  <si>
    <t>2017-NML-0045</t>
  </si>
  <si>
    <t>SAMN13334606</t>
  </si>
  <si>
    <t>GCA_027231305.1</t>
  </si>
  <si>
    <t>SRS16250903</t>
  </si>
  <si>
    <t>SRR22858787</t>
  </si>
  <si>
    <t>PDT001543124.1</t>
  </si>
  <si>
    <t>DALPBE000000000.1</t>
  </si>
  <si>
    <t>DALPBE</t>
  </si>
  <si>
    <t>OLF14108-1</t>
  </si>
  <si>
    <t>CFIAFB20140255</t>
  </si>
  <si>
    <t>CAL-FD-2014-MI-0637</t>
  </si>
  <si>
    <t>2017-NML-0046</t>
  </si>
  <si>
    <t>SAMN13334607</t>
  </si>
  <si>
    <t>GCA_027229325.1</t>
  </si>
  <si>
    <t>SRS16250902</t>
  </si>
  <si>
    <t>SRR22858788</t>
  </si>
  <si>
    <t>PDT001543125.1</t>
  </si>
  <si>
    <t>DALOYI000000000.1</t>
  </si>
  <si>
    <t>DALOYI</t>
  </si>
  <si>
    <t>PDS000056796.3</t>
  </si>
  <si>
    <t>OLF14108-2</t>
  </si>
  <si>
    <t>CFIAFB20140256</t>
  </si>
  <si>
    <t>2017-NML-0047</t>
  </si>
  <si>
    <t>SAMN13334608</t>
  </si>
  <si>
    <t>GCA_027232085.1</t>
  </si>
  <si>
    <t>SRS16250901</t>
  </si>
  <si>
    <t>SRR22858789</t>
  </si>
  <si>
    <t>PDT001543126.1</t>
  </si>
  <si>
    <t>2022-12-22T05:39:53Z</t>
  </si>
  <si>
    <t>DALPCS000000000.1</t>
  </si>
  <si>
    <t>DALPCS</t>
  </si>
  <si>
    <t>OLF14109</t>
  </si>
  <si>
    <t>CFIAFB20140257</t>
  </si>
  <si>
    <t>CAL-FD-2014-MI-0639</t>
  </si>
  <si>
    <t>2014-SEQ-0453</t>
  </si>
  <si>
    <t>SAMN13334609</t>
  </si>
  <si>
    <t>GCA_027236545.1</t>
  </si>
  <si>
    <t>SRS16250900</t>
  </si>
  <si>
    <t>SRR22858790</t>
  </si>
  <si>
    <t>PDT001543127.1</t>
  </si>
  <si>
    <t>DALPIU000000000.1</t>
  </si>
  <si>
    <t>eae=COMPLETE,ehxA=COMPLETE,espA=COMPLETE,espB=COMPLETE,espJ=COMPLETE,espK=COMPLETE,espP=PARTIAL_END_OF_CONTIG,espX1=COMPLETE,etpD=COMPLETE,fdeC=COMPLETE,iha=COMPLETE,katP=COMPLETE,lpfA1=COMPLETE,lpfA2=COMPLETE,nleA=COMPLETE,nleB2=COMPLETE,nleB=COMPLETE,nleC=MISTRANSLATION,nleC=PARTIAL_END_OF_CONTIG,stxA2=COMPLETE,stxB2=COMPLETE,tccP=PARTIAL_END_OF_CONTIG,tir=COMPLETE,toxB=PARTIAL</t>
  </si>
  <si>
    <t>DALPIU</t>
  </si>
  <si>
    <t>OLF14112-1</t>
  </si>
  <si>
    <t>CFIAFB20140258</t>
  </si>
  <si>
    <t>CAL-FD-2014-MI-0661</t>
  </si>
  <si>
    <t>2014-SEQ-0454</t>
  </si>
  <si>
    <t>2017-PAC-0024</t>
  </si>
  <si>
    <t>SAMN13334610</t>
  </si>
  <si>
    <t>GCA_027230685.1</t>
  </si>
  <si>
    <t>SRS16250899</t>
  </si>
  <si>
    <t>SRR22858791</t>
  </si>
  <si>
    <t>PDT001543128.1</t>
  </si>
  <si>
    <t>DALPAC000000000.1</t>
  </si>
  <si>
    <t>eae=COMPLETE,ehxA=COMPLETE,espA=COMPLETE,espB=COMPLETE,espF=PARTIAL_END_OF_CONTIG,espJ=COMPLETE,espK=COMPLETE,espX1=COMPLETE,etpD=COMPLETE,fdeC=MISTRANSLATION,iha=COMPLETE,lpfA1=COMPLETE,lpfA2=COMPLETE,nleA=COMPLETE,nleB=COMPLETE,nleC=MISTRANSLATION,stxB2c=COMPLETE,tccP=COMPLETE,tir=COMPLETE,toxB=COMPLETE</t>
  </si>
  <si>
    <t>DALPAC</t>
  </si>
  <si>
    <t>PDS000073508.2</t>
  </si>
  <si>
    <t>OLF14112-2</t>
  </si>
  <si>
    <t>CFIAFB20140259</t>
  </si>
  <si>
    <t>2017-NML-0050</t>
  </si>
  <si>
    <t>SAMN13334611</t>
  </si>
  <si>
    <t>GCA_027230665.1</t>
  </si>
  <si>
    <t>SRS16250898</t>
  </si>
  <si>
    <t>SRR22858792</t>
  </si>
  <si>
    <t>PDT001543129.1</t>
  </si>
  <si>
    <t>DALPAB000000000.1</t>
  </si>
  <si>
    <t>eae=COMPLETE,ehxA=COMPLETE,espA=COMPLETE,espB=COMPLETE,espJ=COMPLETE,espK=COMPLETE,espX1=COMPLETE,etpD=COMPLETE,fdeC=MISTRANSLATION,iha=COMPLETE,lpfA1=COMPLETE,lpfA2=COMPLETE,nleA=COMPLETE,nleB=COMPLETE,nleC=MISTRANSLATION,stxB2c=COMPLETE,tccP=PARTIAL,tccP=PARTIAL_END_OF_CONTIG,tir=COMPLETE,toxB=COMPLETE</t>
  </si>
  <si>
    <t>DALPAB</t>
  </si>
  <si>
    <t>OLF14113-1</t>
  </si>
  <si>
    <t>CFIAFB20140260</t>
  </si>
  <si>
    <t>CAL-FD-2014-MI-0662</t>
  </si>
  <si>
    <t>2014-SEQ-0455</t>
  </si>
  <si>
    <t>Stx1a_9_AB035142|Stx2c_17_AARCVD010000057.1</t>
  </si>
  <si>
    <t>SAMN13334612</t>
  </si>
  <si>
    <t>GCA_027230645.1</t>
  </si>
  <si>
    <t>SRS16250896</t>
  </si>
  <si>
    <t>SRR22858794</t>
  </si>
  <si>
    <t>PDT001543131.1</t>
  </si>
  <si>
    <t>2022-12-22T05:39:54Z</t>
  </si>
  <si>
    <t>DALPAE000000000.1</t>
  </si>
  <si>
    <t>eae=COMPLETE,ehxA=COMPLETE,espA=COMPLETE,espB=COMPLETE,espF=PARTIAL,espJ=COMPLETE,espK=COMPLETE,espP=PARTIAL_END_OF_CONTIG,espX1=COMPLETE,etpD=COMPLETE,fdeC=MISTRANSLATION,iha=COMPLETE,lpfA1=COMPLETE,lpfA2=COMPLETE,nleA=COMPLETE,nleB=COMPLETE,nleC=MISTRANSLATION,stxA2c=PARTIAL,stxA2d=COMPLETE,stxB2c=COMPLETE,tccP=PARTIAL_END_OF_CONTIG,tir=COMPLETE,toxB=COMPLETE</t>
  </si>
  <si>
    <t>DALPAE</t>
  </si>
  <si>
    <t>OLF14113-2</t>
  </si>
  <si>
    <t>CFIAFB20140261</t>
  </si>
  <si>
    <t>2017-NML-0052</t>
  </si>
  <si>
    <t>SAMN13334613</t>
  </si>
  <si>
    <t>GCA_027239325.1</t>
  </si>
  <si>
    <t>SRS16250895</t>
  </si>
  <si>
    <t>SRR22858795</t>
  </si>
  <si>
    <t>PDT001543132.1</t>
  </si>
  <si>
    <t>DALPNC000000000.1</t>
  </si>
  <si>
    <t>eae=COMPLETE,ehxA=COMPLETE,espA=COMPLETE,espB=COMPLETE,espJ=COMPLETE,espK=COMPLETE,espX1=COMPLETE,etpD=COMPLETE,fdeC=MISTRANSLATION,iha=COMPLETE,lpfA1=COMPLETE,lpfA2=COMPLETE,nleA=COMPLETE,nleB=COMPLETE,nleC=MISTRANSLATION,stxB2c=COMPLETE,tccP=COMPLETE,tccP=PARTIAL_END_OF_CONTIG,tir=COMPLETE,toxB=COMPLETE</t>
  </si>
  <si>
    <t>DALPNC</t>
  </si>
  <si>
    <t>OLF15049</t>
  </si>
  <si>
    <t>CFIAFB20150153</t>
  </si>
  <si>
    <t>BUR-FI-2015-MI-00111</t>
  </si>
  <si>
    <t>2017-MER-0414</t>
  </si>
  <si>
    <t>PORK (raw, ground)</t>
  </si>
  <si>
    <t>SAMN10746418</t>
  </si>
  <si>
    <t>GCA_012017125.1</t>
  </si>
  <si>
    <t>SRS4256972</t>
  </si>
  <si>
    <t>SRR8448490</t>
  </si>
  <si>
    <t>PDT000441066.2</t>
  </si>
  <si>
    <t>2019-01-16T22:53:14Z</t>
  </si>
  <si>
    <t>DAAYYR000000000.1</t>
  </si>
  <si>
    <t>eae=COMPLETE,ehxA=COMPLETE,espA=COMPLETE,espB=COMPLETE,espF=PARTIAL,espJ=COMPLETE,espK=COMPLETE,espP=COMPLETE,espX1=PARTIAL_END_OF_CONTIG,etpD=COMPLETE,fdeC=COMPLETE,iha=COMPLETE,katP=COMPLETE,lpfA1=COMPLETE,lpfA2=COMPLETE,nleA=COMPLETE,nleB2=COMPLETE,nleB=COMPLETE,nleC=COMPLETE,stxA2=COMPLETE,stxB2=COMPLETE,tccP=PARTIAL_END_OF_CONTIG,tir=COMPLETE,toxB=COMPLETE</t>
  </si>
  <si>
    <t>DAAYYR</t>
  </si>
  <si>
    <t>OLF15053</t>
  </si>
  <si>
    <t>CFIAFB20150154</t>
  </si>
  <si>
    <t>BUR-FI-2015-MI-00211</t>
  </si>
  <si>
    <t>2019-SEQ-0300</t>
  </si>
  <si>
    <t>SAMN13334673</t>
  </si>
  <si>
    <t>GCA_027229385.1</t>
  </si>
  <si>
    <t>SRS16250892</t>
  </si>
  <si>
    <t>SRR22858798</t>
  </si>
  <si>
    <t>PDT001543135.1</t>
  </si>
  <si>
    <t>DALOYJ000000000.1</t>
  </si>
  <si>
    <t>DALOYJ</t>
  </si>
  <si>
    <t>PDS000035083.27</t>
  </si>
  <si>
    <t>OLF15254</t>
  </si>
  <si>
    <t>CFIAFB20150226</t>
  </si>
  <si>
    <t>BUR-FI-2015-MI-00769</t>
  </si>
  <si>
    <t>2015-SEQ-0964</t>
  </si>
  <si>
    <t>SAMN13334678</t>
  </si>
  <si>
    <t>GCA_027228645.1</t>
  </si>
  <si>
    <t>SRS16250891</t>
  </si>
  <si>
    <t>SRR22858799</t>
  </si>
  <si>
    <t>PDT001543136.1</t>
  </si>
  <si>
    <t>DALOXH000000000.1</t>
  </si>
  <si>
    <t>DALOXH</t>
  </si>
  <si>
    <t>OLF15258</t>
  </si>
  <si>
    <t>CFIAFB20150236</t>
  </si>
  <si>
    <t>STH-FD-2015-MI-1562</t>
  </si>
  <si>
    <t>2015-SEQ-1027</t>
  </si>
  <si>
    <t>Other-Veal trimmings</t>
  </si>
  <si>
    <t>Stx2c_242_GCA_021248085.1</t>
  </si>
  <si>
    <t>SAMN13334680</t>
  </si>
  <si>
    <t>GCA_027232105.1</t>
  </si>
  <si>
    <t>SRS16250890</t>
  </si>
  <si>
    <t>SRR22858800</t>
  </si>
  <si>
    <t>PDT001543137.1</t>
  </si>
  <si>
    <t>2022-12-22T05:39:55Z</t>
  </si>
  <si>
    <t>DALPCP000000000.1</t>
  </si>
  <si>
    <t>eae=COMPLETE,ehxA=COMPLETE,espA=COMPLETE,espB=COMPLETE,espF=PARTIAL,espJ=PARTIAL,espK=COMPLETE,espX1=COMPLETE,etpD=COMPLETE,fdeC=MISTRANSLATION,iha=COMPLETE,lpfA1=COMPLETE,lpfA2=COMPLETE,nleA=COMPLETE,nleB=COMPLETE,nleC=MISTRANSLATION,stxB2c=COMPLETE,tccP=COMPLETE,tccP=PARTIAL_END_OF_CONTIG,tir=COMPLETE,toxB=PARTIAL_END_OF_CONTIG</t>
  </si>
  <si>
    <t>DALPCP</t>
  </si>
  <si>
    <t>OLF15265</t>
  </si>
  <si>
    <t>CFIAFB20150247</t>
  </si>
  <si>
    <t>CAL-FD-2015-MI-1303</t>
  </si>
  <si>
    <t>2015-SEQ-1048</t>
  </si>
  <si>
    <t>SAMN13334682</t>
  </si>
  <si>
    <t>GCA_027230585.1</t>
  </si>
  <si>
    <t>SRS16250889</t>
  </si>
  <si>
    <t>SRR22858801</t>
  </si>
  <si>
    <t>PDT001543138.1</t>
  </si>
  <si>
    <t>DALOZY000000000.1</t>
  </si>
  <si>
    <t>DALOZY</t>
  </si>
  <si>
    <t>OLF15272</t>
  </si>
  <si>
    <t>CFIAFB20150253</t>
  </si>
  <si>
    <t>H-40-11</t>
  </si>
  <si>
    <t>2015-SEQ-1131</t>
  </si>
  <si>
    <t>Fresh Fruit/Veg</t>
  </si>
  <si>
    <t>SAMN13334684</t>
  </si>
  <si>
    <t>GCA_027229305.1</t>
  </si>
  <si>
    <t>SRS16250888</t>
  </si>
  <si>
    <t>SRR22858802</t>
  </si>
  <si>
    <t>PDT001543139.1</t>
  </si>
  <si>
    <t>DALOYH000000000.1</t>
  </si>
  <si>
    <t>DALOYH</t>
  </si>
  <si>
    <t>OLF16123</t>
  </si>
  <si>
    <t>CFIAFB20160142</t>
  </si>
  <si>
    <t>OTT-FD-2016-MI-1032</t>
  </si>
  <si>
    <t>2017-MER-0049</t>
  </si>
  <si>
    <t>Raw Ground Beef/Veal</t>
  </si>
  <si>
    <t>SAMN11373447</t>
  </si>
  <si>
    <t>GCA_026898015.1</t>
  </si>
  <si>
    <t>SRS16120128</t>
  </si>
  <si>
    <t>SRR22715051</t>
  </si>
  <si>
    <t>PDT001525346.1</t>
  </si>
  <si>
    <t>2022-12-13T22:41:50Z</t>
  </si>
  <si>
    <t>DALAJD000000000.1</t>
  </si>
  <si>
    <t>eae=COMPLETE,ehxA=COMPLETE,espA=COMPLETE,espB=COMPLETE,espF=PARTIAL,espJ=COMPLETE,espK=COMPLETE,espP=COMPLETE,espX1=COMPLETE,etpD=COMPLETE,fdeC=COMPLETE,iha=PARTIAL_END_OF_CONTIG,katP=COMPLETE,lpfA1=COMPLETE,lpfA2=COMPLETE,nleA=COMPLETE,nleB2=COMPLETE,nleB=COMPLETE,nleC=COMPLETE,stxA1a=COMPLETE,stxA2c=COMPLETE,stxB1a=COMPLETE,stxB2a=COMPLETE,tccP=PARTIAL_END_OF_CONTIG,tir=COMPLETE,toxB=COMPLETE</t>
  </si>
  <si>
    <t>DALAJD</t>
  </si>
  <si>
    <t>OLF16108</t>
  </si>
  <si>
    <t>CFIAFB20160152</t>
  </si>
  <si>
    <t>BUR-FI-2016-MI-01081</t>
  </si>
  <si>
    <t>2016-SEQ-0836</t>
  </si>
  <si>
    <t>O157 (100.0):H7 (99.94)</t>
  </si>
  <si>
    <t>SAMN11030467</t>
  </si>
  <si>
    <t>GCA_026889975.1</t>
  </si>
  <si>
    <t>SRS16120061</t>
  </si>
  <si>
    <t>SRR22715118</t>
  </si>
  <si>
    <t>PDT001525413.1</t>
  </si>
  <si>
    <t>2022-12-13T22:42:00Z</t>
  </si>
  <si>
    <t>DAKZXT000000000.1</t>
  </si>
  <si>
    <t>eae=COMPLETE,ehxA=COMPLETE,espA=COMPLETE,espB=COMPLETE,espF=PARTIAL,espJ=COMPLETE,espK=COMPLETE,espP=COMPLETE,espX1=PARTIAL_END_OF_CONTIG,etpD=COMPLETE,fdeC=COMPLETE,iha=COMPLETE,iss=COMPLETE,katP=COMPLETE,lpfA1=COMPLETE,lpfA2=COMPLETE,nleA=COMPLETE,nleB2=COMPLETE,nleB=COMPLETE,nleC=COMPLETE,stxA2c=COMPLETE,stxB2c=COMPLETE,tccP=PARTIAL_END_OF_CONTIG,tir=COMPLETE,toxB=COMPLETE</t>
  </si>
  <si>
    <t>DAKZXT</t>
  </si>
  <si>
    <t>OLF16004-1</t>
  </si>
  <si>
    <t>CFIAFB20160155</t>
  </si>
  <si>
    <t>CAL-FD-2015-MI-1796</t>
  </si>
  <si>
    <t>2017-MER-0403</t>
  </si>
  <si>
    <t>PORK (raw, sausage)</t>
  </si>
  <si>
    <t>SAMN13334710</t>
  </si>
  <si>
    <t>GCA_027230565.1</t>
  </si>
  <si>
    <t>SRS16250868</t>
  </si>
  <si>
    <t>SRR22858822</t>
  </si>
  <si>
    <t>PDT001543159.1</t>
  </si>
  <si>
    <t>2022-12-22T05:39:59Z</t>
  </si>
  <si>
    <t>DALOZT000000000.1</t>
  </si>
  <si>
    <t>DALOZT</t>
  </si>
  <si>
    <t>OLF16013-1</t>
  </si>
  <si>
    <t>CFIAFB20160170</t>
  </si>
  <si>
    <t>CAL-FD-2015-MI-1899</t>
  </si>
  <si>
    <t>2015-SEQ-1635</t>
  </si>
  <si>
    <t>Other-Carcass organ meat</t>
  </si>
  <si>
    <t>SAMN13334711</t>
  </si>
  <si>
    <t>GCA_027237365.1</t>
  </si>
  <si>
    <t>SRS16250867</t>
  </si>
  <si>
    <t>SRR22858823</t>
  </si>
  <si>
    <t>PDT001543160.1</t>
  </si>
  <si>
    <t>DALPJT000000000.1</t>
  </si>
  <si>
    <t>eae=COMPLETE,ehxA=COMPLETE,espA=COMPLETE,espB=COMPLETE,espJ=PARTIAL_END_OF_CONTIG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PARTIAL_END_OF_CONTIG</t>
  </si>
  <si>
    <t>DALPJT</t>
  </si>
  <si>
    <t>OLF16013-10</t>
  </si>
  <si>
    <t>CFIAFB20160171</t>
  </si>
  <si>
    <t>CAL-FD-2015-MI-1912</t>
  </si>
  <si>
    <t>2017-HCLON-0011</t>
  </si>
  <si>
    <t>Environmental-Carcass swab</t>
  </si>
  <si>
    <t>SAMN13334712</t>
  </si>
  <si>
    <t>GCA_027233965.1</t>
  </si>
  <si>
    <t>SRS16250866</t>
  </si>
  <si>
    <t>SRR22858824</t>
  </si>
  <si>
    <t>PDT001543161.1</t>
  </si>
  <si>
    <t>DALPGJ000000000.1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</si>
  <si>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COMPLETE</t>
  </si>
  <si>
    <t>DALPGJ</t>
  </si>
  <si>
    <t>OLF16013-2</t>
  </si>
  <si>
    <t>CFIAFB20160172</t>
  </si>
  <si>
    <t>2015-SEQ-1636</t>
  </si>
  <si>
    <t>SAMN13334713</t>
  </si>
  <si>
    <t>GCA_027240485.1</t>
  </si>
  <si>
    <t>SRS16250865</t>
  </si>
  <si>
    <t>SRR22858825</t>
  </si>
  <si>
    <t>PDT001543162.1</t>
  </si>
  <si>
    <t>2022-12-22T05:40:00Z</t>
  </si>
  <si>
    <t>DALPOK000000000.1</t>
  </si>
  <si>
    <t>eae=COMPLETE,ehxA=COMPLETE,espA=COMPLETE,espB=COMPLETE,espF=PARTIAL_END_OF_CONTIG,espJ=PARTIAL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PARTIAL_END_OF_CONTIG</t>
  </si>
  <si>
    <t>DALPOK</t>
  </si>
  <si>
    <t>OLF16013-4</t>
  </si>
  <si>
    <t>CFIAFB20160174</t>
  </si>
  <si>
    <t>CAL-FD-2015-MI-1900</t>
  </si>
  <si>
    <t>2015-SEQ-1638</t>
  </si>
  <si>
    <t>SAMN13334715</t>
  </si>
  <si>
    <t>GCA_027230465.1</t>
  </si>
  <si>
    <t>SRS16250864</t>
  </si>
  <si>
    <t>SRR22858826</t>
  </si>
  <si>
    <t>PDT001543163.1</t>
  </si>
  <si>
    <t>DALOZU000000000.1</t>
  </si>
  <si>
    <t>eae=COMPLETE,ehxA=COMPLETE,espA=COMPLETE,espB=COMPLETE,espJ=PARTIAL,espK=COMPLETE,espP=COMPLETE,espX1=PARTIAL_END_OF_CONTIG,etpD=COMPLETE,fdeC=COMPLETE,iha=COMPLETE,katP=COMPLETE,lpfA1=COMPLETE,lpfA2=COMPLETE,nleA=COMPLETE,nleB2=COMPLETE,nleB=COMPLETE,nleC=COMPLETE,stxA1a=COMPLETE,stxA2d=COMPLETE,stxB1a=COMPLETE,stxB2a=COMPLETE,tccP=PARTIAL_END_OF_CONTIG,tir=COMPLETE</t>
  </si>
  <si>
    <t>DALOZU</t>
  </si>
  <si>
    <t>OLF16013-5</t>
  </si>
  <si>
    <t>CFIAFB20160175</t>
  </si>
  <si>
    <t>CAL-FD-2015-MI-1902</t>
  </si>
  <si>
    <t>2015-SEQ-1639</t>
  </si>
  <si>
    <t>SAMN13334716</t>
  </si>
  <si>
    <t>GCA_027232005.1</t>
  </si>
  <si>
    <t>SRS16250863</t>
  </si>
  <si>
    <t>SRR22858827</t>
  </si>
  <si>
    <t>PDT001543164.1</t>
  </si>
  <si>
    <t>DALPCM000000000.1</t>
  </si>
  <si>
    <t>eae=COMPLETE,ehxA=COMPLETE,espA=COMPLETE,espB=COMPLETE,espJ=PARTIAL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COMPLETE</t>
  </si>
  <si>
    <t>DALPCM</t>
  </si>
  <si>
    <t>OLF16013-6</t>
  </si>
  <si>
    <t>CFIAFB20160176</t>
  </si>
  <si>
    <t>2015-SEQ-1640</t>
  </si>
  <si>
    <t>SAMN13334717</t>
  </si>
  <si>
    <t>GCA_027234725.1</t>
  </si>
  <si>
    <t>SRS16250862</t>
  </si>
  <si>
    <t>SRR22858828</t>
  </si>
  <si>
    <t>PDT001543165.1</t>
  </si>
  <si>
    <t>DALPHR000000000.1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</si>
  <si>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PARTIAL_END_OF_CONTIG</t>
  </si>
  <si>
    <t>DALPHR</t>
  </si>
  <si>
    <t>OLF16013-7</t>
  </si>
  <si>
    <t>CFIAFB20160177</t>
  </si>
  <si>
    <t>CAL-FD-2015-MI-1903</t>
  </si>
  <si>
    <t>2017-MER-0037</t>
  </si>
  <si>
    <t>SAMN13334718</t>
  </si>
  <si>
    <t>GCA_027226745.1</t>
  </si>
  <si>
    <t>SRS16250861</t>
  </si>
  <si>
    <t>SRR22858829</t>
  </si>
  <si>
    <t>PDT001543166.1</t>
  </si>
  <si>
    <t>DALOWI000000000.1</t>
  </si>
  <si>
    <t>DALOWI</t>
  </si>
  <si>
    <t>OLF16013-8</t>
  </si>
  <si>
    <t>CFIAFB20160178</t>
  </si>
  <si>
    <t>2019-MER-0216</t>
  </si>
  <si>
    <t>Beef carcass swab</t>
  </si>
  <si>
    <t>SAMN13334719</t>
  </si>
  <si>
    <t>GCA_027233085.1</t>
  </si>
  <si>
    <t>SRS16250880</t>
  </si>
  <si>
    <t>SRR22858810</t>
  </si>
  <si>
    <t>PDT001543147.1</t>
  </si>
  <si>
    <t>2022-12-22T05:39:57Z</t>
  </si>
  <si>
    <t>DALPEP000000000.1</t>
  </si>
  <si>
    <t>DALPEP</t>
  </si>
  <si>
    <t>OLF16013-9</t>
  </si>
  <si>
    <t>CFIAFB20160179</t>
  </si>
  <si>
    <t>2015-SEQ-1643</t>
  </si>
  <si>
    <t>SAMN13334720</t>
  </si>
  <si>
    <t>GCA_027233015.1</t>
  </si>
  <si>
    <t>SRS16250879</t>
  </si>
  <si>
    <t>SRR22858811</t>
  </si>
  <si>
    <t>PDT001543148.1</t>
  </si>
  <si>
    <t>DALPEM000000000.1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</si>
  <si>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1a=COMPLETE,stxA2d=COMPLETE,stxB1a=COMPLETE,stxB2a=COMPLETE,tccP=PARTIAL_END_OF_CONTIG,tir=COMPLETE,toxB=COMPLETE</t>
  </si>
  <si>
    <t>DALPEM</t>
  </si>
  <si>
    <t>OLF16026-1</t>
  </si>
  <si>
    <t>CFIAFB20160185</t>
  </si>
  <si>
    <t>CAL-FD-2015-MI-2115</t>
  </si>
  <si>
    <t>2015-SEQ-1849</t>
  </si>
  <si>
    <t>Other-Offal</t>
  </si>
  <si>
    <t>SAMN13334721</t>
  </si>
  <si>
    <t>GCA_027233045.1</t>
  </si>
  <si>
    <t>SRS16250878</t>
  </si>
  <si>
    <t>SRR22858812</t>
  </si>
  <si>
    <t>PDT001543149.1</t>
  </si>
  <si>
    <t>DALPEN000000000.1</t>
  </si>
  <si>
    <t>DALPEN</t>
  </si>
  <si>
    <t>OLF16026-2</t>
  </si>
  <si>
    <t>CFIAFB20160186</t>
  </si>
  <si>
    <t>2015-SEQ-1850</t>
  </si>
  <si>
    <t>SAMN13334722</t>
  </si>
  <si>
    <t>GCA_027229485.1</t>
  </si>
  <si>
    <t>SRS16250919</t>
  </si>
  <si>
    <t>SRR22858771</t>
  </si>
  <si>
    <t>PDT001543108.1</t>
  </si>
  <si>
    <t>DALOYP000000000.1</t>
  </si>
  <si>
    <t>DALOYP</t>
  </si>
  <si>
    <t>OLF16030</t>
  </si>
  <si>
    <t>CFIAFB20160187</t>
  </si>
  <si>
    <t>STH-FD-2015-MI-2938</t>
  </si>
  <si>
    <t>2015-SEQ-1868</t>
  </si>
  <si>
    <t>SAMN13334723</t>
  </si>
  <si>
    <t>GCA_027238365.2</t>
  </si>
  <si>
    <t>SRS16250908</t>
  </si>
  <si>
    <t>SRR22858782</t>
  </si>
  <si>
    <t>PDT001543119.2</t>
  </si>
  <si>
    <t>DALPLN000000000.2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</si>
  <si>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2_operon=PARTIAL_CONTIG_END,stx2a_operon=COMPLETE,stx2c_operon=COMPLETE,stxA2=COMPLETE,stxA2=PARTIAL_END_OF_CONTIG,stxB2=COMPLETE,tccP=PARTIAL_END_OF_CONTIG,tir=COMPLETE,toxB=COMPLETE</t>
  </si>
  <si>
    <t>DALPLN</t>
  </si>
  <si>
    <t>OLF16042-1</t>
  </si>
  <si>
    <t>CFIAFB20160190</t>
  </si>
  <si>
    <t>GTA-FD-2016-MI-00042</t>
  </si>
  <si>
    <t>2016-SEQ-0129</t>
  </si>
  <si>
    <t>Beef/Veal Precursor Materials</t>
  </si>
  <si>
    <t>SAMN13334725</t>
  </si>
  <si>
    <t>GCA_027232065.1</t>
  </si>
  <si>
    <t>SRS16250897</t>
  </si>
  <si>
    <t>SRR22858793</t>
  </si>
  <si>
    <t>PDT001543130.1</t>
  </si>
  <si>
    <t>DALPCO000000000.1</t>
  </si>
  <si>
    <t>DALPCO</t>
  </si>
  <si>
    <t>OLF16042-2</t>
  </si>
  <si>
    <t>CFIAFB20160191</t>
  </si>
  <si>
    <t>2016-SEQ-0130</t>
  </si>
  <si>
    <t>SAMN13334726</t>
  </si>
  <si>
    <t>GCA_027233105.1</t>
  </si>
  <si>
    <t>SRS16250886</t>
  </si>
  <si>
    <t>SRR22858804</t>
  </si>
  <si>
    <t>PDT001543141.1</t>
  </si>
  <si>
    <t>DALPEO000000000.1</t>
  </si>
  <si>
    <t>DALPEO</t>
  </si>
  <si>
    <t>OLF16043-1</t>
  </si>
  <si>
    <t>CFIAFB20160192</t>
  </si>
  <si>
    <t>CAL-FD-2016-MI-0103</t>
  </si>
  <si>
    <t>2017-MER-0335</t>
  </si>
  <si>
    <t>PORK (raw)</t>
  </si>
  <si>
    <t>SAMN13334727</t>
  </si>
  <si>
    <t>GCA_027236525.1</t>
  </si>
  <si>
    <t>SRS16250871</t>
  </si>
  <si>
    <t>SRR22858819</t>
  </si>
  <si>
    <t>PDT001543156.1</t>
  </si>
  <si>
    <t>2022-12-22T05:39:58Z</t>
  </si>
  <si>
    <t>DALPIT000000000.1</t>
  </si>
  <si>
    <t>DALPIT</t>
  </si>
  <si>
    <t>OLF16043-2</t>
  </si>
  <si>
    <t>CFIAFB20160193</t>
  </si>
  <si>
    <t>2017-MER-0336</t>
  </si>
  <si>
    <t>SAMN13334728</t>
  </si>
  <si>
    <t>GCA_027233065.1</t>
  </si>
  <si>
    <t>SRS16250860</t>
  </si>
  <si>
    <t>SRR22858830</t>
  </si>
  <si>
    <t>PDT001543167.1</t>
  </si>
  <si>
    <t>DALPEK000000000.1</t>
  </si>
  <si>
    <t>DALPEK</t>
  </si>
  <si>
    <t>OLF17026</t>
  </si>
  <si>
    <t>CFIAFB20170154</t>
  </si>
  <si>
    <t>17-023539-0001</t>
  </si>
  <si>
    <t>2017-MER-0250</t>
  </si>
  <si>
    <t>RTE Meat</t>
  </si>
  <si>
    <t>SAMN10989242</t>
  </si>
  <si>
    <t>GCA_026889415.1</t>
  </si>
  <si>
    <t>SRS16120089</t>
  </si>
  <si>
    <t>SRR22715089</t>
  </si>
  <si>
    <t>PDT001525384.1</t>
  </si>
  <si>
    <t>2022-12-13T22:41:56Z</t>
  </si>
  <si>
    <t>DAKZWX000000000.1</t>
  </si>
  <si>
    <t>DAKZWX</t>
  </si>
  <si>
    <t>OLF17035-1</t>
  </si>
  <si>
    <t>CFIAFB20170162</t>
  </si>
  <si>
    <t>STH-FD-2017-MI-0032</t>
  </si>
  <si>
    <t>2017-MER-0214</t>
  </si>
  <si>
    <t>SAMN10989252</t>
  </si>
  <si>
    <t>GCA_026888875.1</t>
  </si>
  <si>
    <t>SRS16120090</t>
  </si>
  <si>
    <t>SRR22715088</t>
  </si>
  <si>
    <t>PDT001525383.1</t>
  </si>
  <si>
    <t>DAKZVY000000000.1</t>
  </si>
  <si>
    <t>eae=COMPLETE,ehxA=COMPLETE,espA=COMPLETE,espB=COMPLETE,espF=PARTIAL_END_OF_CONTIG,espK=COMPLETE,espP=COMPLETE,espX1=COMPLETE,etpD=COMPLETE,fdeC=COMPLETE,iha=COMPLETE,katP=COMPLETE,lpfA1=COMPLETE,lpfA2=COMPLETE,nleA=COMPLETE,nleB2=COMPLETE,nleB=COMPLETE,nleC=COMPLETE,stxA1a=COMPLETE,stxA2c=COMPLETE,stxB1a=COMPLETE,stxB2c=COMPLETE,tccP=PARTIAL_END_OF_CONTIG,tir=COMPLETE,toxB=PARTIAL_END_OF_CONTIG</t>
  </si>
  <si>
    <t>DAKZVY</t>
  </si>
  <si>
    <t>PDS000127703.2</t>
  </si>
  <si>
    <t>OLF17035-2</t>
  </si>
  <si>
    <t>CFIAFB20170163</t>
  </si>
  <si>
    <t>2017-MER-0215</t>
  </si>
  <si>
    <t>SAMN10989253</t>
  </si>
  <si>
    <t>GCA_026889435.1</t>
  </si>
  <si>
    <t>SRS16120092</t>
  </si>
  <si>
    <t>SRR22715087</t>
  </si>
  <si>
    <t>PDT001525382.1</t>
  </si>
  <si>
    <t>DAKZWY000000000.1</t>
  </si>
  <si>
    <t>eae=COMPLETE,ehxA=COMPLETE,espA=COMPLETE,espB=COMPLETE,espF=PARTIAL,espJ=PARTIAL,espK=COMPLETE,espP=COMPLETE,espX1=COMPLETE,etpD=COMPLETE,fdeC=COMPLETE,iha=COMPLETE,katP=COMPLETE,lpfA1=PARTIAL_END_OF_CONTIG,lpfA2=COMPLETE,nleA=COMPLETE,nleB2=COMPLETE,nleB=COMPLETE,nleC=COMPLETE,stxA1a=COMPLETE,stxA2c=COMPLETE,stxB1a=COMPLETE,stxB2c=COMPLETE,tccP=PARTIAL_END_OF_CONTIG,tir=COMPLETE</t>
  </si>
  <si>
    <t>DAKZWY</t>
  </si>
  <si>
    <t>OLF17035-3</t>
  </si>
  <si>
    <t>CFIAFB20170164</t>
  </si>
  <si>
    <t>2017-MER-0216</t>
  </si>
  <si>
    <t>SAMN13334734</t>
  </si>
  <si>
    <t>GCA_027232305.1</t>
  </si>
  <si>
    <t>SRS16250822</t>
  </si>
  <si>
    <t>SRR22858728</t>
  </si>
  <si>
    <t>PDT001543065.1</t>
  </si>
  <si>
    <t>2022-12-22T05:39:42Z</t>
  </si>
  <si>
    <t>DALPDB000000000.1</t>
  </si>
  <si>
    <t>eae=COMPLETE,ehxA=COMPLETE,espA=COMPLETE,espB=COMPLETE,espJ=PARTIAL_END_OF_CONTIG,espK=COMPLETE,espP=COMPLETE,espX1=PARTIAL_END_OF_CONTIG,etpD=COMPLETE,fdeC=COMPLETE,iha=COMPLETE,katP=COMPLETE,lpfA1=COMPLETE,lpfA2=COMPLETE,nleA=COMPLETE,nleB2=COMPLETE,nleB=COMPLETE,nleC=COMPLETE,stxA1a=COMPLETE,stxA2c=COMPLETE,stxB1a=COMPLETE,stxB2c=COMPLETE,tccP=PARTIAL_END_OF_CONTIG,tir=COMPLETE,toxB=COMPLETE</t>
  </si>
  <si>
    <t>DALPDB</t>
  </si>
  <si>
    <t>OLF17035-4</t>
  </si>
  <si>
    <t>CFIAFB20170165</t>
  </si>
  <si>
    <t>2017-MER-0217</t>
  </si>
  <si>
    <t>SAMN13334735</t>
  </si>
  <si>
    <t>GCA_027229525.1</t>
  </si>
  <si>
    <t>SRS16250821</t>
  </si>
  <si>
    <t>SRR22858729</t>
  </si>
  <si>
    <t>PDT001543066.1</t>
  </si>
  <si>
    <t>DALOYR000000000.1</t>
  </si>
  <si>
    <t>eae=COMPLETE,ehxA=COMPLETE,espA=COMPLETE,espB=COMPLETE,espJ=PARTIAL,espK=COMPLETE,espP=COMPLETE,espX1=PARTIAL_END_OF_CONTIG,etpD=COMPLETE,fdeC=COMPLETE,iha=COMPLETE,katP=COMPLETE,lpfA1=COMPLETE,lpfA2=COMPLETE,nleA=COMPLETE,nleB2=COMPLETE,nleB=COMPLETE,nleC=COMPLETE,stxA1a=COMPLETE,stxA2c=COMPLETE,stxB1a=COMPLETE,stxB2c=COMPLETE,tccP=PARTIAL_END_OF_CONTIG,tir=COMPLETE,toxB=PARTIAL_END_OF_CONTIG</t>
  </si>
  <si>
    <t>DALOYR</t>
  </si>
  <si>
    <t>OLF17039-1</t>
  </si>
  <si>
    <t>CFIAFB20170170</t>
  </si>
  <si>
    <t>GTA-FD-2017-MI-00172</t>
  </si>
  <si>
    <t>2017-GTA-0058</t>
  </si>
  <si>
    <t>Other-Veal flank</t>
  </si>
  <si>
    <t>SAMN10989255</t>
  </si>
  <si>
    <t>GCA_026897915.1</t>
  </si>
  <si>
    <t>SRS16120109</t>
  </si>
  <si>
    <t>SRR22715070</t>
  </si>
  <si>
    <t>PDT001525365.1</t>
  </si>
  <si>
    <t>2022-12-13T22:41:53Z</t>
  </si>
  <si>
    <t>DALAIZ000000000.1</t>
  </si>
  <si>
    <t>eae=COMPLETE,ehxA=COMPLETE,espA=COMPLETE,espB=COMPLETE,espJ=PARTIAL,espK=COMPLETE,espP=COMPLETE,espX1=COMPLETE,etpD=COMPLETE,fdeC=COMPLETE,iha=COMPLETE,katP=COMPLETE,lpfA1=COMPLETE,lpfA2=COMPLETE,nleA=COMPLETE,nleB2=COMPLETE,nleB=COMPLETE,nleC=COMPLETE,stxA1a=COMPLETE,stxA2c=COMPLETE,stxB1a=COMPLETE,stxB2c=COMPLETE,tccP=PARTIAL_END_OF_CONTIG,tir=COMPLETE,toxB=PARTIAL_END_OF_CONTIG</t>
  </si>
  <si>
    <t>DALAIZ</t>
  </si>
  <si>
    <t>OLF17039-2</t>
  </si>
  <si>
    <t>CFIAFB20170171</t>
  </si>
  <si>
    <t>2017-GTA-0059</t>
  </si>
  <si>
    <t>SAMN10989256</t>
  </si>
  <si>
    <t>GCA_026889675.1</t>
  </si>
  <si>
    <t>SRS16120110</t>
  </si>
  <si>
    <t>SRR22715069</t>
  </si>
  <si>
    <t>PDT001525364.1</t>
  </si>
  <si>
    <t>DAKZXG000000000.1</t>
  </si>
  <si>
    <t>eae=COMPLETE,ehxA=COMPLETE,espA=COMPLETE,espB=COMPLETE,espF=PARTIAL,espJ=PARTIAL,espK=COMPLETE,espP=COMPLETE,espX1=COMPLETE,etpD=COMPLETE,fdeC=COMPLETE,iha=COMPLETE,katP=COMPLETE,lpfA1=COMPLETE,lpfA2=COMPLETE,nleA=COMPLETE,nleB2=COMPLETE,nleB=COMPLETE,nleC=COMPLETE,stxA1a=COMPLETE,stxA2c=COMPLETE,stxB1a=COMPLETE,stxB2c=COMPLETE,tccP=PARTIAL_END_OF_CONTIG,tir=COMPLETE,toxB=COMPLETE</t>
  </si>
  <si>
    <t>DAKZXG</t>
  </si>
  <si>
    <t>OLF17042</t>
  </si>
  <si>
    <t>CFIAFB20170176</t>
  </si>
  <si>
    <t>2017-MER-0052</t>
  </si>
  <si>
    <t>Other-Red Veal Shoulder</t>
  </si>
  <si>
    <t>aadA2 (100.0%) Aminoglycoside;dfrA12 (100.0%) Trimethoprim;mph(A) (100.0%) Macrolide;sul1 (100.0%) sulphonamide;tet(A) (100.0%) Tetracycline</t>
  </si>
  <si>
    <t>SAMN10989258</t>
  </si>
  <si>
    <t>GCA_026889695.1</t>
  </si>
  <si>
    <t>SRS16120112</t>
  </si>
  <si>
    <t>SRR22715067</t>
  </si>
  <si>
    <t>PDT001525362.1</t>
  </si>
  <si>
    <t>DAKZXI000000000.1</t>
  </si>
  <si>
    <t>aadA2=COMPLETE,dfrA12=COMPLETE,glpT_E448K=POINT,mph(A)=COMPLETE,pmrB_Y358N=POINT,sul1=COMPLETE,tet(A)=COMPLETE</t>
  </si>
  <si>
    <t>eae=COMPLETE,ehxA=COMPLETE,epeA=COMPLETE,espA=COMPLETE,espB=COMPLETE,espJ=PARTIAL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</si>
  <si>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emrE=COMPLETE,qacEdelta1=COMPLETE,terD=COMPLETE,terW=COMPLETE,terZ=COMPLETE</t>
  </si>
  <si>
    <t>aadA2=COMPLETE,acrF=MISTRANSLATION,blaEC=COMPLETE,dfrA12=COMPLETE,glpT_E448K=POINT,mdtM=COMPLETE,mph(A)=COMPLETE,pmrB_Y358N=POINT,sul1=COMPLETE,tet(A)=COMPLETE</t>
  </si>
  <si>
    <t>DAKZXI</t>
  </si>
  <si>
    <t>OLF17049-1</t>
  </si>
  <si>
    <t>CFIAFB20170180</t>
  </si>
  <si>
    <t>GTA-FD-2017-MI-00287</t>
  </si>
  <si>
    <t>2017-GTA-0109</t>
  </si>
  <si>
    <t>eae;VT1;VT2;uidA</t>
  </si>
  <si>
    <t>SAMN13334736</t>
  </si>
  <si>
    <t>GCA_027232425.1</t>
  </si>
  <si>
    <t>SRS16250858</t>
  </si>
  <si>
    <t>SRR22858692</t>
  </si>
  <si>
    <t>PDT001543029.1</t>
  </si>
  <si>
    <t>2022-12-22T05:39:35Z</t>
  </si>
  <si>
    <t>DALPDI000000000.1</t>
  </si>
  <si>
    <t>eae=COMPLETE,ehxA=COMPLETE,espA=COMPLETE,espB=COMPLETE,espF=PARTIAL,espJ=COMPLETE,espK=PARTIAL_END_OF_CONTIG,espP=COMPLETE,etpD=COMPLETE,fdeC=COMPLETE,iha=COMPLETE,iss=COMPLETE,katP=COMPLETE,lpfA1=COMPLETE,lpfA2=COMPLETE,nleA=COMPLETE,nleB2=COMPLETE,nleB=COMPLETE,nleC=COMPLETE,stxA1a=COMPLETE,stxA2c=COMPLETE,stxB1a=COMPLETE,stxB2c=COMPLETE,tccP=PARTIAL_END_OF_CONTIG,tir=COMPLETE</t>
  </si>
  <si>
    <t>DALPDI</t>
  </si>
  <si>
    <t>PDS000129724.1</t>
  </si>
  <si>
    <t>OLF17049-2</t>
  </si>
  <si>
    <t>CFIAFB20170181</t>
  </si>
  <si>
    <t>2017-GTA-0110</t>
  </si>
  <si>
    <t>SAMN11030293</t>
  </si>
  <si>
    <t>GCA_026890015.1</t>
  </si>
  <si>
    <t>SRS16120124</t>
  </si>
  <si>
    <t>SRR22715055</t>
  </si>
  <si>
    <t>PDT001525350.1</t>
  </si>
  <si>
    <t>2022-12-13T22:41:51Z</t>
  </si>
  <si>
    <t>DAKZXU000000000.1</t>
  </si>
  <si>
    <t>eae=COMPLETE,ehxA=COMPLETE,espA=COMPLETE,espB=COMPLETE,espF=PARTIAL,espJ=COMPLETE,espK=COMPLETE,espP=COMPLETE,espX1=COMPLETE,etpD=COMPLETE,fdeC=COMPLETE,iha=COMPLETE,iss=COMPLETE,katP=COMPLETE,lpfA1=COMPLETE,lpfA2=COMPLETE,nleA=COMPLETE,nleB2=COMPLETE,nleB=COMPLETE,nleC=COMPLETE,stxA1a=COMPLETE,stxA2c=COMPLETE,stxB1a=COMPLETE,stxB2c=COMPLETE,tccP=PARTIAL_END_OF_CONTIG,tir=COMPLETE,toxB=PARTIAL_END_OF_CONTIG</t>
  </si>
  <si>
    <t>DAKZXU</t>
  </si>
  <si>
    <t>OLF17056</t>
  </si>
  <si>
    <t>CFIAFB20170190</t>
  </si>
  <si>
    <t>GTA-FD-2017-MI-00435</t>
  </si>
  <si>
    <t>2021-MER-0013</t>
  </si>
  <si>
    <t>Ground beef/trim-Beef trim</t>
  </si>
  <si>
    <t>O-untypeable:H7</t>
  </si>
  <si>
    <t>SAMN40646218</t>
  </si>
  <si>
    <t>GCA_042950655.1</t>
  </si>
  <si>
    <t>SRS20882349</t>
  </si>
  <si>
    <t>SRR28490908</t>
  </si>
  <si>
    <t>PDT002124787.1</t>
  </si>
  <si>
    <t>2024-03-28T21:54:34Z</t>
  </si>
  <si>
    <t>DAXUIK000000000.1</t>
  </si>
  <si>
    <t>eae=COMPLETE,ehxA=COMPLETE,espA=COMPLETE,espB=COMPLETE,espJ=PARTIAL_END_OF_CONTIG,espK=COMPLETE,espP=COMPLETE,etpD=COMPLETE,fdeC=COMPLETE,iha=COMPLETE,katP=COMPLETE,lpfA1=COMPLETE,lpfA2=COMPLETE,nleA=COMPLETE,nleB2=COMPLETE,nleB=PARTIAL_END_OF_CONTIG,nleC=COMPLETE,stxA1=COMPLETE,stxA2=COMPLETE,stxB1=COMPLETE,stxB2=COMPLETE,tccP=PARTIAL_END_OF_CONTIG,tir=COMPLETE</t>
  </si>
  <si>
    <t>DAXUIK</t>
  </si>
  <si>
    <t>OLF17067-1</t>
  </si>
  <si>
    <t>CFIAFB20170195</t>
  </si>
  <si>
    <t>2017-SEQ-0521</t>
  </si>
  <si>
    <t>eae;O157;uidA</t>
  </si>
  <si>
    <t>SAMN11030294</t>
  </si>
  <si>
    <t>GCA_026897835.1</t>
  </si>
  <si>
    <t>SRS16120093</t>
  </si>
  <si>
    <t>SRR22715086</t>
  </si>
  <si>
    <t>PDT001525381.1</t>
  </si>
  <si>
    <t>DALAIT000000000.1</t>
  </si>
  <si>
    <t>astA=COMPLETE,eae=COMPLETE,ehxA=PARTIAL_END_OF_CONTIG,espA=COMPLETE,espB=COMPLETE,espF=PARTIAL,espJ=COMPLETE,espK=COMPLETE,espP=COMPLETE,espX1=COMPLETE,etpD=COMPLETE,fdeC=COMPLETE,iha=COMPLETE,katP=COMPLETE,lpfA1=COMPLETE,lpfA2=COMPLETE,nleA=COMPLETE,nleB2=COMPLETE,nleB=COMPLETE,nleC=COMPLETE,tccP=PARTIAL_END_OF_CONTIG,tir=COMPLETE,toxB=COMPLETE</t>
  </si>
  <si>
    <t>DALAIT</t>
  </si>
  <si>
    <t>PDS000000948.29</t>
  </si>
  <si>
    <t>OLF17067-2</t>
  </si>
  <si>
    <t>CFIAFB20170196</t>
  </si>
  <si>
    <t>2017-SEQ-0522</t>
  </si>
  <si>
    <t>SAMN11030295</t>
  </si>
  <si>
    <t>GCA_026897855.1</t>
  </si>
  <si>
    <t>SRS16120094</t>
  </si>
  <si>
    <t>SRR22715085</t>
  </si>
  <si>
    <t>PDT001525380.1</t>
  </si>
  <si>
    <t>2022-12-13T22:41:55Z</t>
  </si>
  <si>
    <t>DALAIV000000000.1</t>
  </si>
  <si>
    <t>DALAIV</t>
  </si>
  <si>
    <t>OLF18015</t>
  </si>
  <si>
    <t>CFIAFB20180223</t>
  </si>
  <si>
    <t>GTA-FD-2017-MI-02081</t>
  </si>
  <si>
    <t>2017-GTA-0253</t>
  </si>
  <si>
    <t>SAMN10989146</t>
  </si>
  <si>
    <t>GCA_026897555.1</t>
  </si>
  <si>
    <t>SRS16120054</t>
  </si>
  <si>
    <t>SRR22715125</t>
  </si>
  <si>
    <t>PDT001525420.1</t>
  </si>
  <si>
    <t>2022-12-13T22:42:01Z</t>
  </si>
  <si>
    <t>DALAIG000000000.1</t>
  </si>
  <si>
    <t>DALAIG</t>
  </si>
  <si>
    <t>OLF18031-1</t>
  </si>
  <si>
    <t>CFIAFB20180237</t>
  </si>
  <si>
    <t>STH-FD-2017-MI-2879</t>
  </si>
  <si>
    <t>2017-SEQ-1843</t>
  </si>
  <si>
    <t>Ground beef/trim-Ground beef</t>
  </si>
  <si>
    <t>SAMN10989159</t>
  </si>
  <si>
    <t>GCA_026890055.1</t>
  </si>
  <si>
    <t>SRS16120056</t>
  </si>
  <si>
    <t>SRR22715123</t>
  </si>
  <si>
    <t>PDT001525418.1</t>
  </si>
  <si>
    <t>DAKZXZ000000000.1</t>
  </si>
  <si>
    <t>DAKZXZ</t>
  </si>
  <si>
    <t>PDS000127705.1</t>
  </si>
  <si>
    <t>OLF18031-2</t>
  </si>
  <si>
    <t>CFIAFB20180238</t>
  </si>
  <si>
    <t>STH-FD-2017-MI-2898</t>
  </si>
  <si>
    <t>2017-SEQ-1844</t>
  </si>
  <si>
    <t>SAMN10989160</t>
  </si>
  <si>
    <t>GCA_026889955.1</t>
  </si>
  <si>
    <t>SRS16120058</t>
  </si>
  <si>
    <t>SRR22715121</t>
  </si>
  <si>
    <t>PDT001525416.1</t>
  </si>
  <si>
    <t>DAKZXS000000000.1</t>
  </si>
  <si>
    <t>DAKZXS</t>
  </si>
  <si>
    <t>OLF18037-1</t>
  </si>
  <si>
    <t>CFIAFB20180244</t>
  </si>
  <si>
    <t>STH-FD-2017-MI-2972</t>
  </si>
  <si>
    <t>2018-STH-0049</t>
  </si>
  <si>
    <t>Other-Beef trimmings</t>
  </si>
  <si>
    <t>SAMN10989170</t>
  </si>
  <si>
    <t>GCA_026897615.1</t>
  </si>
  <si>
    <t>SRS16120060</t>
  </si>
  <si>
    <t>SRR22715119</t>
  </si>
  <si>
    <t>PDT001525414.1</t>
  </si>
  <si>
    <t>DALAII000000000.1</t>
  </si>
  <si>
    <t>DALAII</t>
  </si>
  <si>
    <t>OLF18037-2</t>
  </si>
  <si>
    <t>CFIAFB20180245</t>
  </si>
  <si>
    <t>2018-STH-0051</t>
  </si>
  <si>
    <t>SAMN10989171</t>
  </si>
  <si>
    <t>GCA_026889455.1</t>
  </si>
  <si>
    <t>SRS16120076</t>
  </si>
  <si>
    <t>SRR22715102</t>
  </si>
  <si>
    <t>PDT001525397.1</t>
  </si>
  <si>
    <t>2022-12-13T22:41:58Z</t>
  </si>
  <si>
    <t>DAKZWP000000000.1</t>
  </si>
  <si>
    <t>DAKZWP</t>
  </si>
  <si>
    <t>OLF18037-3</t>
  </si>
  <si>
    <t>CFIAFB20180246</t>
  </si>
  <si>
    <t>2018-STH-0050</t>
  </si>
  <si>
    <t>SAMN10989172</t>
  </si>
  <si>
    <t>GCA_026889515.1</t>
  </si>
  <si>
    <t>SRS16120077</t>
  </si>
  <si>
    <t>SRR22715101</t>
  </si>
  <si>
    <t>PDT001525396.1</t>
  </si>
  <si>
    <t>DAKZWQ000000000.1</t>
  </si>
  <si>
    <t>DAKZWQ</t>
  </si>
  <si>
    <t>OLF18037-4</t>
  </si>
  <si>
    <t>CFIAFB20180247</t>
  </si>
  <si>
    <t>2018-STH-0052</t>
  </si>
  <si>
    <t>SAMN10989173</t>
  </si>
  <si>
    <t>GCA_026897755.1</t>
  </si>
  <si>
    <t>SRS16120078</t>
  </si>
  <si>
    <t>SRR22715100</t>
  </si>
  <si>
    <t>PDT001525395.1</t>
  </si>
  <si>
    <t>2022-12-13T22:41:57Z</t>
  </si>
  <si>
    <t>DALAIR000000000.1</t>
  </si>
  <si>
    <t>DALAIR</t>
  </si>
  <si>
    <t>OLF18037-5</t>
  </si>
  <si>
    <t>CFIAFB20180248</t>
  </si>
  <si>
    <t>2018-STH-0053</t>
  </si>
  <si>
    <t>SAMN10989169</t>
  </si>
  <si>
    <t>GCA_026897635.1</t>
  </si>
  <si>
    <t>SRS16120059</t>
  </si>
  <si>
    <t>SRR22715120</t>
  </si>
  <si>
    <t>PDT001525415.1</t>
  </si>
  <si>
    <t>DALAIH000000000.1</t>
  </si>
  <si>
    <t>DALAIH</t>
  </si>
  <si>
    <t>OLF18037-6</t>
  </si>
  <si>
    <t>CFIAFB20180249</t>
  </si>
  <si>
    <t>STH-FD-2017-MI-2981</t>
  </si>
  <si>
    <t>2018-STH-0054</t>
  </si>
  <si>
    <t>SAMN11030272</t>
  </si>
  <si>
    <t>GCA_026889755.1</t>
  </si>
  <si>
    <t>SRS16120123</t>
  </si>
  <si>
    <t>SRR22715056</t>
  </si>
  <si>
    <t>PDT001525351.1</t>
  </si>
  <si>
    <t>DAKZXK000000000.1</t>
  </si>
  <si>
    <t>DAKZXK</t>
  </si>
  <si>
    <t>OLF18040-1</t>
  </si>
  <si>
    <t>CFIAFB20180252</t>
  </si>
  <si>
    <t>STH-FD-2017-MI-3064</t>
  </si>
  <si>
    <t>2018-STH-0060</t>
  </si>
  <si>
    <t>SAMN10989177</t>
  </si>
  <si>
    <t>GCA_026897815.1</t>
  </si>
  <si>
    <t>SRS16120080</t>
  </si>
  <si>
    <t>SRR22715098</t>
  </si>
  <si>
    <t>PDT001525393.1</t>
  </si>
  <si>
    <t>DALAIS000000000.1</t>
  </si>
  <si>
    <t>DALAIS</t>
  </si>
  <si>
    <t>PDS000038250.21</t>
  </si>
  <si>
    <t>OLF18040-2</t>
  </si>
  <si>
    <t>CFIAFB20180253</t>
  </si>
  <si>
    <t>2018-STH-0061</t>
  </si>
  <si>
    <t>SAMN10989178</t>
  </si>
  <si>
    <t>GCA_026888795.1</t>
  </si>
  <si>
    <t>SRS16120081</t>
  </si>
  <si>
    <t>SRR22715097</t>
  </si>
  <si>
    <t>PDT001525392.1</t>
  </si>
  <si>
    <t>DAKZVX000000000.1</t>
  </si>
  <si>
    <t>DAKZVX</t>
  </si>
  <si>
    <t>OLF18040-3</t>
  </si>
  <si>
    <t>CFIAFB20180254</t>
  </si>
  <si>
    <t>2018-STH-0062</t>
  </si>
  <si>
    <t>SAMN10989179</t>
  </si>
  <si>
    <t>GCA_026897795.1</t>
  </si>
  <si>
    <t>SRS16120082</t>
  </si>
  <si>
    <t>SRR22715096</t>
  </si>
  <si>
    <t>PDT001525391.1</t>
  </si>
  <si>
    <t>DALAIU000000000.1</t>
  </si>
  <si>
    <t>DALAIU</t>
  </si>
  <si>
    <t>OLF18040-4</t>
  </si>
  <si>
    <t>CFIAFB20180255</t>
  </si>
  <si>
    <t>2018-STH-0063</t>
  </si>
  <si>
    <t>Ter_corrected from raw reads</t>
  </si>
  <si>
    <t>SAMN10989180</t>
  </si>
  <si>
    <t>GCA_026889315.1</t>
  </si>
  <si>
    <t>SRS16120084</t>
  </si>
  <si>
    <t>SRR22715094</t>
  </si>
  <si>
    <t>PDT001525389.1</t>
  </si>
  <si>
    <t>DAKZWR000000000.1</t>
  </si>
  <si>
    <t>eae=COMPLETE,ehxA=COMPLETE,espA=COMPLETE,espB=COMPLETE,espJ=COMPLETE,espK=COMPLETE,espP=COMPLETE,espX1=PARTIAL_END_OF_CONTIG,etpD=COMPLETE,fdeC=COMPLETE,iha=COMPLETE,katP=COMPLETE,lpfA1=COMPLETE,lpfA2=COMPLETE,nleA=COMPLETE,nleB2=COMPLETE,nleB=COMPLETE,nleC=COMPLETE,stxA1a=COMPLETE,stxA2c=COMPLETE,stxB1a=COMPLETE,stxB2a=COMPLETE,tccP=PARTIAL_END_OF_CONTIG,tir=COMPLETE,toxB=COMPLETE</t>
  </si>
  <si>
    <t>emrE=COMPLETE,terD=COMPLETE,terW=PARTIAL_END_OF_CONTIG,terZ=COMPLETE</t>
  </si>
  <si>
    <t>DAKZWR</t>
  </si>
  <si>
    <t>OLF18040-6</t>
  </si>
  <si>
    <t>CFIAFB20180257</t>
  </si>
  <si>
    <t>STH-FD-2017-MI-3065</t>
  </si>
  <si>
    <t>2018-STH-0064</t>
  </si>
  <si>
    <t>SAMN10989181</t>
  </si>
  <si>
    <t>GCA_026889295.1</t>
  </si>
  <si>
    <t>SRS16120085</t>
  </si>
  <si>
    <t>SRR22715093</t>
  </si>
  <si>
    <t>PDT001525388.1</t>
  </si>
  <si>
    <t>DAKZWT000000000.1</t>
  </si>
  <si>
    <t>DAKZWT</t>
  </si>
  <si>
    <t>OLF18043-1</t>
  </si>
  <si>
    <t>CFIAFB20180261</t>
  </si>
  <si>
    <t>STH-FD-2017-MI-3100</t>
  </si>
  <si>
    <t>2018-STH-0056</t>
  </si>
  <si>
    <t>SAMN10989186</t>
  </si>
  <si>
    <t>GCA_026889355.1</t>
  </si>
  <si>
    <t>SRS16120086</t>
  </si>
  <si>
    <t>SRR22715092</t>
  </si>
  <si>
    <t>PDT001525387.1</t>
  </si>
  <si>
    <t>DAKZWV000000000.1</t>
  </si>
  <si>
    <t>cvaC=COMPLETE,eae=COMPLETE,ehxA=COMPLETE,espA=COMPLETE,espB=COMPLETE,espJ=COMPLETE,espK=COMPLETE,espP=COMPLETE,espX1=COMPLETE,etpD=COMPLETE,fdeC=COMPLETE,iha=COMPLETE,katP=COMPLETE,lpfA1=COMPLETE,lpfA2=COMPLETE,mchF=COMPLETE,nleA=COMPLETE,nleB2=COMPLETE,nleB=COMPLETE,nleC=COMPLETE,sta1=COMPLETE,stxA1a=COMPLETE,stxA2c=COMPLETE,stxB1a=COMPLETE,stxB2a=COMPLETE,tccP=PARTIAL_END_OF_CONTIG,tir=COMPLETE,toxB=COMPLETE</t>
  </si>
  <si>
    <t>DAKZWV</t>
  </si>
  <si>
    <t>OLF18043-2</t>
  </si>
  <si>
    <t>CFIAFB20180262</t>
  </si>
  <si>
    <t>2018-STH-0057</t>
  </si>
  <si>
    <t>SAMN10989187</t>
  </si>
  <si>
    <t>GCA_026889375.1</t>
  </si>
  <si>
    <t>SRS16120087</t>
  </si>
  <si>
    <t>SRR22715091</t>
  </si>
  <si>
    <t>PDT001525386.1</t>
  </si>
  <si>
    <t>DAKZWW000000000.1</t>
  </si>
  <si>
    <t>cvaC=COMPLETE,eae=COMPLETE,ehxA=COMPLETE,espA=COMPLETE,espB=COMPLETE,espJ=COMPLETE,espK=COMPLETE,espP=COMPLETE,espX1=COMPLETE,etpD=COMPLETE,fdeC=COMPLETE,iha=COMPLETE,katP=COMPLETE,lpfA1=COMPLETE,lpfA2=COMPLETE,mchF=COMPLETE,nleA=COMPLETE,nleB2=COMPLETE,nleB=COMPLETE,nleC=COMPLETE,sta1=COMPLETE,stxA1a=COMPLETE,stxA2c=COMPLETE,stxB1a=COMPLETE,stxB2a=COMPLETE,tccP=PARTIAL_END_OF_CONTIG,tir=COMPLETE,toxB=PARTIAL_END_OF_CONTIG</t>
  </si>
  <si>
    <t>DAKZWW</t>
  </si>
  <si>
    <t>OLF18043-3</t>
  </si>
  <si>
    <t>CFIAFB20180263</t>
  </si>
  <si>
    <t>2018-STH-0058</t>
  </si>
  <si>
    <t>SAMN10989188</t>
  </si>
  <si>
    <t>GCA_026889395.1</t>
  </si>
  <si>
    <t>SRS16120088</t>
  </si>
  <si>
    <t>SRR22715090</t>
  </si>
  <si>
    <t>PDT001525385.1</t>
  </si>
  <si>
    <t>DAKZWU000000000.1</t>
  </si>
  <si>
    <t>DAKZWU</t>
  </si>
  <si>
    <t>OLF18043-4</t>
  </si>
  <si>
    <t>CFIAFB20180264</t>
  </si>
  <si>
    <t>2019-MER-0102</t>
  </si>
  <si>
    <t>SAMN13334804</t>
  </si>
  <si>
    <t>GCA_027231605.1</t>
  </si>
  <si>
    <t>SRS16250844</t>
  </si>
  <si>
    <t>SRR22858706</t>
  </si>
  <si>
    <t>PDT001543043.1</t>
  </si>
  <si>
    <t>DALPBT000000000.1</t>
  </si>
  <si>
    <t>DALPBT</t>
  </si>
  <si>
    <t>CFIAFB20180603</t>
  </si>
  <si>
    <t>2019-DAR-0015</t>
  </si>
  <si>
    <t>SAMN13334911</t>
  </si>
  <si>
    <t>GCA_027231485.1</t>
  </si>
  <si>
    <t>SRS16250834</t>
  </si>
  <si>
    <t>SRR22858716</t>
  </si>
  <si>
    <t>PDT001543053.1</t>
  </si>
  <si>
    <t>DALPBP000000000.1</t>
  </si>
  <si>
    <t>DALPBP</t>
  </si>
  <si>
    <t>CFIAFB20180604</t>
  </si>
  <si>
    <t>2019-DAR-0017</t>
  </si>
  <si>
    <t>SAMN13334912</t>
  </si>
  <si>
    <t>GCA_027231345.1</t>
  </si>
  <si>
    <t>SRS16250801</t>
  </si>
  <si>
    <t>SRR22858749</t>
  </si>
  <si>
    <t>PDT001543086.1</t>
  </si>
  <si>
    <t>DALPBF000000000.1</t>
  </si>
  <si>
    <t>DALPBF</t>
  </si>
  <si>
    <t>CFIAFB20180605</t>
  </si>
  <si>
    <t>2019-DAR-0018</t>
  </si>
  <si>
    <t>SAMN13334913</t>
  </si>
  <si>
    <t>GCA_027231285.1</t>
  </si>
  <si>
    <t>SRS16250790</t>
  </si>
  <si>
    <t>SRR22858760</t>
  </si>
  <si>
    <t>PDT001543097.1</t>
  </si>
  <si>
    <t>DALPBI000000000.1</t>
  </si>
  <si>
    <t>fdeC=COMPLETE,iss=COMPLETE,lpfA=COMPLETE,sslE=HMM,stxA2i=COMPLETE,stxB2i=COMPLETE</t>
  </si>
  <si>
    <t>DALPBI</t>
  </si>
  <si>
    <t>CFIAFB20180606</t>
  </si>
  <si>
    <t>2018-SEQ-0241</t>
  </si>
  <si>
    <t>SAMN13334914</t>
  </si>
  <si>
    <t>GCA_027228705.1</t>
  </si>
  <si>
    <t>SRS16250789</t>
  </si>
  <si>
    <t>SRR22858761</t>
  </si>
  <si>
    <t>PDT001543098.1</t>
  </si>
  <si>
    <t>DALOXM000000000.1</t>
  </si>
  <si>
    <t>epeA=COMPLETE,espX1=COMPLETE,fdeC=COMPLETE,iss=COMPLETE,katP=COMPLETE,lpfA-O113=PARTIAL,sslE=HMM,stxA1=COMPLETE,stxB1=COMPLETE</t>
  </si>
  <si>
    <t>DALOXM</t>
  </si>
  <si>
    <t>CFIAFB20180611</t>
  </si>
  <si>
    <t>DAR-FD-2018-MI-00493</t>
  </si>
  <si>
    <t>2019-DAR-0250</t>
  </si>
  <si>
    <t>hlyAEc;VT1;VT2;uidA</t>
  </si>
  <si>
    <t>vtx1a;vtx1c;vtx2b</t>
  </si>
  <si>
    <t>Stx1a_19_AAAAYL020000128.1|Stx1c_12_Z36901|Stx2b_113_2019-MIN-0073</t>
  </si>
  <si>
    <t>macrolide(mdf(A) (98.38%));</t>
  </si>
  <si>
    <t>SAMN40646226</t>
  </si>
  <si>
    <t>GCA_042968915.2</t>
  </si>
  <si>
    <t>SRS20882404</t>
  </si>
  <si>
    <t>SRR28490853</t>
  </si>
  <si>
    <t>PDT002124732.2</t>
  </si>
  <si>
    <t>2024-03-28T21:54:10Z</t>
  </si>
  <si>
    <t>DAXVGE000000000.2</t>
  </si>
  <si>
    <t>ehxA=COMPLETE,espI=COMPLETE,espX1=PARTIAL,fdeC=COMPLETE,iha=COMPLETE,ireA=COMPLETE,iss=COMPLETE,lpfA-O113=COMPLETE,senB=COMPLETE,sslE=HMM,stx1_operon=PARTIAL_CONTIG_END,stx1a_operon=COMPLETE,stx1c_operon=COMPLETE,stx2_operon=PARTIAL_CONTIG_END,stx2b_operon=COMPLETE,stxA1=COMPLETE,stxA1=PARTIAL_END_OF_CONTIG,stxA2=COMPLETE,stxA2=PARTIAL_END_OF_CONTIG,stxB1=COMPLETE,stxB2=COMPLETE,subA=COMPLETE,subB=COMPLETE,ybtP=COMPLETE,ybtQ=COMPLETE</t>
  </si>
  <si>
    <t>DAXVGE</t>
  </si>
  <si>
    <t>CFIAFB20180612</t>
  </si>
  <si>
    <t>DAR-FD-2018-MI-01304</t>
  </si>
  <si>
    <t>2019-DAR-0251</t>
  </si>
  <si>
    <t>aminoglycoside(aadA1 (99.75%);aadA1 (99.75%));macrolide(mdf(A) (98.38%));sulphonamide(sul1 (100.0%));tetracycline(tet(A) (100.0%));</t>
  </si>
  <si>
    <t>SAMN40646280</t>
  </si>
  <si>
    <t>GCA_042950195.1</t>
  </si>
  <si>
    <t>SRS20882432</t>
  </si>
  <si>
    <t>SRR28490824</t>
  </si>
  <si>
    <t>PDT002124703.1</t>
  </si>
  <si>
    <t>2024-03-28T21:53:56Z</t>
  </si>
  <si>
    <t>DAXUHL000000000.1</t>
  </si>
  <si>
    <t>epeA=COMPLETE,espX1=COMPLETE,fdeC=COMPLETE,katP=COMPLETE,lpfA-O113=COMPLETE,sslE=HMM,stxA1=COMPLETE,stxB1=COMPLETE</t>
  </si>
  <si>
    <t>ariR=COMPLETE,merA=HMM,merC=COMPLETE,merD=HMM,merE=HMM,merP=COMPLETE,merR=COMPLETE,merT=COMPLETE,qacEdelta1=COMPLETE</t>
  </si>
  <si>
    <t>aadA1=COMPLETE,acrF=COMPLETE,blaEC=PARTIAL,glpT_E448K=POINT,mdtM=COMPLETE,pmrB_Y358N=POINT,sul1=COMPLETE,tet(A)=COMPLETE</t>
  </si>
  <si>
    <t>DAXUHL</t>
  </si>
  <si>
    <t>CFIAFB20180618</t>
  </si>
  <si>
    <t>2019-DAR-0257</t>
  </si>
  <si>
    <t>SAMN40646242</t>
  </si>
  <si>
    <t>GCA_042959505.1</t>
  </si>
  <si>
    <t>SRS20882392</t>
  </si>
  <si>
    <t>SRR28490866</t>
  </si>
  <si>
    <t>PDT002124745.1</t>
  </si>
  <si>
    <t>2024-03-28T21:54:14Z</t>
  </si>
  <si>
    <t>DAXUPJ000000000.1</t>
  </si>
  <si>
    <t>ehxA=COMPLETE,espI=COMPLETE,espX1=PARTIAL,fdeC=COMPLETE,iha=COMPLETE,ireA=COMPLETE,iucA=COMPLETE,iucB=COMPLETE,iucC=COMPLETE,iucD=COMPLETE,iutA=COMPLETE,lpfA-O113=COMPLETE,lpfA=COMPLETE,mchB=COMPLETE,mchF=MISTRANSLATION,senB=COMPLETE,stxA1=COMPLETE,stxA2=COMPLETE,stxA2=PARTIAL_END_OF_CONTIG,stxB1=COMPLETE,stxB2=COMPLETE,subA=COMPLETE,subA=PARTIAL_END_OF_CONTIG</t>
  </si>
  <si>
    <t>DAXUPJ</t>
  </si>
  <si>
    <t>CFIAFB20180619</t>
  </si>
  <si>
    <t>GTA-FD-2018-MI-00835</t>
  </si>
  <si>
    <t>2018-GTA-0107</t>
  </si>
  <si>
    <t>Wheat Flour</t>
  </si>
  <si>
    <t>Flour (All-purpose)</t>
  </si>
  <si>
    <t>O8:H19</t>
  </si>
  <si>
    <t>O8 (99.59):H19 (99.95)</t>
  </si>
  <si>
    <t>uidA;VT2</t>
  </si>
  <si>
    <t>SAMN15300860</t>
  </si>
  <si>
    <t>GCA_013684515.1</t>
  </si>
  <si>
    <t>SRS6862837</t>
  </si>
  <si>
    <t>SRR12041535</t>
  </si>
  <si>
    <t>PDT000768113.1</t>
  </si>
  <si>
    <t>2020-06-17T23:13:52Z</t>
  </si>
  <si>
    <t>DABMEV000000000.1</t>
  </si>
  <si>
    <t>espX1=PARTIAL,f17a=COMPLETE,f17g=COMPLETE,fdeC=COMPLETE,iss=COMPLETE,lpfA=COMPLETE,sslE=HMM,stxA2d=COMPLETE,stxB2e=COMPLETE</t>
  </si>
  <si>
    <t>SKESA v. unknown</t>
  </si>
  <si>
    <t>DABMEV</t>
  </si>
  <si>
    <t>CFIAFB20180620</t>
  </si>
  <si>
    <t>GTA-FD-2018-MI-00902</t>
  </si>
  <si>
    <t>2018-GTA-0121</t>
  </si>
  <si>
    <t>O159:H19</t>
  </si>
  <si>
    <t>O159 (99.86):H19 (99.89)</t>
  </si>
  <si>
    <t>SAMN15300861</t>
  </si>
  <si>
    <t>GCA_013684455.1</t>
  </si>
  <si>
    <t>SRS6862838</t>
  </si>
  <si>
    <t>SRR12041534</t>
  </si>
  <si>
    <t>PDT000768112.1</t>
  </si>
  <si>
    <t>DABMEW000000000.1</t>
  </si>
  <si>
    <t>espX1=MISTRANSLATION,fdeC=COMPLETE,lpfA=COMPLETE,sslE=HMM,stxA2d=COMPLETE,stxB2e=COMPLETE</t>
  </si>
  <si>
    <t>DABMEW</t>
  </si>
  <si>
    <t>PDS000064535.1</t>
  </si>
  <si>
    <t>CFIAFB20180622</t>
  </si>
  <si>
    <t>GTA-FD-2018-MI-01214</t>
  </si>
  <si>
    <t>2018-GTA-0150</t>
  </si>
  <si>
    <t>terA (96.46%),terB (97.59%),terE (94.62%),terZ (95.53%)</t>
  </si>
  <si>
    <t>OUT:H2</t>
  </si>
  <si>
    <t>O-untypeable:H2 (100.0)</t>
  </si>
  <si>
    <t>Stx2c_152_NKMQ01000043.1</t>
  </si>
  <si>
    <t>SAMN15300862</t>
  </si>
  <si>
    <t>GCA_013684475.1</t>
  </si>
  <si>
    <t>SRS6862839</t>
  </si>
  <si>
    <t>SRR12041533</t>
  </si>
  <si>
    <t>PDT000768111.1</t>
  </si>
  <si>
    <t>DABMEY000000000.1</t>
  </si>
  <si>
    <t>astA=COMPLETE,espI=PARTIAL_END_OF_CONTIG,fdeC=COMPLETE,iha=COMPLETE,ireA=PARTIAL_END_OF_CONTIG,iss=COMPLETE,lpfA=COMPLETE,mchB=COMPLETE,mchF=COMPLETE,sslE=HMM,stxA2c=COMPLETE,stxB2c=COMPLETE,subA=COMPLETE,subB=COMPLETE,ybtP=COMPLETE,ybtQ=COMPLETE</t>
  </si>
  <si>
    <t>DABMEY</t>
  </si>
  <si>
    <t>CFIAFB20180623</t>
  </si>
  <si>
    <t>GTA-FD-2018-MI-01773</t>
  </si>
  <si>
    <t>2018-GTA-0200</t>
  </si>
  <si>
    <t>OUT:H19</t>
  </si>
  <si>
    <t>O-untypeable:H19 (99.89)</t>
  </si>
  <si>
    <t>macrolide(mdf(A) (98.78%));</t>
  </si>
  <si>
    <t>SAMN15300863</t>
  </si>
  <si>
    <t>GCA_013684495.1</t>
  </si>
  <si>
    <t>SRS6862840</t>
  </si>
  <si>
    <t>SRR12041532</t>
  </si>
  <si>
    <t>PDT000768110.1</t>
  </si>
  <si>
    <t>DABMEX000000000.1</t>
  </si>
  <si>
    <t>fdeC=COMPLETE,lpfA=COMPLETE,sslE=HMM,stxA2d=COMPLETE,stxB2e=COMPLETE</t>
  </si>
  <si>
    <t>DABMEX</t>
  </si>
  <si>
    <t>CFIAFB20190215</t>
  </si>
  <si>
    <t>STH-FD-2019-MI-0335</t>
  </si>
  <si>
    <t>2019-STH-0001</t>
  </si>
  <si>
    <t>Raw meat | Lamb | Ground | Lean | Australian | RAISED WITHOUT THE USE OF ANTIBIOTICS</t>
  </si>
  <si>
    <t>O104:H7</t>
  </si>
  <si>
    <t>O104 (100.0):H7 (100.0)</t>
  </si>
  <si>
    <t>macrolide(mdf(A) (98.46%));</t>
  </si>
  <si>
    <t>SAMN40646289</t>
  </si>
  <si>
    <t>GCA_042951005.1</t>
  </si>
  <si>
    <t>SRS20882395</t>
  </si>
  <si>
    <t>SRR28490862</t>
  </si>
  <si>
    <t>PDT002124741.1</t>
  </si>
  <si>
    <t>2024-03-28T21:54:13Z</t>
  </si>
  <si>
    <t>DAXUJB000000000.1</t>
  </si>
  <si>
    <t>espX1=COMPLETE,katP=COMPLETE,lpfA-O113=COMPLETE,lpfA=COMPLETE,sslE=HMM,stxA1=COMPLETE,stxB1=COMPLETE</t>
  </si>
  <si>
    <t>DAXUJB</t>
  </si>
  <si>
    <t>CFIAFB20190216</t>
  </si>
  <si>
    <t>STH-FD-2019-MI-0338</t>
  </si>
  <si>
    <t>2019-STH-0002</t>
  </si>
  <si>
    <t>Raw meat | Veal | Ground | Lean |FRESH</t>
  </si>
  <si>
    <t>O132:H18</t>
  </si>
  <si>
    <t>O132 (99.92):H18 (97.54)</t>
  </si>
  <si>
    <t>aminoglycoside(aph(3'')-Ib (100.0%);aph(3')-Ia (99.51%);aph(6)-Id (98.45%));macrolide(mdf(A) (98.7%));phenicol(floR (98.11%));tetracycline(tet(A) (96.16%));</t>
  </si>
  <si>
    <t>SAMN40646307</t>
  </si>
  <si>
    <t>GCA_042950795.1</t>
  </si>
  <si>
    <t>SRS20882373</t>
  </si>
  <si>
    <t>SRR28490884</t>
  </si>
  <si>
    <t>PDT002124763.1</t>
  </si>
  <si>
    <t>2024-03-28T21:54:21Z</t>
  </si>
  <si>
    <t>DAXUIS000000000.1</t>
  </si>
  <si>
    <t>aph(3'')-Ib=COMPLETE,aph(3')-Ia=COMPLETE,aph(6)-Id=COMPLETE,blaTEM-1=COMPLETE,floR=COMPLETE,glpT_E448K=POINT,pmrB_Y358N=POINT,sul2=COMPLETE,sul2=PARTIAL_END_OF_CONTIG,tet(A)=COMPLETE</t>
  </si>
  <si>
    <t>air=MISTRANSLATION,eilA=COMPLETE,epeA=PARTIAL_END_OF_CONTIG,espX1=COMPLETE,hlyA-alpha=COMPLETE,lpfA-O113=COMPLETE,lpfA1=COMPLETE,sslE=HMM,stxA2=COMPLETE,stxB2=COMPLETE</t>
  </si>
  <si>
    <t>ariR=COMPLETE,emrE=COMPLETE,merC=COMPLETE,merD=HMM,merE=HMM,merP=COMPLETE,merR=COMPLETE,merT=COMPLETE</t>
  </si>
  <si>
    <t>acrF=COMPLETE,aph(3'')-Ib=COMPLETE,aph(3')-Ia=COMPLETE,aph(6)-Id=COMPLETE,blaEC=COMPLETE,blaTEM-1=COMPLETE,emrD=COMPLETE,floR=COMPLETE,glpT_E448K=POINT,mdtM=COMPLETE,pmrB_Y358N=POINT,sul2=COMPLETE,sul2=PARTIAL_END_OF_CONTIG,tet(A)=COMPLETE</t>
  </si>
  <si>
    <t>DAXUIS</t>
  </si>
  <si>
    <t>CFIAFB20190220</t>
  </si>
  <si>
    <t>BUR-FI-2018-MI-01285</t>
  </si>
  <si>
    <t>2018-BUR-0050</t>
  </si>
  <si>
    <t>terA (98.45%),terB (99.34%),terC (99.04%),terD (96.20%),terE (95.66%),terF (96.12%),terZ (98.11%)</t>
  </si>
  <si>
    <t>macrolide(mdf(A) (99.11%));tetracycline(tet(A) (100.0%));aminoglycoside(aph(3'')-Ib (100.0%);aph(6)-Id (100.0%));sulphonamide(sul2 (100.0%));</t>
  </si>
  <si>
    <t>SAMN40646265</t>
  </si>
  <si>
    <t>GCA_042951265.1</t>
  </si>
  <si>
    <t>SRS20882416</t>
  </si>
  <si>
    <t>SRR28490841</t>
  </si>
  <si>
    <t>PDT002124720.1</t>
  </si>
  <si>
    <t>2024-03-28T21:54:06Z</t>
  </si>
  <si>
    <t>DAXUJP000000000.1</t>
  </si>
  <si>
    <t>astA=COMPLETE,ehxA=COMPLETE,espX1=COMPLETE,fdeC=COMPLETE,iha=COMPLETE,ireA=COMPLETE,lpfA-O113=COMPLETE,pic=COMPLETE,senB=COMPLETE,sslE=HMM,stxA1=COMPLETE,stxB1=COMPLETE,subA=COMPLETE</t>
  </si>
  <si>
    <t>acrF=COMPLETE,aph(3'')-Ib=COMPLETE,aph(6)-Id=COMPLETE,blaEC=COMPLETE,glpT_E448K=POINT,mdtM=COMPLETE,pmrB_Y358N=POINT,sul2=COMPLETE,tet(A)=COMPLETE</t>
  </si>
  <si>
    <t>DAXUJP</t>
  </si>
  <si>
    <t>CFIAFB20190221</t>
  </si>
  <si>
    <t>BUR-FI-2018-MI-01492</t>
  </si>
  <si>
    <t>2018-BUR-0121</t>
  </si>
  <si>
    <t>Raw meat | Lamb | Ground | pre-packaged</t>
  </si>
  <si>
    <t>O128ab (100.0):H2 (100.0)</t>
  </si>
  <si>
    <t>SAMN40646227</t>
  </si>
  <si>
    <t>GCA_042955545.1</t>
  </si>
  <si>
    <t>SRS20882374</t>
  </si>
  <si>
    <t>SRR28490883</t>
  </si>
  <si>
    <t>PDT002124762.1</t>
  </si>
  <si>
    <t>2024-03-28T21:54:20Z</t>
  </si>
  <si>
    <t>DAXUNU000000000.1</t>
  </si>
  <si>
    <t>glpT_E448K=POINT,nfsB_W94STOP=POINT,pmrB_Y358N=POINT</t>
  </si>
  <si>
    <t>ehxA=COMPLETE,espI=COMPLETE,espX1=COMPLETE,fdeC=COMPLETE,iha=COMPLETE,ireA=COMPLETE,iss=COMPLETE,lpfA-O113=COMPLETE,lpfA=COMPLETE,mchB=COMPLETE,mchF=COMPLETE,stxA1=COMPLETE,stxA2=COMPLETE,stxB1=COMPLETE,stxB2=COMPLETE,subA=COMPLETE,subB=COMPLETE,ybtP=COMPLETE,ybtQ=COMPLETE</t>
  </si>
  <si>
    <t>acrF=COMPLETE,blaEC=COMPLETE,glpT_E448K=POINT,mdtM=COMPLETE,nfsB_W94STOP=POINT,pmrB_Y358N=POINT</t>
  </si>
  <si>
    <t>DAXUNU</t>
  </si>
  <si>
    <t>PDS000179753.1</t>
  </si>
  <si>
    <t>CFIAFB20190222</t>
  </si>
  <si>
    <t>BUR-FI-2018-MI-01521</t>
  </si>
  <si>
    <t>2018-BUR-0122</t>
  </si>
  <si>
    <t>Raw meat | Veal | Ground | FROZEN</t>
  </si>
  <si>
    <t>O113:H4</t>
  </si>
  <si>
    <t>O113 (99.83):H4 (100.0)</t>
  </si>
  <si>
    <t>vtx1a;vtx2d</t>
  </si>
  <si>
    <t>Stx1a_9_M19437|Stx2d_99_AF500192</t>
  </si>
  <si>
    <t>macrolide(mdf(A) (99.92%));</t>
  </si>
  <si>
    <t>SAMN40646290</t>
  </si>
  <si>
    <t>GCA_042951045.1</t>
  </si>
  <si>
    <t>SRS20882396</t>
  </si>
  <si>
    <t>SRR28490861</t>
  </si>
  <si>
    <t>PDT002124740.1</t>
  </si>
  <si>
    <t>2024-03-28T21:54:12Z</t>
  </si>
  <si>
    <t>DAXUJC000000000.1</t>
  </si>
  <si>
    <t>astA=COMPLETE,espI=COMPLETE,espX1=PARTIAL,iha=COMPLETE,stxA1=COMPLETE,stxA2=COMPLETE,stxB1=COMPLETE,stxB2=COMPLETE</t>
  </si>
  <si>
    <t>acrF=COMPLETE,blaEC=COMPLETE</t>
  </si>
  <si>
    <t>DAXUJC</t>
  </si>
  <si>
    <t>CFIAFB20190223</t>
  </si>
  <si>
    <t>DAR-FD-2018-MI-01076</t>
  </si>
  <si>
    <t>2019-DAR-0020</t>
  </si>
  <si>
    <t>O-untypeable:H14 (98.85)</t>
  </si>
  <si>
    <t>SAMN40646292</t>
  </si>
  <si>
    <t>GCA_042951055.1</t>
  </si>
  <si>
    <t>SRS20882398</t>
  </si>
  <si>
    <t>SRR28490859</t>
  </si>
  <si>
    <t>PDT002124738.1</t>
  </si>
  <si>
    <t>2024-03-28T21:54:11Z</t>
  </si>
  <si>
    <t>DAXUJG000000000.1</t>
  </si>
  <si>
    <t>espI=COMPLETE,espX1=PARTIAL,fdeC=COMPLETE,iha=COMPLETE,iha=MISTRANSLATION,ireA=COMPLETE,iucA=COMPLETE,iucB=COMPLETE,iucC=COMPLETE,iucD=COMPLETE,iutA=COMPLETE,lpfA-O113=COMPLETE,lpfA=COMPLETE,stxA1=COMPLETE,stxA2=COMPLETE,stxB1=COMPLETE,stxB2=COMPLETE,subA=COMPLETE,subB=COMPLETE</t>
  </si>
  <si>
    <t>DAXUJG</t>
  </si>
  <si>
    <t>CFIAFB20190226</t>
  </si>
  <si>
    <t>GTA-FD-2019-MI-00133</t>
  </si>
  <si>
    <t>2019-SEQ-0328</t>
  </si>
  <si>
    <t>O88 (100.0):H25 (100.0)</t>
  </si>
  <si>
    <t>SAMN40646294</t>
  </si>
  <si>
    <t>GCA_042951115.1</t>
  </si>
  <si>
    <t>SRS20882400</t>
  </si>
  <si>
    <t>SRR28490857</t>
  </si>
  <si>
    <t>PDT002124736.1</t>
  </si>
  <si>
    <t>DAXUJJ000000000.1</t>
  </si>
  <si>
    <t>cdtB=COMPLETE,ehxA=COMPLETE,epeA=PARTIAL_END_OF_CONTIG,espI=PARTIAL_END_OF_CONTIG,iha=COMPLETE,lpfA-O113=COMPLETE,stxA1=COMPLETE,stxA2=COMPLETE,stxB1=COMPLETE,stxB2=COMPLETE</t>
  </si>
  <si>
    <t>DAXUJJ</t>
  </si>
  <si>
    <t>OLF18056-1</t>
  </si>
  <si>
    <t>CFIAFB20180275</t>
  </si>
  <si>
    <t>CAL-FD-2018-MI-0029</t>
  </si>
  <si>
    <t>2018-SEQ-0096</t>
  </si>
  <si>
    <t>PORK (hock)</t>
  </si>
  <si>
    <t>SAMN10989064</t>
  </si>
  <si>
    <t>GCA_026890075.1</t>
  </si>
  <si>
    <t>SRS16120122</t>
  </si>
  <si>
    <t>SRR22715057</t>
  </si>
  <si>
    <t>PDT001525352.1</t>
  </si>
  <si>
    <t>2022-12-13T22:41:52Z</t>
  </si>
  <si>
    <t>DAKZXY000000000.1</t>
  </si>
  <si>
    <t>DAKZXY</t>
  </si>
  <si>
    <t>CFIAFB20190230</t>
  </si>
  <si>
    <t>STH-FD-2018-MI-2083</t>
  </si>
  <si>
    <t>2018-STH-0258</t>
  </si>
  <si>
    <t>Raw meat | Lamb | Ground | Australian</t>
  </si>
  <si>
    <t>Stx1a_9_AARCHT010000002.1|Stx2b_116_AF043627</t>
  </si>
  <si>
    <t>SAMN40646251</t>
  </si>
  <si>
    <t>GCA_042955305.1</t>
  </si>
  <si>
    <t>SRS20882359</t>
  </si>
  <si>
    <t>SRR28490897</t>
  </si>
  <si>
    <t>PDT002124776.1</t>
  </si>
  <si>
    <t>2024-03-28T21:54:27Z</t>
  </si>
  <si>
    <t>DAXUNO000000000.1</t>
  </si>
  <si>
    <t>espI=COMPLETE,espX1=PARTIAL,fdeC=COMPLETE,iha=COMPLETE,ireA=COMPLETE,iucA=COMPLETE,iucB=COMPLETE,iucC=COMPLETE,iucD=COMPLETE,iutA=COMPLETE,lpfA-O113=COMPLETE,lpfA=COMPLETE,mchB=COMPLETE,mchF=COMPLETE,sslE=HMM,stxA1=COMPLETE,stxA2=COMPLETE,stxB1=COMPLETE,stxB2=COMPLETE,subA=COMPLETE</t>
  </si>
  <si>
    <t>DAXUNO</t>
  </si>
  <si>
    <t>CFIAFB20190231</t>
  </si>
  <si>
    <t>STH-FD-2018-MI-2263</t>
  </si>
  <si>
    <t>2018-STH-0259</t>
  </si>
  <si>
    <t>O183:H18</t>
  </si>
  <si>
    <t>O-untypeable:H18 (98.32)</t>
  </si>
  <si>
    <t>Stx1a_9_AAUAKA010000004.1|Stx2a_16_FM998858</t>
  </si>
  <si>
    <t>macrolide(mdf(A) (97.89%));</t>
  </si>
  <si>
    <t>SAMN40646304</t>
  </si>
  <si>
    <t>GCA_042950745.1</t>
  </si>
  <si>
    <t>SRS20882370</t>
  </si>
  <si>
    <t>SRR28490887</t>
  </si>
  <si>
    <t>PDT002124766.1</t>
  </si>
  <si>
    <t>DAXUIN000000000.1</t>
  </si>
  <si>
    <t>cyaA_S352T=POINT,glpT_E448K=POINT</t>
  </si>
  <si>
    <t>ehxA=COMPLETE,epeA=PARTIAL_END_OF_CONTIG,espP=PARTIAL_END_OF_CONTIG,fdeC=COMPLETE,iha=COMPLETE,iss=COMPLETE,lpfA-O113=COMPLETE,saa=PARTIAL_END_OF_CONTIG,sab=COMPLETE,sinH=HMM,sslE=HMM,stxA1=COMPLETE,stxA2=COMPLETE,stxB1=COMPLETE,stxB2=COMPLETE,subA=COMPLETE,subB=COMPLETE</t>
  </si>
  <si>
    <t>acrF=COMPLETE,blaEC=COMPLETE,cyaA_S352T=POINT,emrD=COMPLETE,glpT_E448K=POINT,mdtM=MISTRANSLATION</t>
  </si>
  <si>
    <t>DAXUIN</t>
  </si>
  <si>
    <t>CFIAFB20190232</t>
  </si>
  <si>
    <t>STH-FD-2018-MI-2571</t>
  </si>
  <si>
    <t>2018-STH-0260</t>
  </si>
  <si>
    <t>Raw meat | Lamb | Ground | Lean | Australian</t>
  </si>
  <si>
    <t>O128ac (100.0):H2 (100.0)</t>
  </si>
  <si>
    <t>vtx1c;vtx2a;vtx2b</t>
  </si>
  <si>
    <t>Stx1c_22_2018-SEQ-1382|Stx2a_16_BFKR01000277.1|Stx2b_110_ABJBRM010000291.1</t>
  </si>
  <si>
    <t>SAMN40646237</t>
  </si>
  <si>
    <t>GCA_042959525.1</t>
  </si>
  <si>
    <t>SRS20882385</t>
  </si>
  <si>
    <t>SRR28490872</t>
  </si>
  <si>
    <t>PDT002124751.1</t>
  </si>
  <si>
    <t>2024-03-28T21:54:16Z</t>
  </si>
  <si>
    <t>DAXUPH000000000.1</t>
  </si>
  <si>
    <t>cvaB=COMPLETE,cvaC=COMPLETE,espX1=COMPLETE,fdeC=COMPLETE,iha=COMPLETE,ireA=COMPLETE,iroB=COMPLETE,iroC=COMPLETE,iroD=COMPLETE,iroE=COMPLETE,iroN=PARTIAL,iss=COMPLETE,iucA=COMPLETE,iucB=COMPLETE,iucC=COMPLETE,iucD=COMPLETE,iutA=COMPLETE,lpfA-O113=COMPLETE,lpfA=COMPLETE,mchB=COMPLETE,mchF=COMPLETE,stxA1=COMPLETE,stxA2=COMPLETE,stxA2=PARTIAL_END_OF_CONTIG,stxB1=COMPLETE,stxB2=COMPLETE,subA=COMPLETE,subB=COMPLETE,ybtP=COMPLETE,ybtQ=COMPLETE</t>
  </si>
  <si>
    <t>DAXUPH</t>
  </si>
  <si>
    <t>CFIAFB20190239</t>
  </si>
  <si>
    <t>OTT-FD-2019-MI-0860</t>
  </si>
  <si>
    <t>2019-SEQ-0985</t>
  </si>
  <si>
    <t>2021-MIN-0009</t>
  </si>
  <si>
    <t>terA (99.57%),terB (99.56%),terC (99.62%),terD (99.65%),terE 100.00%),terF (99.03%),terZ (99.48%)</t>
  </si>
  <si>
    <t>SAMN40646259</t>
  </si>
  <si>
    <t>GCA_042949905.1</t>
  </si>
  <si>
    <t>SRS20882410</t>
  </si>
  <si>
    <t>SRR28490847</t>
  </si>
  <si>
    <t>PDT002124726.1</t>
  </si>
  <si>
    <t>2024-03-28T21:54:08Z</t>
  </si>
  <si>
    <t>DAXUGW000000000.1</t>
  </si>
  <si>
    <t>espX1=PARTIAL,fdeC=COMPLETE,iss=COMPLETE,lpfA-O113=COMPLETE,lpfA=COMPLETE,sslE=HMM,stxA2=COMPLETE,stxB2=COMPLETE</t>
  </si>
  <si>
    <t>DAXUGW</t>
  </si>
  <si>
    <t>CFIAFB20190258</t>
  </si>
  <si>
    <t>STH-FD-2019-MI-1108</t>
  </si>
  <si>
    <t>2019-SEQ-1011</t>
  </si>
  <si>
    <t>Raw meat | Lamb</t>
  </si>
  <si>
    <t>O-untypeable:H2</t>
  </si>
  <si>
    <t>SAMN40646240</t>
  </si>
  <si>
    <t>GCA_042959565.1</t>
  </si>
  <si>
    <t>SRS20882389</t>
  </si>
  <si>
    <t>SRR28490868</t>
  </si>
  <si>
    <t>PDT002124747.1</t>
  </si>
  <si>
    <t>2024-03-28T21:54:15Z</t>
  </si>
  <si>
    <t>DAXUPI000000000.1</t>
  </si>
  <si>
    <t>ehxA=COMPLETE,espX1=COMPLETE,fdeC=COMPLETE,iha=COMPLETE,ireA=COMPLETE,iss=COMPLETE,lpfA-O113=COMPLETE,lpfA=COMPLETE,mchB=COMPLETE,mchF=COMPLETE,stxA1=COMPLETE,stxA2=COMPLETE,stxB1=COMPLETE,stxB2=COMPLETE,subA=COMPLETE,subB=COMPLETE,ybtP=COMPLETE,ybtQ=COMPLETE</t>
  </si>
  <si>
    <t>DAXUPI</t>
  </si>
  <si>
    <t>CFIAFB20190259</t>
  </si>
  <si>
    <t>2019-SEQ-1012</t>
  </si>
  <si>
    <t>terB-C (   91.28%)</t>
  </si>
  <si>
    <t>O176:H4</t>
  </si>
  <si>
    <t>Stx1c_26_ABNCNA010000007.1</t>
  </si>
  <si>
    <t>macrolide(mdf(A) (98.62%));</t>
  </si>
  <si>
    <t>SAMN40646255</t>
  </si>
  <si>
    <t>GCA_042968875.1</t>
  </si>
  <si>
    <t>SRS20882363</t>
  </si>
  <si>
    <t>SRR28490893</t>
  </si>
  <si>
    <t>PDT002124772.1</t>
  </si>
  <si>
    <t>2024-03-28T21:54:24Z</t>
  </si>
  <si>
    <t>DAXVGB000000000.1</t>
  </si>
  <si>
    <t>glpT_E448K=POINT</t>
  </si>
  <si>
    <t>ehxA=COMPLETE,espX1=COMPLETE,iha=COMPLETE,ireA=COMPLETE,iss=COMPLETE,lpfA1=COMPLETE,mchB=COMPLETE,mchF=COMPLETE,sslE=HMM,stxA1=COMPLETE,stxB1=COMPLETE,subA=COMPLETE,subB=COMPLETE,subB=PARTIAL_END_OF_CONTIG,ybtP=COMPLETE,ybtQ=COMPLETE</t>
  </si>
  <si>
    <t>acrF=COMPLETE,blaEC=COMPLETE,glpT_E448K=POINT,mdtM=COMPLETE</t>
  </si>
  <si>
    <t>DAXVGB</t>
  </si>
  <si>
    <t>CFIAFB20190260</t>
  </si>
  <si>
    <t>2021-MER-0007</t>
  </si>
  <si>
    <t>SAMN40646252</t>
  </si>
  <si>
    <t>GCA_042955345.1</t>
  </si>
  <si>
    <t>SRS20882361</t>
  </si>
  <si>
    <t>SRR28490896</t>
  </si>
  <si>
    <t>PDT002124775.1</t>
  </si>
  <si>
    <t>DAXUNP000000000.1</t>
  </si>
  <si>
    <t>espI=COMPLETE,espX1=PARTIAL,iha=MISTRANSLATION,iha=PARTIAL_END_OF_CONTIG,ireA=COMPLETE,iucA=COMPLETE,iucB=COMPLETE,iucC=COMPLETE,iucD=COMPLETE,iutA=COMPLETE,lpfA-O113=COMPLETE,lpfA=COMPLETE,mchB=COMPLETE,mchF=COMPLETE,sslE=HMM,stxA1=COMPLETE,stxA2=COMPLETE,stxB1=COMPLETE,stxB2=COMPLETE,subA=COMPLETE,subB=PARTIAL_END_OF_CONTIG</t>
  </si>
  <si>
    <t>DAXUNP</t>
  </si>
  <si>
    <t>CFIAFB20190265</t>
  </si>
  <si>
    <t>BUR-FI-2019-MI-00061</t>
  </si>
  <si>
    <t>2019-BUR-0117</t>
  </si>
  <si>
    <t>Stx1c_12_Z36901|Stx2b_110_2019-BUR-0117</t>
  </si>
  <si>
    <t>SAMN40646228</t>
  </si>
  <si>
    <t>GCA_042958545.1</t>
  </si>
  <si>
    <t>SRS20882376</t>
  </si>
  <si>
    <t>SRR28490881</t>
  </si>
  <si>
    <t>PDT002124760.1</t>
  </si>
  <si>
    <t>2024-03-28T21:54:19Z</t>
  </si>
  <si>
    <t>DAXUOZ000000000.1</t>
  </si>
  <si>
    <t>cvaC=COMPLETE,cvaC=PARTIAL_END_OF_CONTIG,espX1=COMPLETE,fdeC=COMPLETE,iha=COMPLETE,ireA=COMPLETE,iroB=COMPLETE,iroC=COMPLETE,iroD=COMPLETE,iroE=COMPLETE,iroN=COMPLETE,iss=COMPLETE,iucA=COMPLETE,iucB=MISTRANSLATION,iucC=COMPLETE,iucD=COMPLETE,iutA=COMPLETE,lpfA-O113=COMPLETE,lpfA=COMPLETE,mchB=COMPLETE,mchF=COMPLETE,stxA1=COMPLETE,stxA2=COMPLETE,stxB1=COMPLETE,stxB2=COMPLETE,subA=COMPLETE,subB=COMPLETE,subB=PARTIAL_END_OF_CONTIG,ybtP=COMPLETE,ybtQ=COMPLETE</t>
  </si>
  <si>
    <t>DAXUOZ</t>
  </si>
  <si>
    <t>CFIAFB20190266</t>
  </si>
  <si>
    <t>BUR-FI-2019-MI-01366</t>
  </si>
  <si>
    <t>2019-BUR-0118</t>
  </si>
  <si>
    <t>vtx2a;vtx2k</t>
  </si>
  <si>
    <t>Stx2a_30_MZ229605O8:H28|Stx2k_40_2019-BUR-0118</t>
  </si>
  <si>
    <t>SAMN40646271</t>
  </si>
  <si>
    <t>GCA_042949985.1</t>
  </si>
  <si>
    <t>SRS20882422</t>
  </si>
  <si>
    <t>SRR28490834</t>
  </si>
  <si>
    <t>PDT002124713.1</t>
  </si>
  <si>
    <t>2024-03-28T21:54:03Z</t>
  </si>
  <si>
    <t>DAXUHA000000000.1</t>
  </si>
  <si>
    <t>espX1=MISTRANSLATION,fdeC=COMPLETE,lpfA-O113=COMPLETE,sslE=HMM,stxA2=COMPLETE,stxB2=COMPLETE</t>
  </si>
  <si>
    <t>DAXUHA</t>
  </si>
  <si>
    <t>PDS000179750.1</t>
  </si>
  <si>
    <t>CFIAFB20190289</t>
  </si>
  <si>
    <t>GTA-FD-2019-MI-01592</t>
  </si>
  <si>
    <t>2019-SEQ-1083</t>
  </si>
  <si>
    <t>terA (98.45%),terB (99.34%),terC (98.94%),terD (96.20%),terE (95.66%),terF (96.12%),terZ (98.11%)</t>
  </si>
  <si>
    <t>O-untypeable:H19</t>
  </si>
  <si>
    <t>SAMN40646263</t>
  </si>
  <si>
    <t>No Assembly</t>
  </si>
  <si>
    <t>SRS20882414</t>
  </si>
  <si>
    <t>SRR28490843</t>
  </si>
  <si>
    <t>PDT002124722.1</t>
  </si>
  <si>
    <t>2024-03-28T21:54:07Z</t>
  </si>
  <si>
    <t>ehxA=COMPLETE,espI=COMPLETE,espX1=PARTIAL_END_OF_CONTIG,fdeC=MISTRANSLATION,iha=COMPLETE,iha=MISTRANSLATION,ireA=COMPLETE,iss=COMPLETE,lpfA-O113=COMPLETE,stxA1c=COMPLETE,stxA2b=MISTRANSLATION,stxB1c=COMPLETE,stxB2b=COMPLETE,subA=COMPLETE,subB=COMPLETE</t>
  </si>
  <si>
    <t>2024-01-31.1</t>
  </si>
  <si>
    <t>NUCLEOTIDE</t>
  </si>
  <si>
    <t>CFIAFB20190299</t>
  </si>
  <si>
    <t>GTA-FD-2019-MI-01646</t>
  </si>
  <si>
    <t>2019-SEQ-1198</t>
  </si>
  <si>
    <t>O38:H26</t>
  </si>
  <si>
    <t>SAMN40646225</t>
  </si>
  <si>
    <t>GCA_042950985.1</t>
  </si>
  <si>
    <t>SRS20882393</t>
  </si>
  <si>
    <t>SRR28490864</t>
  </si>
  <si>
    <t>PDT002124743.1</t>
  </si>
  <si>
    <t>DAXUJA000000000.1</t>
  </si>
  <si>
    <t>ehxA=COMPLETE,epeA=COMPLETE,espI=COMPLETE,espX1=PARTIAL,fdeC=COMPLETE,iha=COMPLETE,ireA=COMPLETE,mchB=COMPLETE,mchF=COMPLETE,stxA1=COMPLETE,stxA2=COMPLETE,stxB1=COMPLETE,stxB2=COMPLETE,subA=COMPLETE,subB=COMPLETE</t>
  </si>
  <si>
    <t>DAXUJA</t>
  </si>
  <si>
    <t>PDS000179755.1</t>
  </si>
  <si>
    <t>CFIAFB20190302</t>
  </si>
  <si>
    <t>DAR-FD-2019-MI-00145</t>
  </si>
  <si>
    <t>2019-DAR-0258</t>
  </si>
  <si>
    <t>terA (99.83%),terB 100.00%),terC (99.90%),terD 100.00%),terE 100.00%),terF (99.35%),terZ (99.83%)</t>
  </si>
  <si>
    <t>O15:H16</t>
  </si>
  <si>
    <t>vtx2g</t>
  </si>
  <si>
    <t>Stx2g_26_AY286000</t>
  </si>
  <si>
    <t>macrolide(mdf(A) (99.84%));</t>
  </si>
  <si>
    <t>SAMN40646298</t>
  </si>
  <si>
    <t>GCA_042951105.1</t>
  </si>
  <si>
    <t>SRS20882405</t>
  </si>
  <si>
    <t>SRR28490852</t>
  </si>
  <si>
    <t>PDT002124731.1</t>
  </si>
  <si>
    <t>2024-03-28T21:54:09Z</t>
  </si>
  <si>
    <t>DAXUJE000000000.1</t>
  </si>
  <si>
    <t>astA=COMPLETE,capU=COMPLETE,ehxA=PARTIAL,epeA=PARTIAL_END_OF_CONTIG,espI=COMPLETE,espX1=COMPLETE,iss=COMPLETE,lpfA-O113=COMPLETE,mchB=COMPLETE,mchF=MISTRANSLATION,sslE=HMM,stxA2=COMPLETE,stxB2=COMPLETE</t>
  </si>
  <si>
    <t>ariR=COMPLETE,emrE=COMPLETE,merP=HMM,merR=COMPLETE,merT=COMPLETE,terD=COMPLETE,terW=COMPLETE,terZ=COMPLETE</t>
  </si>
  <si>
    <t>DAXUJE</t>
  </si>
  <si>
    <t>CFIAFB20190304</t>
  </si>
  <si>
    <t>DAR-FD-2019-MI-00400</t>
  </si>
  <si>
    <t>2019-DAR-0260</t>
  </si>
  <si>
    <t>vtx1c,vtx2b</t>
  </si>
  <si>
    <t>SAMN40646231</t>
  </si>
  <si>
    <t>GCA_042958705.2</t>
  </si>
  <si>
    <t>SRS20882379</t>
  </si>
  <si>
    <t>SRR28490878</t>
  </si>
  <si>
    <t>PDT002124757.2</t>
  </si>
  <si>
    <t>DAXUPD000000000.2</t>
  </si>
  <si>
    <t>cvaB=COMPLETE,cvaC=COMPLETE,espX1=COMPLETE,fdeC=COMPLETE,iha=COMPLETE,ireA=COMPLETE,iroB=COMPLETE,iroC=COMPLETE,iroD=COMPLETE,iroE=COMPLETE,iroN=COMPLETE,iss=COMPLETE,iucA=COMPLETE,iucB=COMPLETE,iucC=COMPLETE,iucD=PARTIAL,iutA=COMPLETE,lpfA-O113=COMPLETE,lpfA=COMPLETE,mchB=COMPLETE,mchF=COMPLETE,stx1c_operon=COMPLETE,stx2_operon=PARTIAL_CONTIG_END,stx2b_operon=COMPLETE,stxA1=COMPLETE,stxA2=COMPLETE,stxB1=COMPLETE,stxB2=COMPLETE,subA=COMPLETE,subB=PARTIAL_END_OF_CONTIG,ybtP=COMPLETE,ybtQ=COMPLETE</t>
  </si>
  <si>
    <t>DAXUPD</t>
  </si>
  <si>
    <t>CFIAFB20190305</t>
  </si>
  <si>
    <t>2021-SEQ-0504</t>
  </si>
  <si>
    <t>SAMN40646285</t>
  </si>
  <si>
    <t>GCA_042969395.2</t>
  </si>
  <si>
    <t>SRS20882438</t>
  </si>
  <si>
    <t>SRR28490819</t>
  </si>
  <si>
    <t>PDT002124698.2</t>
  </si>
  <si>
    <t>2024-03-28T21:53:53Z</t>
  </si>
  <si>
    <t>DAXVHD000000000.2</t>
  </si>
  <si>
    <t>espI=COMPLETE,espX1=PARTIAL_END_OF_CONTIG,fdeC=COMPLETE,iha=MISTRANSLATION,iha=PARTIAL_END_OF_CONTIG,ireA=COMPLETE,iucA=COMPLETE,iucB=COMPLETE,iucC=COMPLETE,iucD=COMPLETE,iutA=COMPLETE,katP=COMPLETE,lpfA-O113=COMPLETE,lpfA=COMPLETE,mchB=COMPLETE,mchF=COMPLETE,senB=COMPLETE,sslE=HMM,stx1a_operon=COMPLETE,stx2_operon=PARTIAL_CONTIG_END,stx2b_operon=COMPLETE,stxA1=COMPLETE,stxA2=COMPLETE,stxA2=PARTIAL_END_OF_CONTIG,stxB1=COMPLETE,stxB2=COMPLETE,subA=COMPLETE,subB=PARTIAL_END_OF_CONTIG</t>
  </si>
  <si>
    <t>ariR=PARTIAL_END_OF_CONTIG,emrE=COMPLETE</t>
  </si>
  <si>
    <t>DAXVHD</t>
  </si>
  <si>
    <t>CFIAFB20190306</t>
  </si>
  <si>
    <t>2019-DAR-0262</t>
  </si>
  <si>
    <t>O6:H10</t>
  </si>
  <si>
    <t>SAMN40646253</t>
  </si>
  <si>
    <t>GCA_042955415.1</t>
  </si>
  <si>
    <t>SRS20882362</t>
  </si>
  <si>
    <t>SRR28490895</t>
  </si>
  <si>
    <t>PDT002124774.1</t>
  </si>
  <si>
    <t>2024-03-28T21:54:26Z</t>
  </si>
  <si>
    <t>DAXUNQ000000000.1</t>
  </si>
  <si>
    <t>espX1=PARTIAL,fdeC=PARTIAL_END_OF_CONTIG,stxA1=COMPLETE,stxB1=COMPLETE,ybtP=COMPLETE,ybtQ=COMPLETE</t>
  </si>
  <si>
    <t>DAXUNQ</t>
  </si>
  <si>
    <t>CFIAFB20190307</t>
  </si>
  <si>
    <t>DAR-FD-2019-MI-00900</t>
  </si>
  <si>
    <t>2019-DAR-0263</t>
  </si>
  <si>
    <t>terA 100.00%),terB 100.00%),terC (99.90%),terD 100.00%),terE (99.83%),terF (99.35%),terZ 100.00%)</t>
  </si>
  <si>
    <t>O98:H25</t>
  </si>
  <si>
    <t>eae;hlyAEc;VT1;uidA</t>
  </si>
  <si>
    <t>SAMN40646297</t>
  </si>
  <si>
    <t>SRS20882403</t>
  </si>
  <si>
    <t>SRR28490854</t>
  </si>
  <si>
    <t>PDT002124733.1</t>
  </si>
  <si>
    <t>eae=COMPLETE,ehxA=COMPLETE,epeA=PARTIAL_END_OF_CONTIG,espA=COMPLETE,espB=COMPLETE,espF=PARTIAL,espJ=PARTIAL,espP=PARTIAL_END_OF_CONTIG,espX1=PARTIAL_END_OF_CONTIG,etpD=COMPLETE,fdeC=COMPLETE,lpfA-O113=COMPLETE,lpfA=COMPLETE,nleA=COMPLETE,nleB=COMPLETE,nleC=PARTIAL,stxA1a=COMPLETE,stxB1a=COMPLETE,tccP=PARTIAL_END_OF_CONTIG,tir=COMPLETE</t>
  </si>
  <si>
    <t>blaEC=COMPLETE,glpT_E448K=POINT,mdtM=COMPLETE,pmrB_Y358N=POINT</t>
  </si>
  <si>
    <t>PDS000179748.1</t>
  </si>
  <si>
    <t>CFIAFB20200006</t>
  </si>
  <si>
    <t>BUR-FI-2019-MI-01699</t>
  </si>
  <si>
    <t>2019-SEQ-1223</t>
  </si>
  <si>
    <t>Stx2c_7_AARGXR010000011.1</t>
  </si>
  <si>
    <t>macrolide(mdf(A) (98.3%));</t>
  </si>
  <si>
    <t>SAMN40646299</t>
  </si>
  <si>
    <t>SRS20882406</t>
  </si>
  <si>
    <t>SRR28490851</t>
  </si>
  <si>
    <t>PDT002124730.1</t>
  </si>
  <si>
    <t>glpT_E448K=POINT,gyrA_S83L=POINT,pmrB_Y358N=POINT</t>
  </si>
  <si>
    <t>astA=COMPLETE,fdeC=COMPLETE,iha=COMPLETE,lpfA-O113=COMPLETE,mchB=COMPLETE,mchF=COMPLETE,stxA2c=COMPLETE,stxB2c=COMPLETE</t>
  </si>
  <si>
    <t>acrF=COMPLETE,blaEC=COMPLETE,glpT_E448K=POINT,gyrA_S83L=POINT,mdtM=COMPLETE,pmrB_Y358N=POINT</t>
  </si>
  <si>
    <t>CFIAFB20200013</t>
  </si>
  <si>
    <t>GTA-FD-2019-MI-01734</t>
  </si>
  <si>
    <t>2019-MER-0269</t>
  </si>
  <si>
    <t>SAMN40646246</t>
  </si>
  <si>
    <t>GCA_042954925.2</t>
  </si>
  <si>
    <t>SRS20882354</t>
  </si>
  <si>
    <t>SRR28490903</t>
  </si>
  <si>
    <t>PDT002124782.2</t>
  </si>
  <si>
    <t>2024-03-28T21:54:31Z</t>
  </si>
  <si>
    <t>DAXUNI000000000.2</t>
  </si>
  <si>
    <t>espI=COMPLETE,espX1=PARTIAL,fdeC=COMPLETE,iha=MISTRANSLATION,iha=PARTIAL_END_OF_CONTIG,ireA=COMPLETE,iucA=COMPLETE,iucB=COMPLETE,iucC=COMPLETE,iucD=COMPLETE,iutA=COMPLETE,lpfA-O113=COMPLETE,lpfA=COMPLETE,mchB=COMPLETE,mchF=COMPLETE,senB=COMPLETE,sslE=HMM,stx1a_operon=COMPLETE,stx2_operon=PARTIAL_CONTIG_END,stx2b_operon=COMPLETE,stxA1=COMPLETE,stxA2=COMPLETE,stxA2=PARTIAL_END_OF_CONTIG,stxB1=COMPLETE,stxB2=COMPLETE,subA=PARTIAL_END_OF_CONTIG,subB=PARTIAL_END_OF_CONTIG</t>
  </si>
  <si>
    <t>DAXUNI</t>
  </si>
  <si>
    <t>CFIAFB20200033</t>
  </si>
  <si>
    <t>CAL-FD-2019-MI-1406</t>
  </si>
  <si>
    <t>2020-SEQ-0289</t>
  </si>
  <si>
    <t>SAMN40646222</t>
  </si>
  <si>
    <t>GCA_042968835.1</t>
  </si>
  <si>
    <t>SRS20882408</t>
  </si>
  <si>
    <t>SRR28490849</t>
  </si>
  <si>
    <t>PDT002124728.1</t>
  </si>
  <si>
    <t>DAXVGF000000000.1</t>
  </si>
  <si>
    <t>DAXVGF</t>
  </si>
  <si>
    <t>OLC1261</t>
  </si>
  <si>
    <t>D3502</t>
  </si>
  <si>
    <t>2015-SEQ-1154</t>
  </si>
  <si>
    <t>O157 (95.11):H7 (100.0)</t>
  </si>
  <si>
    <t>Stx2a_16_AF524944</t>
  </si>
  <si>
    <t>SAMN04420179</t>
  </si>
  <si>
    <t>GCA_002134575.1</t>
  </si>
  <si>
    <t>PRJNA309770</t>
  </si>
  <si>
    <t>SRR6061314</t>
  </si>
  <si>
    <t>CFIAFB20200034</t>
  </si>
  <si>
    <t>2020-MER-0006</t>
  </si>
  <si>
    <t>2021-MIN-0252</t>
  </si>
  <si>
    <t>Raw meat | Lamb | Ground | Lean|fresh|New Zealand</t>
  </si>
  <si>
    <t>O-untypeable:H21</t>
  </si>
  <si>
    <t>SAMN40646257</t>
  </si>
  <si>
    <t>GCA_042950755.1</t>
  </si>
  <si>
    <t>SRS20882366</t>
  </si>
  <si>
    <t>SRR28490891</t>
  </si>
  <si>
    <t>PDT002124770.1</t>
  </si>
  <si>
    <t>DAXUIO000000000.1</t>
  </si>
  <si>
    <t>espX1=COMPLETE,fdeC=COMPLETE,iss=COMPLETE,lpfA-O113=COMPLETE,sslE=HMM,stxA2=COMPLETE,stxB2=COMPLETE</t>
  </si>
  <si>
    <t>DAXUIO</t>
  </si>
  <si>
    <t>CFIAFB20200036</t>
  </si>
  <si>
    <t>BUR-FI-2019-MI-01870</t>
  </si>
  <si>
    <t>2019-SEQ-1265</t>
  </si>
  <si>
    <t>SAMN40646296</t>
  </si>
  <si>
    <t>GCA_042951145.1</t>
  </si>
  <si>
    <t>SRS20882402</t>
  </si>
  <si>
    <t>SRR28490855</t>
  </si>
  <si>
    <t>PDT002124734.1</t>
  </si>
  <si>
    <t>DAXUJF000000000.1</t>
  </si>
  <si>
    <t>eae=COMPLETE,ehxA=COMPLETE,epeA=COMPLETE,espA=COMPLETE,espB=COMPLETE,espF=COMPLETE,espJ=PARTIAL,espP=COMPLETE,espX1=COMPLETE,etpD=COMPLETE,fdeC=COMPLETE,lpfA-O113=COMPLETE,lpfA=COMPLETE,nleA=COMPLETE,nleB=COMPLETE,nleC=PARTIAL,sslE=HMM,stxA1=COMPLETE,stxB1=COMPLETE,tccP=PARTIAL,tir=COMPLETE</t>
  </si>
  <si>
    <t>DAXUJF</t>
  </si>
  <si>
    <t>CFIAFB20200037</t>
  </si>
  <si>
    <t>2019-SEQ-1266</t>
  </si>
  <si>
    <t>O8:H23</t>
  </si>
  <si>
    <t>aminoglycoside(aadA1 (100.0%);aadA2 (100.0%);aph(3'')-Ib (100.0%);aph(6)-Id (100.0%));macrolide(mdf(A) (98.46%));phenicol(cmlA1 (99.92%);floR (98.11%));sulphonamide(sul2 (100.0%);sul3 (100.0%));tetracycline(tet(A) (97.25%));trimethoprim(dfrA12 (100.0%));</t>
  </si>
  <si>
    <t>SAMN40646295</t>
  </si>
  <si>
    <t>GCA_042949865.1</t>
  </si>
  <si>
    <t>SRS20882401</t>
  </si>
  <si>
    <t>SRR28490856</t>
  </si>
  <si>
    <t>PDT002124735.1</t>
  </si>
  <si>
    <t>DAXUGV000000000.1</t>
  </si>
  <si>
    <t>aadA1=COMPLETE,aadA2=COMPLETE,aph(3'')-Ib=COMPLETE,aph(6)-Id=COMPLETE,cmlA1=COMPLETE,dfrA12=COMPLETE,floR=COMPLETE,glpT_E448K=POINT,gyrA_D87N=POINT,gyrA_S83L=POINT,parC_S80I=POINT,parE_S458A=POINT,pmrB_Y358N=POINT,sul2=COMPLETE,sul3=COMPLETE,tet(A)=COMPLETE,tet(A)=PARTIAL_END_OF_CONTIG,uhpT_E350Q=POINT</t>
  </si>
  <si>
    <t>fdeC=COMPLETE,iss=COMPLETE,lpfA-O113=MISTRANSLATION,sslE=HMM,stxA1=COMPLETE,stxB1=COMPLETE</t>
  </si>
  <si>
    <t>ariR=PARTIAL_END_OF_CONTIG,merA=HMM,merC=COMPLETE,merD=HMM,merE=HMM,merP=COMPLETE,merR=COMPLETE,merT=COMPLETE,qacL=COMPLETE</t>
  </si>
  <si>
    <t>aadA1=COMPLETE,aadA2=COMPLETE,acrF=COMPLETE,aph(3'')-Ib=COMPLETE,aph(6)-Id=COMPLETE,blaEC=COMPLETE,cmlA1=COMPLETE,dfrA12=COMPLETE,floR=COMPLETE,glpT_E448K=POINT,gyrA_D87N=POINT,gyrA_S83L=POINT,mdtM=COMPLETE,parC_S80I=POINT,parE_S458A=POINT,pmrB_Y358N=POINT,sul2=COMPLETE,sul3=COMPLETE,tet(A)=COMPLETE,tet(A)=PARTIAL_END_OF_CONTIG,uhpT_E350Q=POINT</t>
  </si>
  <si>
    <t>DAXUGV</t>
  </si>
  <si>
    <t>PDS000179751.1</t>
  </si>
  <si>
    <t>CFIAFB20200041</t>
  </si>
  <si>
    <t>GTA-FD-2019-MI-02046</t>
  </si>
  <si>
    <t>2019-SEQ-1270</t>
  </si>
  <si>
    <t>SAMN40646234</t>
  </si>
  <si>
    <t>GCA_042958845.1</t>
  </si>
  <si>
    <t>SRS20882382</t>
  </si>
  <si>
    <t>SRR28490875</t>
  </si>
  <si>
    <t>PDT002124754.1</t>
  </si>
  <si>
    <t>2024-03-28T21:54:17Z</t>
  </si>
  <si>
    <t>DAXUPE000000000.1</t>
  </si>
  <si>
    <t>DAXUPE</t>
  </si>
  <si>
    <t>CFIAFB20200052</t>
  </si>
  <si>
    <t>OTT-FD-2019-MI-1433</t>
  </si>
  <si>
    <t>2019-SEQ-1525</t>
  </si>
  <si>
    <t>O5:H19</t>
  </si>
  <si>
    <t>SAMN40646264</t>
  </si>
  <si>
    <t>GCA_042951325.1</t>
  </si>
  <si>
    <t>SRS20882415</t>
  </si>
  <si>
    <t>SRR28490842</t>
  </si>
  <si>
    <t>PDT002124721.1</t>
  </si>
  <si>
    <t>DAXUJM000000000.1</t>
  </si>
  <si>
    <t>ehxA=COMPLETE,espI=COMPLETE,espX1=COMPLETE,fdeC=COMPLETE,iha=COMPLETE,ireA=COMPLETE,iss=COMPLETE,lpfA-O113=COMPLETE,sslE=HMM,stxA1=COMPLETE,stxB1=COMPLETE,subA=COMPLETE,subB=COMPLETE</t>
  </si>
  <si>
    <t>DAXUJM</t>
  </si>
  <si>
    <t>CFIAFB20200082</t>
  </si>
  <si>
    <t>STH-FD-2019-MI-2788</t>
  </si>
  <si>
    <t>2020-SEQ-0005</t>
  </si>
  <si>
    <t>OUT:H29</t>
  </si>
  <si>
    <t>O-untypeable:H29</t>
  </si>
  <si>
    <t>vtx2b</t>
  </si>
  <si>
    <t>Stx2b_23_2020-SEQ-0005</t>
  </si>
  <si>
    <t>aminoglycoside(aph(3'')-Ib (100.0%);aph(6)-Id (100.0%));macrolide(mdf(A) (98.86%));phenicol(floR (98.11%));sulphonamide(sul2 (100.0%));tetracycline(tet(A) (100.0%));</t>
  </si>
  <si>
    <t>SAMN40646308</t>
  </si>
  <si>
    <t>GCA_042950805.1</t>
  </si>
  <si>
    <t>SRS20882375</t>
  </si>
  <si>
    <t>SRR28490882</t>
  </si>
  <si>
    <t>PDT002124761.1</t>
  </si>
  <si>
    <t>DAXUIT000000000.1</t>
  </si>
  <si>
    <t>aph(3'')-Ib=COMPLETE,aph(3'')-Ib=PARTIAL_END_OF_CONTIG,aph(6)-Id=COMPLETE,aph(6)-Id=PARTIAL_END_OF_CONTIG,floR=COMPLETE,glpT_E448K=POINT,sul2=COMPLETE,sul2=PARTIAL_END_OF_CONTIG,tet(A)=COMPLETE,uhpT_E350Q=POINT</t>
  </si>
  <si>
    <t>astA=COMPLETE,espI=COMPLETE,fdeC=COMPLETE,iha=COMPLETE,stxA2=COMPLETE,stxB2=COMPLETE,stxB2=PARTIAL_END_OF_CONTIG</t>
  </si>
  <si>
    <t>ariR=PARTIAL_END_OF_CONTIG,arsD=COMPLETE,emrE=COMPLETE</t>
  </si>
  <si>
    <t>acrF=COMPLETE,aph(3'')-Ib=COMPLETE,aph(3'')-Ib=PARTIAL_END_OF_CONTIG,aph(6)-Id=COMPLETE,aph(6)-Id=PARTIAL_END_OF_CONTIG,blaEC=COMPLETE,floR=COMPLETE,glpT_E448K=POINT,mdtM=COMPLETE,sul2=COMPLETE,sul2=PARTIAL_END_OF_CONTIG,tet(A)=COMPLETE,uhpT_E350Q=POINT</t>
  </si>
  <si>
    <t>DAXUIT</t>
  </si>
  <si>
    <t>PDS000082422.6</t>
  </si>
  <si>
    <t>CFIAFB20200103</t>
  </si>
  <si>
    <t>DAR-FD-2019-MI-01139</t>
  </si>
  <si>
    <t>2019-DAR-0290</t>
  </si>
  <si>
    <t>SAMN40646223</t>
  </si>
  <si>
    <t>GCA_042951285.1</t>
  </si>
  <si>
    <t>SRS20882419</t>
  </si>
  <si>
    <t>SRR28490838</t>
  </si>
  <si>
    <t>PDT002124717.1</t>
  </si>
  <si>
    <t>2024-03-28T21:54:04Z</t>
  </si>
  <si>
    <t>DAXUJQ000000000.1</t>
  </si>
  <si>
    <t>DAXUJQ</t>
  </si>
  <si>
    <t>CFIAFB20200104</t>
  </si>
  <si>
    <t>2019-DAR-0291</t>
  </si>
  <si>
    <t>hlyAEc;VT2;uidA</t>
  </si>
  <si>
    <t>Stx2b_116_AF043627</t>
  </si>
  <si>
    <t>SAMN40646243</t>
  </si>
  <si>
    <t>GCA_042955035.2</t>
  </si>
  <si>
    <t>SRS20882351</t>
  </si>
  <si>
    <t>SRR28490906</t>
  </si>
  <si>
    <t>PDT002124785.2</t>
  </si>
  <si>
    <t>2024-03-28T21:54:32Z</t>
  </si>
  <si>
    <t>DAXUNG000000000.2</t>
  </si>
  <si>
    <t>ehxA=COMPLETE,espI=COMPLETE,espX1=PARTIAL,fdeC=COMPLETE,iha=COMPLETE,ireA=COMPLETE,iucA=COMPLETE,iucB=COMPLETE,iucC=COMPLETE,iucD=COMPLETE,iutA=COMPLETE,lpfA-O113=COMPLETE,lpfA=COMPLETE,mchB=COMPLETE,mchF=MISTRANSLATION,senB=COMPLETE,stx2_operon=PARTIAL_CONTIG_END,stx2b_operon=COMPLETE,stxA2=COMPLETE,stxA2=PARTIAL_END_OF_CONTIG,stxB2=COMPLETE,subA=COMPLETE,subB=COMPLETE</t>
  </si>
  <si>
    <t>DAXUNG</t>
  </si>
  <si>
    <t>CFIAFB20200108</t>
  </si>
  <si>
    <t>DAR-FD-2019-MI-01156</t>
  </si>
  <si>
    <t>2019-DAR-0295</t>
  </si>
  <si>
    <t>SAMN40646286</t>
  </si>
  <si>
    <t>GCA_042951435.1</t>
  </si>
  <si>
    <t>SRS20882439</t>
  </si>
  <si>
    <t>SRR28490818</t>
  </si>
  <si>
    <t>PDT002124697.1</t>
  </si>
  <si>
    <t>DAXUJV000000000.1</t>
  </si>
  <si>
    <t>espX1=COMPLETE,fdeC=COMPLETE,lpfA-O113=COMPLETE,sslE=HMM,stxA1=COMPLETE,stxB1=COMPLETE</t>
  </si>
  <si>
    <t>DAXUJV</t>
  </si>
  <si>
    <t>CFIAFB20200125</t>
  </si>
  <si>
    <t>GTA-FD-2020-MI-00078</t>
  </si>
  <si>
    <t>2020-SEQ-0292</t>
  </si>
  <si>
    <t>OUT:H8</t>
  </si>
  <si>
    <t>O-untypeable:H8</t>
  </si>
  <si>
    <t>SAMN40646287</t>
  </si>
  <si>
    <t>GCA_042951015.1</t>
  </si>
  <si>
    <t>SRS20882391</t>
  </si>
  <si>
    <t>SRR28490865</t>
  </si>
  <si>
    <t>PDT002124744.1</t>
  </si>
  <si>
    <t>DAXUIX000000000.1</t>
  </si>
  <si>
    <t>fdeC=COMPLETE,iha=COMPLETE,ireA=COMPLETE,iss=COMPLETE,lpfA-O113=COMPLETE,sslE=HMM,stxA1=COMPLETE,stxA2=COMPLETE,stxB1=COMPLETE,stxB2=COMPLETE,subA=COMPLETE,subB=COMPLETE</t>
  </si>
  <si>
    <t>DAXUIX</t>
  </si>
  <si>
    <t>CFIAFB20200140</t>
  </si>
  <si>
    <t>GTA-FD-2020-MI-00143</t>
  </si>
  <si>
    <t>2020-SEQ-0219</t>
  </si>
  <si>
    <t>SAMN40646247</t>
  </si>
  <si>
    <t>GCA_042955115.1</t>
  </si>
  <si>
    <t>SRS20882355</t>
  </si>
  <si>
    <t>SRR28490902</t>
  </si>
  <si>
    <t>PDT002124781.1</t>
  </si>
  <si>
    <t>2024-03-28T21:54:30Z</t>
  </si>
  <si>
    <t>DAXUNJ000000000.1</t>
  </si>
  <si>
    <t>ehxA=COMPLETE,espI=COMPLETE,espX1=PARTIAL,fdeC=COMPLETE,iha=COMPLETE,ireA=COMPLETE,iucA=COMPLETE,iucB=COMPLETE,iucC=COMPLETE,iucD=COMPLETE,iutA=COMPLETE,katP=COMPLETE,lpfA-O113=COMPLETE,lpfA=COMPLETE,mchB=COMPLETE,mchF=MISTRANSLATION,senB=COMPLETE,stxA1=COMPLETE,stxA2=COMPLETE,stxA2=PARTIAL_END_OF_CONTIG,stxB1=COMPLETE,stxB2=COMPLETE,subA=COMPLETE,subA=PARTIAL_END_OF_CONTIG,subB=COMPLETE</t>
  </si>
  <si>
    <t>DAXUNJ</t>
  </si>
  <si>
    <t>CFIAFB20200149</t>
  </si>
  <si>
    <t>GTA-FD-2020-MI-00380</t>
  </si>
  <si>
    <t>2020-SEQ-0314</t>
  </si>
  <si>
    <t>Stx1c_26_ABNCNA010000007.1|Stx2b_120_2020-SEQ-0314</t>
  </si>
  <si>
    <t>SAMN40646269</t>
  </si>
  <si>
    <t>GCA_042949925.1</t>
  </si>
  <si>
    <t>SRS20882420</t>
  </si>
  <si>
    <t>SRR28490836</t>
  </si>
  <si>
    <t>PDT002124715.1</t>
  </si>
  <si>
    <t>DAXUGY000000000.1</t>
  </si>
  <si>
    <t>ehxA=COMPLETE,espX1=COMPLETE,fdeC=COMPLETE,iha=COMPLETE,ireA=COMPLETE,iss=COMPLETE,lpfA-O113=COMPLETE,lpfA=COMPLETE,mchB=COMPLETE,mchF=COMPLETE,stxA1=COMPLETE,stxA2=COMPLETE,stxB1=COMPLETE,stxB2=COMPLETE,subA=COMPLETE,subB=COMPLETE</t>
  </si>
  <si>
    <t>DAXUGY</t>
  </si>
  <si>
    <t>CFIAFB20200159</t>
  </si>
  <si>
    <t>DAR-FD-2020-MI-00030</t>
  </si>
  <si>
    <t>2020-DAR-0002</t>
  </si>
  <si>
    <t>O181:H16</t>
  </si>
  <si>
    <t>Stx1c_12_Z36901|Stx2b_109_AARSUM010000040.1</t>
  </si>
  <si>
    <t>SAMN40646277</t>
  </si>
  <si>
    <t>GCA_042950065.1</t>
  </si>
  <si>
    <t>SRS20882429</t>
  </si>
  <si>
    <t>SRR28490828</t>
  </si>
  <si>
    <t>PDT002124707.1</t>
  </si>
  <si>
    <t>2024-03-28T21:53:58Z</t>
  </si>
  <si>
    <t>DAXUHF000000000.1</t>
  </si>
  <si>
    <t>cvaB=COMPLETE,cvaC=COMPLETE,ehxA=COMPLETE,espI=COMPLETE,espX1=COMPLETE,fdeC=COMPLETE,iha=COMPLETE,ireA=COMPLETE,lpfA-O113=COMPLETE,mchB=COMPLETE,mchF=COMPLETE,sslE=HMM,stxA1=COMPLETE,stxA2=COMPLETE,stxA2=PARTIAL_END_OF_CONTIG,stxB1=COMPLETE,stxB2=COMPLETE,subA=COMPLETE,subB=COMPLETE</t>
  </si>
  <si>
    <t>DAXUHF</t>
  </si>
  <si>
    <t>CFIAFB20200162</t>
  </si>
  <si>
    <t>OTT-FD-2020-MI-0208</t>
  </si>
  <si>
    <t>2020-SEQ-0325</t>
  </si>
  <si>
    <t>SAMN40646250</t>
  </si>
  <si>
    <t>GCA_042955225.1</t>
  </si>
  <si>
    <t>SRS20882360</t>
  </si>
  <si>
    <t>SRR28490898</t>
  </si>
  <si>
    <t>PDT002124777.1</t>
  </si>
  <si>
    <t>2024-03-28T21:54:28Z</t>
  </si>
  <si>
    <t>DAXUNN000000000.1</t>
  </si>
  <si>
    <t>espI=COMPLETE,fdeC=COMPLETE,iha=COMPLETE,ireA=COMPLETE,iucA=COMPLETE,iucB=COMPLETE,iucC=COMPLETE,iucD=COMPLETE,iutA=COMPLETE,lpfA-O113=COMPLETE,lpfA=COMPLETE,mchB=COMPLETE,mchF=COMPLETE,sslE=HMM,stxA1=COMPLETE,stxA2=COMPLETE,stxB1=COMPLETE,stxB2=COMPLETE,subA=COMPLETE,subB=COMPLETE</t>
  </si>
  <si>
    <t>DAXUNN</t>
  </si>
  <si>
    <t>CFIAFB20200163</t>
  </si>
  <si>
    <t>CAL-FD-2020-MI-0315</t>
  </si>
  <si>
    <t>2020-SEQ-0326</t>
  </si>
  <si>
    <t>SAMN40646241</t>
  </si>
  <si>
    <t>GCA_042950955.1</t>
  </si>
  <si>
    <t>SRS20882390</t>
  </si>
  <si>
    <t>SRR28490867</t>
  </si>
  <si>
    <t>PDT002124746.1</t>
  </si>
  <si>
    <t>DAXUIW000000000.1</t>
  </si>
  <si>
    <t>espI=COMPLETE,espX1=PARTIAL,fdeC=COMPLETE,iha=COMPLETE,iha=MISTRANSLATION,ireA=COMPLETE,iucA=COMPLETE,iucB=COMPLETE,iucC=COMPLETE,iucD=COMPLETE,iutA=COMPLETE,lpfA-O113=COMPLETE,lpfA=COMPLETE,mchB=COMPLETE,mchF=COMPLETE,sslE=HMM,stxA1=COMPLETE,stxA2=COMPLETE,stxB1=COMPLETE,stxB2=COMPLETE,subA=COMPLETE,subB=COMPLETE</t>
  </si>
  <si>
    <t>DAXUIW</t>
  </si>
  <si>
    <t>CFIAFB20200173</t>
  </si>
  <si>
    <t>DAR-FD-2020-MI-00045</t>
  </si>
  <si>
    <t>2020-DAR-0004</t>
  </si>
  <si>
    <t>macrolide(mdf(A) (98.95%));</t>
  </si>
  <si>
    <t>SAMN40646245</t>
  </si>
  <si>
    <t>GCA_042950705.1</t>
  </si>
  <si>
    <t>SRS20882353</t>
  </si>
  <si>
    <t>SRR28490904</t>
  </si>
  <si>
    <t>PDT002124783.1</t>
  </si>
  <si>
    <t>DAXUIL000000000.1</t>
  </si>
  <si>
    <t>espI=COMPLETE,espX1=PARTIAL,fdeC=COMPLETE,iha=MISTRANSLATION,iha=PARTIAL_END_OF_CONTIG,ireA=COMPLETE,iucA=COMPLETE,iucB=COMPLETE,iucC=COMPLETE,iucD=COMPLETE,iutA=COMPLETE,lpfA-O113=COMPLETE,lpfA=COMPLETE,mchB=COMPLETE,mchF=COMPLETE,sslE=HMM,stxA1=COMPLETE,stxA2=COMPLETE,stxB1=COMPLETE,stxB2=COMPLETE,subA=COMPLETE,subB=PARTIAL_END_OF_CONTIG</t>
  </si>
  <si>
    <t>DAXUIL</t>
  </si>
  <si>
    <t>CFIAFB20200174</t>
  </si>
  <si>
    <t>DAR-FD-2019-MI-01671</t>
  </si>
  <si>
    <t>2020-DAR-0005</t>
  </si>
  <si>
    <t>SAMN40646244</t>
  </si>
  <si>
    <t>GCA_042954945.2</t>
  </si>
  <si>
    <t>SRS20882352</t>
  </si>
  <si>
    <t>SRR28490905</t>
  </si>
  <si>
    <t>PDT002124784.2</t>
  </si>
  <si>
    <t>DAXUNH000000000.2</t>
  </si>
  <si>
    <t>ehxA=COMPLETE,espI=COMPLETE,espX1=PARTIAL,fdeC=COMPLETE,iha=COMPLETE,ireA=COMPLETE,iucA=COMPLETE,iucB=COMPLETE,iucC=COMPLETE,iucD=COMPLETE,iutA=COMPLETE,lpfA-O113=COMPLETE,lpfA=COMPLETE,mchB=COMPLETE,mchF=MISTRANSLATION,senB=COMPLETE,stx2_operon=PARTIAL_CONTIG_END,stx2b_operon=COMPLETE,stxA2=COMPLETE,stxA2=PARTIAL_END_OF_CONTIG,stxB2=COMPLETE,subA=PARTIAL_END_OF_CONTIG,subB=PARTIAL_END_OF_CONTIG</t>
  </si>
  <si>
    <t>DAXUNH</t>
  </si>
  <si>
    <t>CFIAFB20200177</t>
  </si>
  <si>
    <t>DAR-FD-2020-MI-00028</t>
  </si>
  <si>
    <t>2020-DAR-0008</t>
  </si>
  <si>
    <t>Stx1c_26_ABNCNA010000007.1|Stx2b_109_AAZFEP010000099.1</t>
  </si>
  <si>
    <t>SAMN40646254</t>
  </si>
  <si>
    <t>GCA_042955485.1</t>
  </si>
  <si>
    <t>SRS20882364</t>
  </si>
  <si>
    <t>SRR28490894</t>
  </si>
  <si>
    <t>PDT002124773.1</t>
  </si>
  <si>
    <t>2024-03-28T21:54:25Z</t>
  </si>
  <si>
    <t>DAXUNR000000000.1</t>
  </si>
  <si>
    <t>cvaB=COMPLETE,cvaC=COMPLETE,ehxA=COMPLETE,espX1=COMPLETE,fdeC=PARTIAL_END_OF_CONTIG,iha=COMPLETE,ireA=COMPLETE,iss=COMPLETE,lpfA1=COMPLETE,mchB=COMPLETE,mchF=COMPLETE,sslE=HMM,stxA1=COMPLETE,stxA2=COMPLETE,stxB1=COMPLETE,stxB2=COMPLETE,subA=COMPLETE,subB=COMPLETE,ybtP=COMPLETE,ybtQ=COMPLETE</t>
  </si>
  <si>
    <t>DAXUNR</t>
  </si>
  <si>
    <t>CFIAFB20200178</t>
  </si>
  <si>
    <t>2020-DAR-0009</t>
  </si>
  <si>
    <t>Stx1c_12_Z36901|Stx2b_101_2022-MIN-0056</t>
  </si>
  <si>
    <t>SAMN40646288</t>
  </si>
  <si>
    <t>GCA_042968855.1</t>
  </si>
  <si>
    <t>SRS20882394</t>
  </si>
  <si>
    <t>SRR28490863</t>
  </si>
  <si>
    <t>PDT002124742.1</t>
  </si>
  <si>
    <t>DAXVGC000000000.1</t>
  </si>
  <si>
    <t>ehxA=COMPLETE,espI=COMPLETE,espX1=COMPLETE,fdeC=COMPLETE,iha=COMPLETE,ireA=COMPLETE,iss=COMPLETE,iucA=COMPLETE,iucB=COMPLETE,iucC=COMPLETE,iucD=COMPLETE,iutA=COMPLETE,lpfA-O113=COMPLETE,sslE=HMM,stxA1=COMPLETE,stxA2=COMPLETE,stxB1=COMPLETE,stxB2=COMPLETE,subA=COMPLETE,subB=COMPLETE</t>
  </si>
  <si>
    <t>DAXVGC</t>
  </si>
  <si>
    <t>CFIAFB20200188</t>
  </si>
  <si>
    <t>CAL-FD-2020-MI-0472</t>
  </si>
  <si>
    <t>2021-MER-0003</t>
  </si>
  <si>
    <t>O153:H25</t>
  </si>
  <si>
    <t>Stx2b_109_AAZFEP010000099.1</t>
  </si>
  <si>
    <t>SAMN40646256</t>
  </si>
  <si>
    <t>GCA_042950725.1</t>
  </si>
  <si>
    <t>SRS20882365</t>
  </si>
  <si>
    <t>SRR28490892</t>
  </si>
  <si>
    <t>PDT002124771.1</t>
  </si>
  <si>
    <t>DAXUIM000000000.1</t>
  </si>
  <si>
    <t>cvaC=PARTIAL,espX1=PARTIAL,fdeC=COMPLETE,ireA=COMPLETE,iss=COMPLETE,lpfA-O113=COMPLETE,sslE=HMM,stxA2=COMPLETE,stxB2=COMPLETE</t>
  </si>
  <si>
    <t>DAXUIM</t>
  </si>
  <si>
    <t>CFIAFB20200189</t>
  </si>
  <si>
    <t>2021-MER-0004</t>
  </si>
  <si>
    <t>SAMN40646279</t>
  </si>
  <si>
    <t>GCA_042950045.1</t>
  </si>
  <si>
    <t>SRS20882433</t>
  </si>
  <si>
    <t>SRR28490825</t>
  </si>
  <si>
    <t>PDT002124704.1</t>
  </si>
  <si>
    <t>2024-03-28T21:53:57Z</t>
  </si>
  <si>
    <t>DAXUHG000000000.1</t>
  </si>
  <si>
    <t>espX1=COMPLETE,fdeC=COMPLETE,katP=COMPLETE,lpfA-O113=COMPLETE,sslE=HMM,stxA1=COMPLETE,stxB1=COMPLETE</t>
  </si>
  <si>
    <t>DAXUHG</t>
  </si>
  <si>
    <t>CFIAFB20200190</t>
  </si>
  <si>
    <t>GTA-FD-2020-MI-00779</t>
  </si>
  <si>
    <t>2020-SEQ-0387</t>
  </si>
  <si>
    <t>Raw meat | Lamb | Ground | Lean</t>
  </si>
  <si>
    <t>OUT:H10</t>
  </si>
  <si>
    <t>O-untypeable:H10</t>
  </si>
  <si>
    <t>Stx1c_23_2020-SEQ-0387|Stx2b_109_AAZFEP010000099.1</t>
  </si>
  <si>
    <t>SAMN40646275</t>
  </si>
  <si>
    <t>GCA_042950105.1</t>
  </si>
  <si>
    <t>SRS20882426</t>
  </si>
  <si>
    <t>SRR28490830</t>
  </si>
  <si>
    <t>PDT002124709.1</t>
  </si>
  <si>
    <t>2024-03-28T21:54:00Z</t>
  </si>
  <si>
    <t>DAXUHE000000000.1</t>
  </si>
  <si>
    <t>ehxA=COMPLETE,espX1=PARTIAL_END_OF_CONTIG,fdeC=COMPLETE,iha=COMPLETE,ireA=PARTIAL_END_OF_CONTIG,iss=COMPLETE,lpfA-O113=COMPLETE,senB=COMPLETE,sslE=HMM,stxA1=COMPLETE,stxA2=COMPLETE,stxB1=COMPLETE,stxB2=COMPLETE,subA=COMPLETE,subB=PARTIAL_END_OF_CONTIG,ybtP=COMPLETE,ybtQ=COMPLETE</t>
  </si>
  <si>
    <t>DAXUHE</t>
  </si>
  <si>
    <t>CFIAFB20200200</t>
  </si>
  <si>
    <t>GTA-FD-2019-MI-00045</t>
  </si>
  <si>
    <t>2021-SEQ-0001</t>
  </si>
  <si>
    <t>O123:H10</t>
  </si>
  <si>
    <t>SAMN40646274</t>
  </si>
  <si>
    <t>GCA_042951345.1</t>
  </si>
  <si>
    <t>SRS20882427</t>
  </si>
  <si>
    <t>SRR28490831</t>
  </si>
  <si>
    <t>PDT002124710.1</t>
  </si>
  <si>
    <t>2024-03-28T21:54:01Z</t>
  </si>
  <si>
    <t>DAXUJR000000000.1</t>
  </si>
  <si>
    <t>ehxA=COMPLETE,espI=PARTIAL_END_OF_CONTIG,espX1=COMPLETE,fdeC=COMPLETE,iha=COMPLETE,ireA=COMPLETE,ireA=PARTIAL_END_OF_CONTIG,iss=COMPLETE,lpfA-O113=COMPLETE,senB=COMPLETE,sslE=HMM,stxA1=COMPLETE,stxA2=COMPLETE,stxB1=COMPLETE,stxB2=COMPLETE,subA=COMPLETE,subB=COMPLETE,ybtP=COMPLETE,ybtQ=COMPLETE</t>
  </si>
  <si>
    <t>DAXUJR</t>
  </si>
  <si>
    <t>CFIAFB20200206</t>
  </si>
  <si>
    <t>GTA-FD-2020-MI-01146</t>
  </si>
  <si>
    <t>2021-SEQ-0097</t>
  </si>
  <si>
    <t>Stx1a_19_AAAAYL020000128.1|Stx2b_116_ABEATB010000152.1</t>
  </si>
  <si>
    <t>SAMN40646248</t>
  </si>
  <si>
    <t>GCA_042955155.2</t>
  </si>
  <si>
    <t>SRS20882357</t>
  </si>
  <si>
    <t>SRR28490900</t>
  </si>
  <si>
    <t>PDT002124779.2</t>
  </si>
  <si>
    <t>2024-03-28T21:54:29Z</t>
  </si>
  <si>
    <t>DAXUNL000000000.2</t>
  </si>
  <si>
    <t>ehxA=COMPLETE,espI=COMPLETE,espX1=PARTIAL,fdeC=COMPLETE,iha=COMPLETE,ireA=COMPLETE,iucA=COMPLETE,iucB=COMPLETE,iucC=COMPLETE,iucD=COMPLETE,iutA=COMPLETE,lpfA-O113=COMPLETE,lpfA=COMPLETE,mchF=MISTRANSLATION,senB=COMPLETE,stx1a_operon=COMPLETE,stx2_operon=PARTIAL_CONTIG_END,stx2b_operon=COMPLETE,stxA1=COMPLETE,stxA2=COMPLETE,stxA2=PARTIAL_END_OF_CONTIG,stxB1=COMPLETE,stxB2=COMPLETE,subA=COMPLETE,subA=PARTIAL</t>
  </si>
  <si>
    <t>DAXUNL</t>
  </si>
  <si>
    <t>CFIAFB20200207</t>
  </si>
  <si>
    <t>2021-SEQ-0074</t>
  </si>
  <si>
    <t>macrolide(mdf(A) (98.46%));tetracycline(tet(C) (98.64%));</t>
  </si>
  <si>
    <t>SAMN40646272</t>
  </si>
  <si>
    <t>GCA_042950005.1</t>
  </si>
  <si>
    <t>SRS20882424</t>
  </si>
  <si>
    <t>SRR28490833</t>
  </si>
  <si>
    <t>PDT002124712.1</t>
  </si>
  <si>
    <t>2024-03-28T21:54:02Z</t>
  </si>
  <si>
    <t>DAXUHC000000000.1</t>
  </si>
  <si>
    <t>glpT_E448K=POINT,pmrB_Y358N=POINT,tet(C)=COMPLETE</t>
  </si>
  <si>
    <t>espX1=COMPLETE,fdeC=COMPLETE,katP=COMPLETE,lpfA-O113=COMPLETE,lpfA=COMPLETE,sslE=HMM,stxA1=COMPLETE,stxB1=COMPLETE</t>
  </si>
  <si>
    <t>acrF=COMPLETE,blaEC=COMPLETE,glpT_E448K=POINT,mdtM=COMPLETE,pmrB_Y358N=POINT,tet(C)=COMPLETE</t>
  </si>
  <si>
    <t>DAXUHC</t>
  </si>
  <si>
    <t>CFIAFB20200208</t>
  </si>
  <si>
    <t>GTA-FD-2019-MI-02258</t>
  </si>
  <si>
    <t>2021-SEQ-0006</t>
  </si>
  <si>
    <t>O55:H12</t>
  </si>
  <si>
    <t>aminoglycoside(aadA1 (100.0%);aph(3'')-Ib (100.0%);aph(6)-Id (100.0%));macrolide(mdf(A) (98.46%));phenicol(floR (98.11%));sulphonamide(sul1 (100.0%);sul2 (100.0%));tetracycline(tet(A) (100.0%));trimethoprim(dfrA1 (99.79%));</t>
  </si>
  <si>
    <t>SAMN40646293</t>
  </si>
  <si>
    <t>GCA_042951085.1</t>
  </si>
  <si>
    <t>SRS20882399</t>
  </si>
  <si>
    <t>SRR28490858</t>
  </si>
  <si>
    <t>PDT002124737.1</t>
  </si>
  <si>
    <t>DAXUJD000000000.1</t>
  </si>
  <si>
    <t>aadA1=COMPLETE,aph(3'')-Ib=COMPLETE,aph(6)-Id=COMPLETE,dfrA1=COMPLETE,floR=COMPLETE,glpT_E448K=POINT,pmrB_Y358N=POINT,sul1=COMPLETE,sul2=COMPLETE,tet(A)=COMPLETE</t>
  </si>
  <si>
    <t>bmaE=COMPLETE,cdtB=COMPLETE,cnf2=COMPLETE,espP=COMPLETE,espX1=COMPLETE,fdeC=COMPLETE,iha=COMPLETE,iss=COMPLETE,iucA=COMPLETE,iucB=COMPLETE,iucC=COMPLETE,iucD=COMPLETE,iutA=COMPLETE,lpfA-O113=COMPLETE,lpfA=COMPLETE,stxA1=COMPLETE,stxB1=COMPLETE</t>
  </si>
  <si>
    <t>aadA1=COMPLETE,acrF=COMPLETE,aph(3'')-Ib=COMPLETE,aph(6)-Id=COMPLETE,blaEC=COMPLETE,dfrA1=COMPLETE,floR=COMPLETE,glpT_E448K=POINT,mdtM=COMPLETE,pmrB_Y358N=POINT,sul1=COMPLETE,sul2=COMPLETE,tet(A)=COMPLETE</t>
  </si>
  <si>
    <t>DAXUJD</t>
  </si>
  <si>
    <t>CFIAFB20210012</t>
  </si>
  <si>
    <t>DAR-FD-2020-MI-00419</t>
  </si>
  <si>
    <t>2020-DAR-0029</t>
  </si>
  <si>
    <t>O87:H16</t>
  </si>
  <si>
    <t>Stx2b_101_JAHVPK010000030.1|Stx2b_109_AAZFEP010000099.1</t>
  </si>
  <si>
    <t>macrolide(mdf(A) (99.19%));</t>
  </si>
  <si>
    <t>SAMN40646273</t>
  </si>
  <si>
    <t>GCA_042950025.1</t>
  </si>
  <si>
    <t>SRS20882425</t>
  </si>
  <si>
    <t>SRR28490832</t>
  </si>
  <si>
    <t>PDT002124711.1</t>
  </si>
  <si>
    <t>DAXUHD000000000.1</t>
  </si>
  <si>
    <t>glpT_E448K=POINT,pmrB_Y358N=POINT,uhpT_E350Q=POINT</t>
  </si>
  <si>
    <t>espI=COMPLETE,espX1=PARTIAL,fdeC=COMPLETE,ireA=COMPLETE,lpfA-O113=COMPLETE,stxA2=COMPLETE,stxA2=PARTIAL_END_OF_CONTIG,stxB2=COMPLETE</t>
  </si>
  <si>
    <t>acrF=COMPLETE,blaEC=COMPLETE,glpT_E448K=POINT,mdtM=COMPLETE,pmrB_Y358N=POINT,uhpT_E350Q=POINT</t>
  </si>
  <si>
    <t>DAXUHD</t>
  </si>
  <si>
    <t>CFIAFB20210015</t>
  </si>
  <si>
    <t>DAR-FD-2020-MI-00543</t>
  </si>
  <si>
    <t>2020-DAR-0032</t>
  </si>
  <si>
    <t>Stx2b_109_ABGOCR010000002.1</t>
  </si>
  <si>
    <t>SAMN40646266</t>
  </si>
  <si>
    <t>GCA_042949885.1</t>
  </si>
  <si>
    <t>SRS20882418</t>
  </si>
  <si>
    <t>SRR28490840</t>
  </si>
  <si>
    <t>PDT002124719.1</t>
  </si>
  <si>
    <t>DAXUGX000000000.1</t>
  </si>
  <si>
    <t>ehxA=COMPLETE,espX1=COMPLETE,fdeC=COMPLETE,ireA=COMPLETE,lpfA-O113=COMPLETE,pic=COMPLETE,senB=COMPLETE,sslE=HMM,stxA2=COMPLETE,stxB2=COMPLETE,subA=COMPLETE,subB=COMPLETE</t>
  </si>
  <si>
    <t>DAXUGX</t>
  </si>
  <si>
    <t>CFIAFB20210019</t>
  </si>
  <si>
    <t>DAR-FD-2020-MI-00659</t>
  </si>
  <si>
    <t>2020-DAR-0036</t>
  </si>
  <si>
    <t>macrolide(mdf(A) (98.22%));</t>
  </si>
  <si>
    <t>SAMN40646232</t>
  </si>
  <si>
    <t>GCA_042958755.1</t>
  </si>
  <si>
    <t>SRS20882380</t>
  </si>
  <si>
    <t>SRR28490877</t>
  </si>
  <si>
    <t>PDT002124756.1</t>
  </si>
  <si>
    <t>2024-03-28T21:54:18Z</t>
  </si>
  <si>
    <t>DAXUPC000000000.1</t>
  </si>
  <si>
    <t>cvaB=COMPLETE,cvaC=COMPLETE,espX1=COMPLETE,fdeC=COMPLETE,iha=COMPLETE,ireA=COMPLETE,iroB=COMPLETE,iroC=COMPLETE,iroD=COMPLETE,iroE=COMPLETE,iroN=COMPLETE,iss=COMPLETE,iucA=COMPLETE,iucB=COMPLETE,iucC=COMPLETE,iucD=PARTIAL,iutA=COMPLETE,lpfA-O113=COMPLETE,lpfA=COMPLETE,mchB=COMPLETE,mchF=COMPLETE,stxA1=COMPLETE,stxA2=COMPLETE,stxB1=COMPLETE,stxB2=COMPLETE,subA=COMPLETE,subB=COMPLETE,ybtP=COMPLETE,ybtQ=COMPLETE</t>
  </si>
  <si>
    <t>DAXUPC</t>
  </si>
  <si>
    <t>CFIAFB20210042</t>
  </si>
  <si>
    <t>BUR-FI-2020-MI-01076</t>
  </si>
  <si>
    <t>2021-BUR-0024</t>
  </si>
  <si>
    <t>Stx2c_7_AARGXR010000011.1|Stx2d_100_2021-MIN-030</t>
  </si>
  <si>
    <t>aminoglycoside(aph(3'')-Ib (99.88%);aph(3')-Ia (99.88%);aph(6)-Id (100.0%));macrolide(mdf(A) (98.3%));quinolone(qnrS1 (100.0%));sulphonamide(sul2 (100.0%));tetracycline(tet(B) (100.0%));</t>
  </si>
  <si>
    <t>SAMN40646261</t>
  </si>
  <si>
    <t>GCA_042951225.2</t>
  </si>
  <si>
    <t>SRS20882411</t>
  </si>
  <si>
    <t>SRR28490845</t>
  </si>
  <si>
    <t>PDT002124724.2</t>
  </si>
  <si>
    <t>DAXUJL000000000.2</t>
  </si>
  <si>
    <t>aph(3'')-Ib=COMPLETE,aph(3')-Ia=COMPLETE,aph(6)-Id=COMPLETE,qnrS1=COMPLETE,sul2=COMPLETE,tet(B)=COMPLETE</t>
  </si>
  <si>
    <t>espX1=PARTIAL,fdeC=COMPLETE,iha=COMPLETE,lpfA-O113=COMPLETE,sslE=HMM,stx2_operon=PARTIAL_CONTIG_END,stx2c_operon=COMPLETE,stx2d_operon=COMPLETE,stxA2=COMPLETE,stxA2=PARTIAL_END_OF_CONTIG,stxB2=COMPLETE</t>
  </si>
  <si>
    <t>acrF=COMPLETE,aph(3'')-Ib=COMPLETE,aph(3')-Ia=COMPLETE,aph(6)-Id=COMPLETE,blaEC=COMPLETE,mdtM=COMPLETE,qnrS1=COMPLETE,sul2=COMPLETE,tet(B)=COMPLETE</t>
  </si>
  <si>
    <t>DAXUJL</t>
  </si>
  <si>
    <t>CFIAFB20210043</t>
  </si>
  <si>
    <t>CAL-FD-2020-MI-0977</t>
  </si>
  <si>
    <t>2020-CAL-0073</t>
  </si>
  <si>
    <t>Stx1c_25_2020-CAL-0073|Stx2b_110_ABJBRM010000291.1</t>
  </si>
  <si>
    <t>macrolide(mdf(A) (98.46%));tetracycline(tet(C) (99.83%));</t>
  </si>
  <si>
    <t>SAMN40646230</t>
  </si>
  <si>
    <t>GCA_042958685.1</t>
  </si>
  <si>
    <t>SRS20882378</t>
  </si>
  <si>
    <t>SRR28490879</t>
  </si>
  <si>
    <t>PDT002124758.1</t>
  </si>
  <si>
    <t>DAXUPB000000000.1</t>
  </si>
  <si>
    <t>ehxA=COMPLETE,fdeC=COMPLETE,iha=COMPLETE,ireA=COMPLETE,iss=COMPLETE,lpfA-O113=COMPLETE,lpfA=COMPLETE,mchB=COMPLETE,mchF=COMPLETE,stxA1=COMPLETE,stxA2=COMPLETE,stxA2=PARTIAL_END_OF_CONTIG,stxB1=COMPLETE,stxB2=COMPLETE,subA=COMPLETE,subB=COMPLETE,ybtP=COMPLETE,ybtQ=COMPLETE</t>
  </si>
  <si>
    <t>DAXUPB</t>
  </si>
  <si>
    <t>CFIAFB20210070</t>
  </si>
  <si>
    <t>DAR-FD-2020-MI-00860</t>
  </si>
  <si>
    <t>2021-DAR-0014</t>
  </si>
  <si>
    <t>terA (99.91%),terB (99.78%),terC (99.42%),terD (99.83%),terE 100.00%),terF (99.35%),terZ (99.83%)</t>
  </si>
  <si>
    <t>O5:H9</t>
  </si>
  <si>
    <t>Stx1a_15_M19473</t>
  </si>
  <si>
    <t>fosfomycin(fosA7 (94.09%));macrolide(mdf(A) (98.7%));</t>
  </si>
  <si>
    <t>SAMN40646301</t>
  </si>
  <si>
    <t>GCA_042955445.1</t>
  </si>
  <si>
    <t>SRS20882367</t>
  </si>
  <si>
    <t>SRR28490890</t>
  </si>
  <si>
    <t>PDT002124769.1</t>
  </si>
  <si>
    <t>2024-03-28T21:54:23Z</t>
  </si>
  <si>
    <t>DAXUNS000000000.1</t>
  </si>
  <si>
    <t>fosA7.5=COMPLETE,pmrB_Y358N=POINT</t>
  </si>
  <si>
    <t>cif=COMPLETE,eae=COMPLETE,efa1=COMPLETE,ehxA=COMPLETE,espA=COMPLETE,espB=COMPLETE,espF=PARTIAL_END_OF_CONTIG,espJ=COMPLETE,espJ=PARTIAL,espP=PARTIAL_END_OF_CONTIG,espX1=COMPLETE,fdeC=COMPLETE,iss=COMPLETE,lpfA-O113=COMPLETE,nleA=COMPLETE,nleB=COMPLETE,nleC=MISTRANSLATION,sslE=HMM,stxA1=COMPLETE,stxB1=COMPLETE,tir=COMPLETE</t>
  </si>
  <si>
    <t>acrF=PARTIAL,blaEC=COMPLETE,fosA7.5=COMPLETE,mdtM=COMPLETE,pmrB_Y358N=POINT</t>
  </si>
  <si>
    <t>DAXUNS</t>
  </si>
  <si>
    <t>OLF18056-2</t>
  </si>
  <si>
    <t>CFIAFB20180276</t>
  </si>
  <si>
    <t>CAL-FD-2018-MI-0030</t>
  </si>
  <si>
    <t>2018-SEQ-0097</t>
  </si>
  <si>
    <t>SAMN10989065</t>
  </si>
  <si>
    <t>GCA_026889555.1</t>
  </si>
  <si>
    <t>SRS16120101</t>
  </si>
  <si>
    <t>SRR22715078</t>
  </si>
  <si>
    <t>PDT001525373.1</t>
  </si>
  <si>
    <t>2022-12-13T22:41:54Z</t>
  </si>
  <si>
    <t>DAKZXD000000000.1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</si>
  <si>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stxA2c=COMPLETE,stxB2a=COMPLETE,tccP=PARTIAL_END_OF_CONTIG,tir=COMPLETE,toxB=PARTIAL_END_OF_CONTIG</t>
  </si>
  <si>
    <t>DAKZXD</t>
  </si>
  <si>
    <t>CFIAFB20210071</t>
  </si>
  <si>
    <t>DAR-FD-2020-MI-00872</t>
  </si>
  <si>
    <t>2021-DAR-0015</t>
  </si>
  <si>
    <t>SAMN40646233</t>
  </si>
  <si>
    <t>GCA_042950885.1</t>
  </si>
  <si>
    <t>SRS20882381</t>
  </si>
  <si>
    <t>SRR28490876</t>
  </si>
  <si>
    <t>PDT002124755.1</t>
  </si>
  <si>
    <t>DAXUIU000000000.1</t>
  </si>
  <si>
    <t>DAXUIU</t>
  </si>
  <si>
    <t>CFIAFB20210077</t>
  </si>
  <si>
    <t>DAR-FD-2020-MI-00944</t>
  </si>
  <si>
    <t>2021-DAR-0023</t>
  </si>
  <si>
    <t>SAMN40646268</t>
  </si>
  <si>
    <t>GCA_042949945.2</t>
  </si>
  <si>
    <t>SRS20882421</t>
  </si>
  <si>
    <t>SRR28490837</t>
  </si>
  <si>
    <t>PDT002124716.2</t>
  </si>
  <si>
    <t>DAXUGZ000000000.2</t>
  </si>
  <si>
    <t>cvaB=COMPLETE,cvaC=COMPLETE,fdeC=COMPLETE,iha=COMPLETE,ireA=COMPLETE,iroB=COMPLETE,iroC=COMPLETE,iroD=COMPLETE,iroE=COMPLETE,iroN=COMPLETE,iss=COMPLETE,iucA=COMPLETE,iucB=COMPLETE,iucC=COMPLETE,iucD=COMPLETE,iutA=COMPLETE,lpfA-O113=COMPLETE,lpfA=COMPLETE,mchB=COMPLETE,mchF=COMPLETE,stx1c_operon=COMPLETE,stx2_operon=PARTIAL_CONTIG_END,stx2b_operon=COMPLETE,stxA1=COMPLETE,stxA2=COMPLETE,stxB1=COMPLETE,stxB2=COMPLETE,subA=COMPLETE,subB=COMPLETE</t>
  </si>
  <si>
    <t>DAXUGZ</t>
  </si>
  <si>
    <t>CFIAFB20210078</t>
  </si>
  <si>
    <t>2021-DAR-0024</t>
  </si>
  <si>
    <t>terA (99.57%),terB (99.56%),terC (99.52%),terD (99.65%),terE 100.00%),terF (98.71%),terZ (99.66%)</t>
  </si>
  <si>
    <t>O9:H30</t>
  </si>
  <si>
    <t>SAMN40646270</t>
  </si>
  <si>
    <t>GCA_042949965.1</t>
  </si>
  <si>
    <t>SRS20882423</t>
  </si>
  <si>
    <t>SRR28490835</t>
  </si>
  <si>
    <t>PDT002124714.1</t>
  </si>
  <si>
    <t>DAXUHB000000000.1</t>
  </si>
  <si>
    <t>astA=COMPLETE,capU=COMPLETE,espX1=PARTIAL,fdeC=COMPLETE,mchB=COMPLETE,mchF=MISTRANSLATION,sslE=HMM,stxA2=COMPLETE,stxB2=COMPLETE</t>
  </si>
  <si>
    <t>DAXUHB</t>
  </si>
  <si>
    <t>CFIAFB20210082</t>
  </si>
  <si>
    <t>GTA-FD-2020-MI-01660</t>
  </si>
  <si>
    <t>2021-GTA-0023</t>
  </si>
  <si>
    <t>SAMN40646283</t>
  </si>
  <si>
    <t>GCA_042969375.1</t>
  </si>
  <si>
    <t>SRS20882436</t>
  </si>
  <si>
    <t>SRR28490821</t>
  </si>
  <si>
    <t>PDT002124700.1</t>
  </si>
  <si>
    <t>2024-03-28T21:53:55Z</t>
  </si>
  <si>
    <t>DAXVHC000000000.1</t>
  </si>
  <si>
    <t>fdeC=COMPLETE,katP=COMPLETE,lpfA-O113=COMPLETE,sslE=HMM,stxA1=COMPLETE,stxB1=COMPLETE</t>
  </si>
  <si>
    <t>DAXVHC</t>
  </si>
  <si>
    <t>OLF18057-1</t>
  </si>
  <si>
    <t>CFIAFB20180277</t>
  </si>
  <si>
    <t>CAL-FD-2018-MI-0075</t>
  </si>
  <si>
    <t>2018-SEQ-0225</t>
  </si>
  <si>
    <t>SAMN10989066</t>
  </si>
  <si>
    <t>GCA_026890115.1</t>
  </si>
  <si>
    <t>SRS16120064</t>
  </si>
  <si>
    <t>SRR22715115</t>
  </si>
  <si>
    <t>PDT001525410.1</t>
  </si>
  <si>
    <t>2022-12-13T22:41:59Z</t>
  </si>
  <si>
    <t>DAKZXX000000000.1</t>
  </si>
  <si>
    <t>DAKZXX</t>
  </si>
  <si>
    <t>OLF18057-2</t>
  </si>
  <si>
    <t>CFIAFB20180278</t>
  </si>
  <si>
    <t>CAL-FD-2018-MI-0076</t>
  </si>
  <si>
    <t>2018-SEQ-0226</t>
  </si>
  <si>
    <t>SAMN10989067</t>
  </si>
  <si>
    <t>GCA_026897775.1</t>
  </si>
  <si>
    <t>SRS16120074</t>
  </si>
  <si>
    <t>SRR22715104</t>
  </si>
  <si>
    <t>PDT001525399.1</t>
  </si>
  <si>
    <t>DALAIP000000000.1</t>
  </si>
  <si>
    <t>DALAIP</t>
  </si>
  <si>
    <t>CFIAFB20210083</t>
  </si>
  <si>
    <t>GTA-FD-2020-MI-01165</t>
  </si>
  <si>
    <t>2021-GTA-0018</t>
  </si>
  <si>
    <t>aminoglycoside(aph(3'')-Ib (99.88%);aph(6)-Id (100.0%));macrolide(mdf(A) (99.84%));phenicol(floR (98.02%));tetracycline(tet(B) (99.83%));</t>
  </si>
  <si>
    <t>SAMN40646306</t>
  </si>
  <si>
    <t>GCA_042955535.1</t>
  </si>
  <si>
    <t>SRS20882372</t>
  </si>
  <si>
    <t>SRR28490885</t>
  </si>
  <si>
    <t>PDT002124764.1</t>
  </si>
  <si>
    <t>DAXUNT000000000.1</t>
  </si>
  <si>
    <t>aph(3'')-Ib=COMPLETE,aph(6)-Id=COMPLETE,floR=COMPLETE,glpT_E448K=POINT,gyrA_D87Y=POINT,pmrB_Y358N=POINT,sul2=COMPLETE,sul2=PARTIAL_END_OF_CONTIG,tet(B)=COMPLETE</t>
  </si>
  <si>
    <t>espX1=PARTIAL_END_OF_CONTIG,fdeC=MISTRANSLATION,iha=COMPLETE,iss=COMPLETE,lpfA-O113=COMPLETE,lpfA=COMPLETE,sslE=HMM,stxA2=COMPLETE,stxB2=COMPLETE</t>
  </si>
  <si>
    <t>acrF=COMPLETE,aph(3'')-Ib=COMPLETE,aph(6)-Id=COMPLETE,blaEC=COMPLETE,floR=COMPLETE,glpT_E448K=POINT,gyrA_D87Y=POINT,mdtM=COMPLETE,pmrB_Y358N=POINT,sul2=COMPLETE,sul2=PARTIAL_END_OF_CONTIG,tet(B)=COMPLETE</t>
  </si>
  <si>
    <t>DAXUNT</t>
  </si>
  <si>
    <t>OLF18057-3</t>
  </si>
  <si>
    <t>CFIAFB20180279</t>
  </si>
  <si>
    <t>CAL-FD-2018-MI-0078</t>
  </si>
  <si>
    <t>2018-SEQ-0227</t>
  </si>
  <si>
    <t>SAMN10989068</t>
  </si>
  <si>
    <t>GCA_026889835.1</t>
  </si>
  <si>
    <t>SRS16120134</t>
  </si>
  <si>
    <t>SRR22715045</t>
  </si>
  <si>
    <t>PDT001525340.1</t>
  </si>
  <si>
    <t>2022-12-13T22:41:49Z</t>
  </si>
  <si>
    <t>DAKZXQ000000000.1</t>
  </si>
  <si>
    <t>eae=COMPLETE,ehxA=COMPLETE,espA=COMPLETE,espB=COMPLETE,espJ=COMPLETE,espK=COMPLETE,espP=COMPLETE,espX1=PARTIAL_END_OF_CONTIG,etpD=COMPLETE,fdeC=COMPLETE,iha=COMPLETE,katP=COMPLETE,lpfA1=COMPLETE,lpfA2=COMPLETE,nleA=COMPLETE,nleB2=COMPLETE,nleB=COMPLETE,nleC=COMPLETE,stxA2c=COMPLETE,stxB2a=COMPLETE,tccP=PARTIAL_END_OF_CONTIG,tir=COMPLETE,toxB=COMPLETE</t>
  </si>
  <si>
    <t>DAKZXQ</t>
  </si>
  <si>
    <t>CFIAFB20210085</t>
  </si>
  <si>
    <t>GTA-FD-2020-MI-01737</t>
  </si>
  <si>
    <t>2021-GTA-0024</t>
  </si>
  <si>
    <t>Stx2d_100_2021-MIN-030</t>
  </si>
  <si>
    <t>SAMN40646300</t>
  </si>
  <si>
    <t>GCA_042951165.1</t>
  </si>
  <si>
    <t>SRS20882407</t>
  </si>
  <si>
    <t>SRR28490850</t>
  </si>
  <si>
    <t>PDT002124729.1</t>
  </si>
  <si>
    <t>DAXUJH000000000.1</t>
  </si>
  <si>
    <t>iha=COMPLETE,lpfA-O113=COMPLETE,sslE=HMM,stxA2=COMPLETE,stxB2=COMPLETE</t>
  </si>
  <si>
    <t>DAXUJH</t>
  </si>
  <si>
    <t>OLF18057-4</t>
  </si>
  <si>
    <t>CFIAFB20180280</t>
  </si>
  <si>
    <t>CAL-FD-2018-MI-0079</t>
  </si>
  <si>
    <t>2018-SEQ-0228</t>
  </si>
  <si>
    <t>SAMN10989069</t>
  </si>
  <si>
    <t>GCA_026897535.1</t>
  </si>
  <si>
    <t>SRS16120047</t>
  </si>
  <si>
    <t>SRR22715132</t>
  </si>
  <si>
    <t>PDT001525427.1</t>
  </si>
  <si>
    <t>2022-12-13T22:42:02Z</t>
  </si>
  <si>
    <t>DALAID000000000.1</t>
  </si>
  <si>
    <t>eae=COMPLETE,ehxA=COMPLETE,espA=COMPLETE,espB=COMPLETE,espF=PARTIAL_END_OF_CONTIG,espJ=PARTIAL,espK=COMPLETE,espP=COMPLETE,espX1=COMPLETE,etpD=COMPLETE,fdeC=COMPLETE,iha=COMPLETE,katP=COMPLETE,lpfA1=COMPLETE,lpfA2=COMPLETE,nleA=COMPLETE,nleB2=COMPLETE,nleB=COMPLETE,nleC=COMPLETE,stxA2c=COMPLETE,stxB2a=COMPLETE,tccP=PARTIAL_END_OF_CONTIG,tir=COMPLETE,toxB=COMPLETE</t>
  </si>
  <si>
    <t>DALAID</t>
  </si>
  <si>
    <t>OLF18057-5</t>
  </si>
  <si>
    <t>CFIAFB20180281</t>
  </si>
  <si>
    <t>CAL-FD-2018-MI-0080</t>
  </si>
  <si>
    <t>2018-SEQ-0229</t>
  </si>
  <si>
    <t>SAMN10989070</t>
  </si>
  <si>
    <t>GCA_026889155.1</t>
  </si>
  <si>
    <t>SRS16120048</t>
  </si>
  <si>
    <t>SRR22715131</t>
  </si>
  <si>
    <t>PDT001525426.1</t>
  </si>
  <si>
    <t>DAKZWI000000000.1</t>
  </si>
  <si>
    <t>DAKZWI</t>
  </si>
  <si>
    <t>CFIAFB20210086</t>
  </si>
  <si>
    <t>GTA-FD-2020-MI-01490</t>
  </si>
  <si>
    <t>2021-GTA-0022</t>
  </si>
  <si>
    <t>O-untypeable:H14</t>
  </si>
  <si>
    <t>Stx1a_19_AAAAYL020000128.1|Stx2b_110_ABJBRM010000291.1</t>
  </si>
  <si>
    <t>SAMN40646249</t>
  </si>
  <si>
    <t>GCA_042955255.1</t>
  </si>
  <si>
    <t>SRS20882358</t>
  </si>
  <si>
    <t>SRR28490899</t>
  </si>
  <si>
    <t>PDT002124778.1</t>
  </si>
  <si>
    <t>DAXUNM000000000.1</t>
  </si>
  <si>
    <t>espI=COMPLETE,fdeC=COMPLETE,iha=COMPLETE,ireA=COMPLETE,iucA=COMPLETE,iucB=COMPLETE,iucC=COMPLETE,iucD=COMPLETE,iutA=COMPLETE,katP=COMPLETE,lpfA-O113=COMPLETE,lpfA=COMPLETE,mchB=COMPLETE,mchF=MISTRANSLATION,senB=COMPLETE,stxA1=COMPLETE,stxA2=COMPLETE,stxA2=PARTIAL_END_OF_CONTIG,stxB1=COMPLETE,stxB2=COMPLETE,subA=COMPLETE,subB=COMPLETE</t>
  </si>
  <si>
    <t>DAXUNM</t>
  </si>
  <si>
    <t>OLF18058-1</t>
  </si>
  <si>
    <t>CFIAFB20180282</t>
  </si>
  <si>
    <t>CAL-FD-2018-MI-0082</t>
  </si>
  <si>
    <t>2018-SEQ-0230</t>
  </si>
  <si>
    <t>SAMN10989071</t>
  </si>
  <si>
    <t>GCA_026897515.1</t>
  </si>
  <si>
    <t>SRS16120049</t>
  </si>
  <si>
    <t>SRR22715130</t>
  </si>
  <si>
    <t>PDT001525425.1</t>
  </si>
  <si>
    <t>DALAIF000000000.1</t>
  </si>
  <si>
    <t>DALAIF</t>
  </si>
  <si>
    <t>OLF18058-2</t>
  </si>
  <si>
    <t>CFIAFB20180283</t>
  </si>
  <si>
    <t>CAL-FD-2018-MI-0083</t>
  </si>
  <si>
    <t>2018-SEQ-0231</t>
  </si>
  <si>
    <t>SAMN10989072</t>
  </si>
  <si>
    <t>GCA_026888655.1</t>
  </si>
  <si>
    <t>SRS16120050</t>
  </si>
  <si>
    <t>SRR22715129</t>
  </si>
  <si>
    <t>PDT001525424.1</t>
  </si>
  <si>
    <t>DAKZVR000000000.1</t>
  </si>
  <si>
    <t>eae=COMPLETE,ehxA=COMPLETE,espA=COMPLETE,espB=COMPLETE,espJ=COMPLETE,espK=COMPLETE,espP=COMPLETE,espX1=COMPLETE,etpD=COMPLETE,fdeC=COMPLETE,iha=COMPLETE,katP=COMPLETE,lpfA1=COMPLETE,lpfA2=COMPLETE,nleA=COMPLETE,nleB2=COMPLETE,nleB=COMPLETE,nleC=COMPLETE,stxA2c=COMPLETE,stxB2a=COMPLETE,tccP=PARTIAL_END_OF_CONTIG,tir=COMPLETE,toxB=PARTIAL_END_OF_CONTIG</t>
  </si>
  <si>
    <t>DAKZVR</t>
  </si>
  <si>
    <t>CFIAFB20210105</t>
  </si>
  <si>
    <t>GTA-FD-2020-MI-01414</t>
  </si>
  <si>
    <t>2021-SEQ-0388</t>
  </si>
  <si>
    <t>vtx2b;vtx2c</t>
  </si>
  <si>
    <t>Stx2b_23_2020-SEQ-0005|Stx2c_152_JUBT01000110.1</t>
  </si>
  <si>
    <t>aminoglycoside(aadA5 (100.0%);aph(3'')-Ib (100.0%);aph(6)-Id (100.0%));beta-lactam(blaTEM (100.0%));macrolide(mdf(A) (98.86%));phenicol(floR (98.11%));sulphonamide(sul1 (100.0%);sul2 (100.0%));tetracycline(tet(A) (100.0%));trimethoprim(dfrA17 (100.0%));</t>
  </si>
  <si>
    <t>SAMN40646302</t>
  </si>
  <si>
    <t>GCA_042950815.2</t>
  </si>
  <si>
    <t>SRS20882368</t>
  </si>
  <si>
    <t>SRR28490889</t>
  </si>
  <si>
    <t>PDT002124768.2</t>
  </si>
  <si>
    <t>2024-03-28T21:54:22Z</t>
  </si>
  <si>
    <t>DAXUIQ000000000.2</t>
  </si>
  <si>
    <t>aadA5=COMPLETE,aph(3'')-Ib=COMPLETE,aph(6)-Id=COMPLETE,blaTEM-1=COMPLETE,blaTEM=COMPLETE,dfrA17=COMPLETE,floR=COMPLETE,sul1=COMPLETE,sul2=COMPLETE,tet(A)=COMPLETE,uhpT_E350Q=POINT</t>
  </si>
  <si>
    <t>fdeC=COMPLETE,iha=COMPLETE,ireA=COMPLETE,stx2_operon=PARTIAL_CONTIG_END,stx2b_operon=COMPLETE,stxA2=COMPLETE,stxA2=PARTIAL_END_OF_CONTIG,stxB2=COMPLETE</t>
  </si>
  <si>
    <t>arsD=COMPLETE,emrE=COMPLETE,qacEdelta1=COMPLETE</t>
  </si>
  <si>
    <t>aadA5=COMPLETE,acrF=COMPLETE,aph(3'')-Ib=COMPLETE,aph(6)-Id=COMPLETE,blaEC=COMPLETE,blaTEM-1=COMPLETE,blaTEM=COMPLETE,dfrA17=COMPLETE,emrD=COMPLETE,floR=COMPLETE,mdtM=COMPLETE,sul1=COMPLETE,sul2=COMPLETE,tet(A)=COMPLETE,uhpT_E350Q=POINT</t>
  </si>
  <si>
    <t>DAXUIQ</t>
  </si>
  <si>
    <t>CFIAFB20210118</t>
  </si>
  <si>
    <t>DAR-FD-2020-MI-00787</t>
  </si>
  <si>
    <t>2021-DAR-0007</t>
  </si>
  <si>
    <t>SAMN40646281</t>
  </si>
  <si>
    <t>GCA_042950085.1</t>
  </si>
  <si>
    <t>SRS20882434</t>
  </si>
  <si>
    <t>SRR28490823</t>
  </si>
  <si>
    <t>PDT002124702.1</t>
  </si>
  <si>
    <t>DAXUHH000000000.1</t>
  </si>
  <si>
    <t>DAXUHH</t>
  </si>
  <si>
    <t>OLC0984</t>
  </si>
  <si>
    <t>D3501 (likely)|CFIA-CA-124</t>
  </si>
  <si>
    <t>2014-SEQ-0097</t>
  </si>
  <si>
    <t>O22:H8</t>
  </si>
  <si>
    <t>O22 (98.06):H8 (100.0)</t>
  </si>
  <si>
    <t>Stx1c_12_Z36901|Stx2b_45_AJ313015</t>
  </si>
  <si>
    <t>SAMN04420135</t>
  </si>
  <si>
    <t>GCA_002133925.1</t>
  </si>
  <si>
    <t>SRR6061353</t>
  </si>
  <si>
    <t>OLC0985</t>
  </si>
  <si>
    <t>CFIA-CA-334</t>
  </si>
  <si>
    <t>2017-MER-0537</t>
  </si>
  <si>
    <t>terB-C (   96.98%)</t>
  </si>
  <si>
    <t>O145:H34</t>
  </si>
  <si>
    <t>O145 (99.84):H34 (98.9)</t>
  </si>
  <si>
    <t>eae;O145;VT2;VT2f;uidA</t>
  </si>
  <si>
    <t>vtx2f</t>
  </si>
  <si>
    <t>Stx2f_725_2021-MIN-0010</t>
  </si>
  <si>
    <t>SAMN04420136</t>
  </si>
  <si>
    <t>GCA_002133935.1</t>
  </si>
  <si>
    <t>SRR6061343</t>
  </si>
  <si>
    <t>OLF18058-3</t>
  </si>
  <si>
    <t>CFIAFB20180284</t>
  </si>
  <si>
    <t>CAL-FD-2018-MI-0084</t>
  </si>
  <si>
    <t>2018-SEQ-0232</t>
  </si>
  <si>
    <t>SAMN10989073</t>
  </si>
  <si>
    <t>GCA_026889275.1</t>
  </si>
  <si>
    <t>SRS16120051</t>
  </si>
  <si>
    <t>SRR22715128</t>
  </si>
  <si>
    <t>PDT001525423.1</t>
  </si>
  <si>
    <t>DAKZWK000000000.1</t>
  </si>
  <si>
    <t>DAKZWK</t>
  </si>
  <si>
    <t>OLF18058-4</t>
  </si>
  <si>
    <t>CFIAFB20180285</t>
  </si>
  <si>
    <t>CAL-FD-2018-MI-0086</t>
  </si>
  <si>
    <t>2018-SEQ-0233</t>
  </si>
  <si>
    <t>SAMN11030263</t>
  </si>
  <si>
    <t>GCA_026889715.1</t>
  </si>
  <si>
    <t>SRS16120121</t>
  </si>
  <si>
    <t>SRR22715058</t>
  </si>
  <si>
    <t>PDT001525353.1</t>
  </si>
  <si>
    <t>DAKZXM000000000.1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</si>
  <si>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PARTIAL_END_OF_CONTIG,nleB=COMPLETE,nleC=COMPLETE,stxA2c=COMPLETE,stxB2a=COMPLETE,tccP=PARTIAL_END_OF_CONTIG,tir=COMPLETE,toxB=COMPLETE</t>
  </si>
  <si>
    <t>DAKZXM</t>
  </si>
  <si>
    <t>OLF18070</t>
  </si>
  <si>
    <t>CFIAFB20180304</t>
  </si>
  <si>
    <t>BUR-FI-2018-MI-00188</t>
  </si>
  <si>
    <t>2018-SEQ-0375</t>
  </si>
  <si>
    <t>Ground beef/trim-Raw ground veal</t>
  </si>
  <si>
    <t>eae,O157,VT1,VT2,uidA</t>
  </si>
  <si>
    <t>vtx1a,vtx2c</t>
  </si>
  <si>
    <t>Stx1a_9_ABDJCK010000286.1|Stx2c_17_AB015057</t>
  </si>
  <si>
    <t>SAMN13334807</t>
  </si>
  <si>
    <t>GCA_027231585.1</t>
  </si>
  <si>
    <t>SRS16250843</t>
  </si>
  <si>
    <t>SRR22858707</t>
  </si>
  <si>
    <t>PDT001543044.1</t>
  </si>
  <si>
    <t>DALPBU000000000.1</t>
  </si>
  <si>
    <t>eae=COMPLETE,ehxA=COMPLETE,espA=COMPLETE,espB=COMPLETE,espJ=COMPLETE,espK=COMPLETE,espP=COMPLETE,espX1=PARTIAL_END_OF_CONTIG,etpD=COMPLETE,fdeC=COMPLETE,iha=COMPLETE,katP=COMPLETE,lpfA1=COMPLETE,lpfA2=COMPLETE,nleA=COMPLETE,nleB2=COMPLETE,nleB=COMPLETE,nleC=COMPLETE,nleC=MISTRANSLATION,stxA1a=COMPLETE,stxA1c=PARTIAL_END_OF_CONTIG,stxA2c=COMPLETE,stxB1a=COMPLETE,stxB2c=COMPLETE,tccP=COMPLETE,tir=COMPLETE,toxB=PARTIAL_END_OF_CONTIG</t>
  </si>
  <si>
    <t>DALPBU</t>
  </si>
  <si>
    <t>OLF18185-1</t>
  </si>
  <si>
    <t>CFIAFB20180410</t>
  </si>
  <si>
    <t>CAL-FD-2018-MI-0892</t>
  </si>
  <si>
    <t>2018-SEQ-1392</t>
  </si>
  <si>
    <t>Dairy-Cheese</t>
  </si>
  <si>
    <t>SAMN13334844</t>
  </si>
  <si>
    <t>GCA_027231385.1</t>
  </si>
  <si>
    <t>SRS16250814</t>
  </si>
  <si>
    <t>SRR22858736</t>
  </si>
  <si>
    <t>PDT001543073.1</t>
  </si>
  <si>
    <t>DALPBK000000000.1</t>
  </si>
  <si>
    <t>DALPBK</t>
  </si>
  <si>
    <t>OLC0988</t>
  </si>
  <si>
    <t>CFIA-CA-574</t>
  </si>
  <si>
    <t>2014-SEQ-0123</t>
  </si>
  <si>
    <t>O91:H21</t>
  </si>
  <si>
    <t>O91 (100.0):H21 (98.64)</t>
  </si>
  <si>
    <t>Stx2d_115_AEZQ02000009.1</t>
  </si>
  <si>
    <t>SAMN04420139</t>
  </si>
  <si>
    <t>GCA_002133505.1</t>
  </si>
  <si>
    <t>SRR6061339</t>
  </si>
  <si>
    <t>OLF18185-2</t>
  </si>
  <si>
    <t>CFIAFB20180411</t>
  </si>
  <si>
    <t>2018-SEQ-1328</t>
  </si>
  <si>
    <t>NO_11213338</t>
  </si>
  <si>
    <t>SAMN13334845</t>
  </si>
  <si>
    <t>GCA_027232285.1</t>
  </si>
  <si>
    <t>SRS16250813</t>
  </si>
  <si>
    <t>SRR22858737</t>
  </si>
  <si>
    <t>PDT001543074.1</t>
  </si>
  <si>
    <t>2022-12-22T05:39:44Z</t>
  </si>
  <si>
    <t>DALPCY000000000.1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</si>
  <si>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2c=COMPLETE,stxB2a=COMPLETE,tccP=PARTIAL_END_OF_CONTIG,tir=COMPLETE,toxB=PARTIAL_END_OF_CONTIG</t>
  </si>
  <si>
    <t>DALPCY</t>
  </si>
  <si>
    <t>OLC0989</t>
  </si>
  <si>
    <t>CFIA-CA-649</t>
  </si>
  <si>
    <t>2014-SEQ-0124</t>
  </si>
  <si>
    <t>2019-MIN-0085</t>
  </si>
  <si>
    <t>vtx2b;vtx2c;vtx2d</t>
  </si>
  <si>
    <t>Stx2b_114_2019-MIN-0085|Stx2c_724_2019-MIN-0085|Stx2d_115_FM998848</t>
  </si>
  <si>
    <t>SAMN04420140</t>
  </si>
  <si>
    <t>GCA_002134335.1</t>
  </si>
  <si>
    <t>SRR6061329</t>
  </si>
  <si>
    <t>OLC0990</t>
  </si>
  <si>
    <t>CFIA-CA-709</t>
  </si>
  <si>
    <t>2014-SEQ-0125</t>
  </si>
  <si>
    <t>O139:H1</t>
  </si>
  <si>
    <t>O139 (100.0):H1 (98.27)</t>
  </si>
  <si>
    <t>vtx2e</t>
  </si>
  <si>
    <t>Stx2e_25_M21534</t>
  </si>
  <si>
    <t>SAMN04420141</t>
  </si>
  <si>
    <t>GCA_002134325.1</t>
  </si>
  <si>
    <t>SRR6061330</t>
  </si>
  <si>
    <t>OLC0992</t>
  </si>
  <si>
    <t>CFIA-CA-902</t>
  </si>
  <si>
    <t>2014-SEQ-0127</t>
  </si>
  <si>
    <t>O154:H31</t>
  </si>
  <si>
    <t>- (-):H31 (99.04)</t>
  </si>
  <si>
    <t>vtx1d</t>
  </si>
  <si>
    <t>Stx1d_4_2021-MIN-0169</t>
  </si>
  <si>
    <t>SAMN04420143</t>
  </si>
  <si>
    <t>GCA_002133515.1</t>
  </si>
  <si>
    <t>SRR6061342</t>
  </si>
  <si>
    <t>OLC0993</t>
  </si>
  <si>
    <t>CFIA-CA-911</t>
  </si>
  <si>
    <t>2015-SEQ-1364</t>
  </si>
  <si>
    <t>terA (96.46%),terB (97.81%),terE (94.62%),terZ (95.53%)</t>
  </si>
  <si>
    <t>O146:H21</t>
  </si>
  <si>
    <t>O146 (100.0):H21 (98.64)ND</t>
  </si>
  <si>
    <t>vtx1c;vtx2a</t>
  </si>
  <si>
    <t>Stx1c_12_Z36901|Stx2a_1_AB030484</t>
  </si>
  <si>
    <t>SAMN04420144</t>
  </si>
  <si>
    <t>GCA_002133535.1</t>
  </si>
  <si>
    <t>SRR6061351</t>
  </si>
  <si>
    <t>OLC0994</t>
  </si>
  <si>
    <t>D2435</t>
  </si>
  <si>
    <t>2013-SEQ-0126</t>
  </si>
  <si>
    <t>terA (98.45%),terB (99.12%),terC (99.04%),terD (96.20%),terE (95.66%),terF (96.12%),terZ (98.11%)</t>
  </si>
  <si>
    <t>O48:H21</t>
  </si>
  <si>
    <t>O48 (99.91):H21 (98.64)</t>
  </si>
  <si>
    <t>VT1</t>
  </si>
  <si>
    <t>Stx1a_9_AJ279086|Stx2a_16_BFKR01000277.1</t>
  </si>
  <si>
    <t>SAMN04420129</t>
  </si>
  <si>
    <t>GCA_002133915.1</t>
  </si>
  <si>
    <t>SRR6061344</t>
  </si>
  <si>
    <t>OLC0995</t>
  </si>
  <si>
    <t>D2587</t>
  </si>
  <si>
    <t>2015-SEQ-0774</t>
  </si>
  <si>
    <t>SAMN04420167</t>
  </si>
  <si>
    <t>GCA_002134745.1</t>
  </si>
  <si>
    <t>SRR6061316</t>
  </si>
  <si>
    <t>OLC0997</t>
  </si>
  <si>
    <t>D3428</t>
  </si>
  <si>
    <t>2017-MER-0364</t>
  </si>
  <si>
    <t>O118:H12</t>
  </si>
  <si>
    <t>O118/O151;O151 (100.0):H12 (99.94)</t>
  </si>
  <si>
    <t>SAMN04420130</t>
  </si>
  <si>
    <t>GCA_002133445.1</t>
  </si>
  <si>
    <t>SRR6061326</t>
  </si>
  <si>
    <t>OLC0998</t>
  </si>
  <si>
    <t>D3435</t>
  </si>
  <si>
    <t>2013-SEQ-0128</t>
  </si>
  <si>
    <t>O17:H18</t>
  </si>
  <si>
    <t>O17/O44 (100.0):H18 (100.0)</t>
  </si>
  <si>
    <t>VT2</t>
  </si>
  <si>
    <t>SAMN04420131</t>
  </si>
  <si>
    <t>GCA_002133455.1</t>
  </si>
  <si>
    <t>SRR6061340</t>
  </si>
  <si>
    <t>OLC0999</t>
  </si>
  <si>
    <t>D3509</t>
  </si>
  <si>
    <t>2017-MER-0366</t>
  </si>
  <si>
    <t>O2:H25</t>
  </si>
  <si>
    <t>O2 (98.55):H25 (97.37)</t>
  </si>
  <si>
    <t>SAMN04420134</t>
  </si>
  <si>
    <t>GCA_002133425.1</t>
  </si>
  <si>
    <t>SRR6061338</t>
  </si>
  <si>
    <t>CFIAFB20200007</t>
  </si>
  <si>
    <t>CAL-FD-2019-MI-1278</t>
  </si>
  <si>
    <t>2019-SEQ-1242</t>
  </si>
  <si>
    <t>Raw meat | Veal</t>
  </si>
  <si>
    <t>SAMN40646291</t>
  </si>
  <si>
    <t>GCA_042968895.1</t>
  </si>
  <si>
    <t>SRS20882397</t>
  </si>
  <si>
    <t>SRR28490860</t>
  </si>
  <si>
    <t>PDT002124739.1</t>
  </si>
  <si>
    <t>DAXVGD000000000.1</t>
  </si>
  <si>
    <t>eae=COMPLETE,ehxA=COMPLETE,espA=COMPLETE,espB=COMPLETE,espF=PARTIAL_END_OF_CONTIG,espJ=COMPLETE,espK=COMPLETE,espP=COMPLETE,espX1=COMPLETE,etpD=COMPLETE,fdeC=COMPLETE,iha=COMPLETE,katP=COMPLETE,lpfA1=COMPLETE,lpfA2=COMPLETE,nleA=COMPLETE,nleB2=COMPLETE,nleB=COMPLETE,nleC=COMPLETE,nleC=PARTIAL,stxA1=COMPLETE,stxA2=COMPLETE,stxB1=COMPLETE,stxB2=COMPLETE,tccP=PARTIAL_END_OF_CONTIG,tir=COMPLETE,toxB=PARTIAL_END_OF_CONTIG</t>
  </si>
  <si>
    <t>DAXVGD</t>
  </si>
  <si>
    <t>CFIAFB20200113</t>
  </si>
  <si>
    <t>STH-FD-2020-MI-0031</t>
  </si>
  <si>
    <t>2020-SEQ-0075</t>
  </si>
  <si>
    <t>SAMN40646219</t>
  </si>
  <si>
    <t>GCA_042955075.1</t>
  </si>
  <si>
    <t>SRS20882350</t>
  </si>
  <si>
    <t>SRR28490907</t>
  </si>
  <si>
    <t>PDT002124786.1</t>
  </si>
  <si>
    <t>2024-03-28T21:54:33Z</t>
  </si>
  <si>
    <t>DAXUNF000000000.1</t>
  </si>
  <si>
    <t>eae=COMPLETE,ehxA=COMPLETE,espA=COMPLETE,espB=COMPLETE,espF=PARTIAL,espJ=COMPLETE,espK=COMPLETE,espP=COMPLETE,espX1=COMPLETE,etpD=COMPLETE,fdeC=COMPLETE,iha=COMPLETE,katP=COMPLETE,lpfA1=COMPLETE,lpfA2=COMPLETE,nleA=COMPLETE,nleB2=COMPLETE,nleB=COMPLETE,nleC=COMPLETE,stxA1=COMPLETE,stxA2=COMPLETE,stxB1=COMPLETE,stxB2=COMPLETE,tccP=PARTIAL_END_OF_CONTIG,tir=COMPLETE,toxB=PARTIAL_END_OF_CONTIG</t>
  </si>
  <si>
    <t>emrE=COMPLETE,merD=PARTIAL,terD=COMPLETE,terW=COMPLETE,terZ=COMPLETE</t>
  </si>
  <si>
    <t>DAXUNF</t>
  </si>
  <si>
    <t>CFIAFB20200114</t>
  </si>
  <si>
    <t>2020-SEQ-0076</t>
  </si>
  <si>
    <t>aminoglycoside(aph(3'')-Ib (100.0%);aph(6)-Id (100.0%));macrolide(mdf(A) (98.54%));phenicol(floR (98.02%));sulphonamide(sul2 (100.0%));tetracycline(tet(A) (100.0%));</t>
  </si>
  <si>
    <t>SAMN40646220</t>
  </si>
  <si>
    <t>GCA_042950925.2</t>
  </si>
  <si>
    <t>SRS20882386</t>
  </si>
  <si>
    <t>SRR28490871</t>
  </si>
  <si>
    <t>PDT002124750.2</t>
  </si>
  <si>
    <t>DAXUIV000000000.2</t>
  </si>
  <si>
    <t>aph(3'')-Ib=COMPLETE,aph(6)-Id=COMPLETE,floR=COMPLETE,sul2=COMPLETE,tet(A)=COMPLETE</t>
  </si>
  <si>
    <t>acrF=MISTRANSLATION,aph(3'')-Ib=COMPLETE,aph(6)-Id=COMPLETE,blaEC=COMPLETE,floR=COMPLETE,mdtM=COMPLETE,sul2=COMPLETE,tet(A)=COMPLETE</t>
  </si>
  <si>
    <t>DAXUIV</t>
  </si>
  <si>
    <t>PDS000144578.86</t>
  </si>
  <si>
    <t>CFIAFB20200148</t>
  </si>
  <si>
    <t>CAL-FD-2020-MI-0232</t>
  </si>
  <si>
    <t>2020-SEQ-0302</t>
  </si>
  <si>
    <t>aminoglycoside(aph(3'')-Ib (100.0%);aph(6)-Id (100.0%));macrolide(mdf(A) (98.54%));phenicol(floR (98.02%));sulphonamide(sul2 (100.0%));tetracycline(tet(A) (97.25%));</t>
  </si>
  <si>
    <t>SAMN40646221</t>
  </si>
  <si>
    <t>GCA_042955135.2</t>
  </si>
  <si>
    <t>SRS20882356</t>
  </si>
  <si>
    <t>SRR28490901</t>
  </si>
  <si>
    <t>PDT002124780.2</t>
  </si>
  <si>
    <t>DAXUNK000000000.2</t>
  </si>
  <si>
    <t>DAXUNK</t>
  </si>
  <si>
    <t>OLC2135</t>
  </si>
  <si>
    <t>CA_CFIA_3126</t>
  </si>
  <si>
    <t>2014-SEQ-1343</t>
  </si>
  <si>
    <t>SAMN04420157</t>
  </si>
  <si>
    <t>GCA_002134065.1</t>
  </si>
  <si>
    <t>SRR6061361</t>
  </si>
  <si>
    <t>OLC1000</t>
  </si>
  <si>
    <t>D3522</t>
  </si>
  <si>
    <t>2013-SEQ-0125</t>
  </si>
  <si>
    <t>O8 (99.59):H19 (98.58)</t>
  </si>
  <si>
    <t>Stx1d_4_AY170851</t>
  </si>
  <si>
    <t>SAMN04420128</t>
  </si>
  <si>
    <t>GCA_002133855.1</t>
  </si>
  <si>
    <t>SRR6061346</t>
  </si>
  <si>
    <t>OLC1001</t>
  </si>
  <si>
    <t>D3546</t>
  </si>
  <si>
    <t>2013-SEQ-0130</t>
  </si>
  <si>
    <t>eae;VT2f</t>
  </si>
  <si>
    <t>Stx2f_89_AJ010730</t>
  </si>
  <si>
    <t>SAMN04420133</t>
  </si>
  <si>
    <t>GCA_002134275.1</t>
  </si>
  <si>
    <t>SRR6061328</t>
  </si>
  <si>
    <t>OLC1002</t>
  </si>
  <si>
    <t>D3602</t>
  </si>
  <si>
    <t>2013-SEQ-0124</t>
  </si>
  <si>
    <t>O174:H8</t>
  </si>
  <si>
    <t>O174 (98.25):H8 (100.0)</t>
  </si>
  <si>
    <t>VT1(cc);VT2(cc)</t>
  </si>
  <si>
    <t>SAMN04420127</t>
  </si>
  <si>
    <t>GCA_002133835.1</t>
  </si>
  <si>
    <t>SRR6061348</t>
  </si>
  <si>
    <t>OLC1003</t>
  </si>
  <si>
    <t>D3648</t>
  </si>
  <si>
    <t>2013-SEQ-0129</t>
  </si>
  <si>
    <t>VT2(cc)</t>
  </si>
  <si>
    <t>SAMN04420132</t>
  </si>
  <si>
    <t>GCA_002133905.1</t>
  </si>
  <si>
    <t>SRR6061345</t>
  </si>
  <si>
    <t>OLC1060</t>
  </si>
  <si>
    <t>D4134</t>
  </si>
  <si>
    <t>2015-SEQ-0035</t>
  </si>
  <si>
    <t>2021-MIN-0016</t>
  </si>
  <si>
    <t>OUT:H15</t>
  </si>
  <si>
    <t>O166 (99.6):H15 (100.0)ND</t>
  </si>
  <si>
    <t>SAMN04420166</t>
  </si>
  <si>
    <t>GCA_002134465.1</t>
  </si>
  <si>
    <t>SRR6061364</t>
  </si>
  <si>
    <t>OLC1061</t>
  </si>
  <si>
    <t>CA_CFIA_0424</t>
  </si>
  <si>
    <t>2014-SEQ-0253</t>
  </si>
  <si>
    <t>O128ac;O128ab (100.0):H2 (100.0)</t>
  </si>
  <si>
    <t>SAMN04420150</t>
  </si>
  <si>
    <t>GCA_002134035.1</t>
  </si>
  <si>
    <t>SRR6061360</t>
  </si>
  <si>
    <t>OLC1062</t>
  </si>
  <si>
    <t>CA_CFIA_0737</t>
  </si>
  <si>
    <t>2014-SEQ-0254</t>
  </si>
  <si>
    <t>O103:H2</t>
  </si>
  <si>
    <t>O103 (100.0):H2 (100.0)</t>
  </si>
  <si>
    <t>eae;VT1;uidA</t>
  </si>
  <si>
    <t>SAMN04420151</t>
  </si>
  <si>
    <t>GCA_002134405.1</t>
  </si>
  <si>
    <t>SRR6061369</t>
  </si>
  <si>
    <t>OLC1063</t>
  </si>
  <si>
    <t>CA_CFIA_0833</t>
  </si>
  <si>
    <t>2015-SEQ-1163</t>
  </si>
  <si>
    <t>2021-MIN-0246</t>
  </si>
  <si>
    <t>OUT:H26</t>
  </si>
  <si>
    <t>O-untypeable:H26 (98.45)ND</t>
  </si>
  <si>
    <t>SAMN04420188</t>
  </si>
  <si>
    <t>GCA_002134645.1</t>
  </si>
  <si>
    <t>SRR6061320</t>
  </si>
  <si>
    <t>OLC1064</t>
  </si>
  <si>
    <t>CA_CFIA_1127</t>
  </si>
  <si>
    <t>2014-SEQ-0256</t>
  </si>
  <si>
    <t>terA 100.00%),terB 100.00%),terC 100.00%),terD 100.00%),terE 100.00%),terF (99.68%),terZ 100.00%)</t>
  </si>
  <si>
    <t>O111:H8</t>
  </si>
  <si>
    <t>O111 (100.0):H8 (100.0)</t>
  </si>
  <si>
    <t>eae;O111;VT1;uidA</t>
  </si>
  <si>
    <t>Stx1a_9_AB035142</t>
  </si>
  <si>
    <t>SAMN04420152</t>
  </si>
  <si>
    <t>GCA_002133615.1</t>
  </si>
  <si>
    <t>SRR6061323</t>
  </si>
  <si>
    <t>OLC1065</t>
  </si>
  <si>
    <t>CA_CFIA_1377</t>
  </si>
  <si>
    <t>2015-SEQ-1164</t>
  </si>
  <si>
    <t>Stx2d_134_JAOWPC010000001.1</t>
  </si>
  <si>
    <t>SAMN04420189</t>
  </si>
  <si>
    <t>GCA_002134235.1</t>
  </si>
  <si>
    <t>SRR6061334</t>
  </si>
  <si>
    <t>OLC1066</t>
  </si>
  <si>
    <t>CA_CFIA_1399</t>
  </si>
  <si>
    <t>2014-SEQ-0132</t>
  </si>
  <si>
    <t>O124:H30</t>
  </si>
  <si>
    <t>O124 (100.0):H30 (100.0)</t>
  </si>
  <si>
    <t>uidA</t>
  </si>
  <si>
    <t>SAMN04420145</t>
  </si>
  <si>
    <t>GCA_002133525.1</t>
  </si>
  <si>
    <t>SRR6061341</t>
  </si>
  <si>
    <t>OLC1067</t>
  </si>
  <si>
    <t>CA_CFIA_1489</t>
  </si>
  <si>
    <t>2014-SEQ-0257</t>
  </si>
  <si>
    <t>terA 100.00%),terB 100.00%),terC (99.90%),terD 100.00%),terE 100.00%),terF (99.35%),terZ 100.00%)</t>
  </si>
  <si>
    <t>O26:H11</t>
  </si>
  <si>
    <t>O26 (100.0):H11 (99.39)</t>
  </si>
  <si>
    <t>eae;O26;VT2;uidA</t>
  </si>
  <si>
    <t>SAMN04420153</t>
  </si>
  <si>
    <t>GCA_002133605.1</t>
  </si>
  <si>
    <t>SRR6061373</t>
  </si>
  <si>
    <t>OLC1069</t>
  </si>
  <si>
    <t>CA_CFIA_2088</t>
  </si>
  <si>
    <t>2015-SEQ-1165</t>
  </si>
  <si>
    <t>terA 100.00%),terB 100.00%),terC (99.90%),terD 100.00%),terE 100.00%),terF (99.68%),terZ 100.00%)</t>
  </si>
  <si>
    <t>O121 (100.0):H19 (98.31)ND</t>
  </si>
  <si>
    <t>eae;O121;VT2;uidA</t>
  </si>
  <si>
    <t>SAMN04420190</t>
  </si>
  <si>
    <t>GCA_002134685.1</t>
  </si>
  <si>
    <t>SRR6061317</t>
  </si>
  <si>
    <t>OLC1071</t>
  </si>
  <si>
    <t>CA_CFIA_2183</t>
  </si>
  <si>
    <t>2015-SEQ-1167</t>
  </si>
  <si>
    <t>O78:H11</t>
  </si>
  <si>
    <t>O78 (99.93):H11 (99.45)ND</t>
  </si>
  <si>
    <t>SAMN04420192</t>
  </si>
  <si>
    <t>GCA_002134265.1</t>
  </si>
  <si>
    <t>SRR6061333</t>
  </si>
  <si>
    <t>OLC1072</t>
  </si>
  <si>
    <t>CA_CFIA_2295</t>
  </si>
  <si>
    <t>2014-SEQ-0190</t>
  </si>
  <si>
    <t>terA (99.83%),terB (99.78%),terC (99.81%),terD 100.00%),terE (99.83%),terF (99.35%),terZ 100.00%)</t>
  </si>
  <si>
    <t>O104:H4</t>
  </si>
  <si>
    <t>O104 (100.0):H4 (100.0)</t>
  </si>
  <si>
    <t>aggR;uidA</t>
  </si>
  <si>
    <t>SAMN04420146</t>
  </si>
  <si>
    <t>GCA_002134345.1</t>
  </si>
  <si>
    <t>SRR6061374</t>
  </si>
  <si>
    <t>OLC1073</t>
  </si>
  <si>
    <t>CA_CFIA_2332</t>
  </si>
  <si>
    <t>2014-SEQ-0191</t>
  </si>
  <si>
    <t>O166:H15</t>
  </si>
  <si>
    <t>O166 (99.6):H15 (100.0)</t>
  </si>
  <si>
    <t>SAMN04420147</t>
  </si>
  <si>
    <t>GCA_002133585.1</t>
  </si>
  <si>
    <t>SRR6061352</t>
  </si>
  <si>
    <t>OLC1074</t>
  </si>
  <si>
    <t>CA_CFIA_2682</t>
  </si>
  <si>
    <t>2015-SEQ-1168</t>
  </si>
  <si>
    <t>terA (99.91%),terB (99.56%),terC (99.42%),terD (99.83%),terE 100.00%),terF (99.35%),terZ 100.00%)</t>
  </si>
  <si>
    <t>O177:H25</t>
  </si>
  <si>
    <t>O177 (100.0):H25 (96.7)ND</t>
  </si>
  <si>
    <t>eae;uidA</t>
  </si>
  <si>
    <t>SAMN04420148</t>
  </si>
  <si>
    <t>GCA_002134005.1</t>
  </si>
  <si>
    <t>SRR6061363</t>
  </si>
  <si>
    <t>OLC1075</t>
  </si>
  <si>
    <t>CA_CFIA_2940</t>
  </si>
  <si>
    <t>2017-MER-0191</t>
  </si>
  <si>
    <t>SAMN04420149</t>
  </si>
  <si>
    <t>GCA_002133595.1</t>
  </si>
  <si>
    <t>SRR6061372</t>
  </si>
  <si>
    <t>OLC1076</t>
  </si>
  <si>
    <t>CFIAFB20130349</t>
  </si>
  <si>
    <t>BUR-FI-2013-MI-00222</t>
  </si>
  <si>
    <t>2013-SEQ-0045</t>
  </si>
  <si>
    <t>SPROUTED SEEDS: alfalfa</t>
  </si>
  <si>
    <t>OUT:H18</t>
  </si>
  <si>
    <t>Stx1a_18_BGES01000098.1|Stx2a_16_FM998858</t>
  </si>
  <si>
    <t>SAMN13334359</t>
  </si>
  <si>
    <t>GCA_027228665.1</t>
  </si>
  <si>
    <t>SRS16250923</t>
  </si>
  <si>
    <t>SRR22858767</t>
  </si>
  <si>
    <t>PDT001543104.1</t>
  </si>
  <si>
    <t>DALOXJ000000000.1</t>
  </si>
  <si>
    <t>ehxA=COMPLETE,espP=COMPLETE,fdeC=COMPLETE,iha=COMPLETE,iss=COMPLETE,lpfA=COMPLETE,mchF=COMPLETE,sinH=HMM,sslE=HMM,stxA1a=COMPLETE,stxA2a=COMPLETE,stxB1a=COMPLETE,stxB2a=COMPLETE,subA=COMPLETE,subB=COMPLETE</t>
  </si>
  <si>
    <t>DALOXJ</t>
  </si>
  <si>
    <t>PDS000129669.1</t>
  </si>
  <si>
    <t>OLC1077</t>
  </si>
  <si>
    <t>CFIAFB20130338</t>
  </si>
  <si>
    <t>2013-SEQ-0046</t>
  </si>
  <si>
    <t>- (-):H18 (98.38)</t>
  </si>
  <si>
    <t>SAMN13334348</t>
  </si>
  <si>
    <t>GCA_027232945.1</t>
  </si>
  <si>
    <t>SRS16250968</t>
  </si>
  <si>
    <t>SRR22858863</t>
  </si>
  <si>
    <t>PDT001543200.1</t>
  </si>
  <si>
    <t>DALPEI000000000.1</t>
  </si>
  <si>
    <t>DALPEI</t>
  </si>
  <si>
    <t>OLC1059</t>
  </si>
  <si>
    <t>D3431</t>
  </si>
  <si>
    <t>2015-SEQ-0034</t>
  </si>
  <si>
    <t>SAMN04420165</t>
  </si>
  <si>
    <t>GCA_002134445.1</t>
  </si>
  <si>
    <t>SRR6061370</t>
  </si>
  <si>
    <t>OLC1078</t>
  </si>
  <si>
    <t>CFIAFB20130339</t>
  </si>
  <si>
    <t>2013-SEQ-0047</t>
  </si>
  <si>
    <t>SAMN13334349</t>
  </si>
  <si>
    <t>GCA_027231065.1</t>
  </si>
  <si>
    <t>SRS16250957</t>
  </si>
  <si>
    <t>SRR22858874</t>
  </si>
  <si>
    <t>PDT001543211.1</t>
  </si>
  <si>
    <t>DALPAT000000000.1</t>
  </si>
  <si>
    <t>ehxA=COMPLETE,espP=COMPLETE,fdeC=COMPLETE,iha=COMPLETE,iss=COMPLETE,lpfA=COMPLETE,mchF=COMPLETE,sinH=HMM,sslE=HMM,stxA1a=COMPLETE,stxA1a=PARTIAL_END_OF_CONTIG,stxA2a=COMPLETE,stxB1a=COMPLETE,stxB2a=COMPLETE,subA=COMPLETE,subB=COMPLETE</t>
  </si>
  <si>
    <t>DALPAT</t>
  </si>
  <si>
    <t>OLC1079</t>
  </si>
  <si>
    <t>CFIAFB20130340</t>
  </si>
  <si>
    <t>2013-SEQ-0048</t>
  </si>
  <si>
    <t>SAMN13334350</t>
  </si>
  <si>
    <t>GCA_027234545.1</t>
  </si>
  <si>
    <t>SRS16250941</t>
  </si>
  <si>
    <t>SRR22858890</t>
  </si>
  <si>
    <t>PDT001543227.1</t>
  </si>
  <si>
    <t>DALPHH000000000.1</t>
  </si>
  <si>
    <t>DALPHH</t>
  </si>
  <si>
    <t>OLC1242</t>
  </si>
  <si>
    <t>CFIAFB20130337</t>
  </si>
  <si>
    <t>BUR-FI-2013-M1-01061</t>
  </si>
  <si>
    <t>2016-SEQ-0254</t>
  </si>
  <si>
    <t>SPROUTED SEEDS: broccoli</t>
  </si>
  <si>
    <t>SAMN13334347</t>
  </si>
  <si>
    <t>GCA_027231205.1</t>
  </si>
  <si>
    <t>SRS16250979</t>
  </si>
  <si>
    <t>SRR22858852</t>
  </si>
  <si>
    <t>PDT001543189.1</t>
  </si>
  <si>
    <t>DALPAY000000000.1</t>
  </si>
  <si>
    <t>espX1=COMPLETE,fdeC=COMPLETE,iha=COMPLETE,iss=COMPLETE,lpfA=COMPLETE,sslE=HMM,stxA2c=COMPLETE,stxB2c=COMPLETE</t>
  </si>
  <si>
    <t>DALPAY</t>
  </si>
  <si>
    <t>OLC1243</t>
  </si>
  <si>
    <t>CFIAFB20130336</t>
  </si>
  <si>
    <t>BUR-FI-2013-M1-00910</t>
  </si>
  <si>
    <t>2016-SEQ-0255</t>
  </si>
  <si>
    <t>O168:H8</t>
  </si>
  <si>
    <t>O168 (100.0):H8 (100.0)</t>
  </si>
  <si>
    <t>SAMN13334346</t>
  </si>
  <si>
    <t>GCA_027230425.1</t>
  </si>
  <si>
    <t>SRS16250990</t>
  </si>
  <si>
    <t>SRR22858841</t>
  </si>
  <si>
    <t>PDT001543178.1</t>
  </si>
  <si>
    <t>DALOZP000000000.1</t>
  </si>
  <si>
    <t>astA=COMPLETE,ehxA=COMPLETE,espX1=COMPLETE,fdeC=COMPLETE,lpfA=COMPLETE,sslE=HMM,sta1=COMPLETE,stxA2c=COMPLETE,stxB2a=COMPLETE</t>
  </si>
  <si>
    <t>DALOZP</t>
  </si>
  <si>
    <t>PDS000129695.1</t>
  </si>
  <si>
    <t>OLC1244</t>
  </si>
  <si>
    <t>CFIAFB20130341</t>
  </si>
  <si>
    <t>BUR-FI-2013-MI-00903</t>
  </si>
  <si>
    <t>2016-SEQ-1059</t>
  </si>
  <si>
    <t>O168 (100.0):H8 (100.0)ND</t>
  </si>
  <si>
    <t>SAMN13334351</t>
  </si>
  <si>
    <t>GCA_027230145.1</t>
  </si>
  <si>
    <t>SRS16250930</t>
  </si>
  <si>
    <t>SRR22858901</t>
  </si>
  <si>
    <t>PDT001543238.1</t>
  </si>
  <si>
    <t>DALOZB000000000.1</t>
  </si>
  <si>
    <t>DALOZB</t>
  </si>
  <si>
    <t>OLC1250</t>
  </si>
  <si>
    <t>CA_CFIA_3088</t>
  </si>
  <si>
    <t>2015-SEQ-1143</t>
  </si>
  <si>
    <t>O111 (100.0):H8 (100.0)ND</t>
  </si>
  <si>
    <t>SAMN04420168</t>
  </si>
  <si>
    <t>GCA_002133695.1</t>
  </si>
  <si>
    <t>SRR6061378</t>
  </si>
  <si>
    <t>OLC1251</t>
  </si>
  <si>
    <t>CA_CFIA_3092</t>
  </si>
  <si>
    <t>2015-SEQ-1144</t>
  </si>
  <si>
    <t>OUT:H14</t>
  </si>
  <si>
    <t>O91 (99.92):H14 (98.85)ND</t>
  </si>
  <si>
    <t>Stx2b_117_2022-MIN-0004</t>
  </si>
  <si>
    <t>SAMN04420169</t>
  </si>
  <si>
    <t>GCA_002134455.1</t>
  </si>
  <si>
    <t>SRR6061371</t>
  </si>
  <si>
    <t>OLC1252</t>
  </si>
  <si>
    <t>CA_CFIA_3203</t>
  </si>
  <si>
    <t>2015-SEQ-1145</t>
  </si>
  <si>
    <t>SAMN04420170</t>
  </si>
  <si>
    <t>GCA_002134175.1</t>
  </si>
  <si>
    <t>SRR6061324</t>
  </si>
  <si>
    <t>OLC1254</t>
  </si>
  <si>
    <t>CA_CFIA_3512</t>
  </si>
  <si>
    <t>2015-SEQ-1147</t>
  </si>
  <si>
    <t>SAMN04420172</t>
  </si>
  <si>
    <t>GCA_002134515.1</t>
  </si>
  <si>
    <t>SRR6061366</t>
  </si>
  <si>
    <t>OLC1255</t>
  </si>
  <si>
    <t>CA_CFIA_3581</t>
  </si>
  <si>
    <t>2015-SEQ-1148</t>
  </si>
  <si>
    <t>SAMN04420173</t>
  </si>
  <si>
    <t>GCA_002133755.1</t>
  </si>
  <si>
    <t>SRR6061336</t>
  </si>
  <si>
    <t>OLC1262</t>
  </si>
  <si>
    <t>D3492</t>
  </si>
  <si>
    <t>2015-SEQ-1155</t>
  </si>
  <si>
    <t>SAMN04420180</t>
  </si>
  <si>
    <t>GCA_002134585.1</t>
  </si>
  <si>
    <t>SRR6061321</t>
  </si>
  <si>
    <t>OLC1256</t>
  </si>
  <si>
    <t>CA_CFIA_3600</t>
  </si>
  <si>
    <t>2015-SEQ-1149</t>
  </si>
  <si>
    <t>OUT:H7</t>
  </si>
  <si>
    <t>O55 (100.0):H7 (100.0)</t>
  </si>
  <si>
    <t>SAMN04420174</t>
  </si>
  <si>
    <t>GCA_002134525.1</t>
  </si>
  <si>
    <t>SRR6061367</t>
  </si>
  <si>
    <t>OLC1257</t>
  </si>
  <si>
    <t>CA_CFIA_3850</t>
  </si>
  <si>
    <t>2015-SEQ-1150</t>
  </si>
  <si>
    <t>terA 100.00%),terB 100.00%),terC (99.90%),terD 100.00%),terE 100.00%),terF (99.35%),terZ (99.83%)</t>
  </si>
  <si>
    <t>eae;O26;VT1;uidA</t>
  </si>
  <si>
    <t>SAMN04420175</t>
  </si>
  <si>
    <t>GCA_002133745.1</t>
  </si>
  <si>
    <t>SRR6061379</t>
  </si>
  <si>
    <t>OLC1258</t>
  </si>
  <si>
    <t>CA_CFIA_3900</t>
  </si>
  <si>
    <t>2015-SEQ-1151</t>
  </si>
  <si>
    <t>SAMN04420176</t>
  </si>
  <si>
    <t>GCA_002134725.1</t>
  </si>
  <si>
    <t>SRR6061315</t>
  </si>
  <si>
    <t>OLC1259</t>
  </si>
  <si>
    <t>CA_CFIA_3948</t>
  </si>
  <si>
    <t>2015-SEQ-1152</t>
  </si>
  <si>
    <t>O78:H2</t>
  </si>
  <si>
    <t>O78 (100.0):H2 (99.2)</t>
  </si>
  <si>
    <t>SAMN04420177</t>
  </si>
  <si>
    <t>GCA_002133765.1</t>
  </si>
  <si>
    <t>SRR6061335</t>
  </si>
  <si>
    <t>OLC1260</t>
  </si>
  <si>
    <t>D3639</t>
  </si>
  <si>
    <t>2015-SEQ-1153</t>
  </si>
  <si>
    <t>SAMN04420178</t>
  </si>
  <si>
    <t>GCA_002134565.1</t>
  </si>
  <si>
    <t>SRR6061313</t>
  </si>
  <si>
    <t>OLC1263</t>
  </si>
  <si>
    <t>D3490</t>
  </si>
  <si>
    <t>2015-SEQ-1156</t>
  </si>
  <si>
    <t>OUT:H11</t>
  </si>
  <si>
    <t>SAMN04420181</t>
  </si>
  <si>
    <t>GCA_002134625.1</t>
  </si>
  <si>
    <t>SRR6061322</t>
  </si>
  <si>
    <t>OLC1265</t>
  </si>
  <si>
    <t>D3519</t>
  </si>
  <si>
    <t>2015-SEQ-1158</t>
  </si>
  <si>
    <t>SAMN04420183</t>
  </si>
  <si>
    <t>GCA_002134635.1</t>
  </si>
  <si>
    <t>SRR6061319</t>
  </si>
  <si>
    <t>OLC1266</t>
  </si>
  <si>
    <t>D3501</t>
  </si>
  <si>
    <t>2015-SEQ-1159</t>
  </si>
  <si>
    <t>SAMN04420184</t>
  </si>
  <si>
    <t>GCA_002133825.1</t>
  </si>
  <si>
    <t>SRR6061349</t>
  </si>
  <si>
    <t>OLC1267</t>
  </si>
  <si>
    <t>D3503</t>
  </si>
  <si>
    <t>2015-SEQ-1160</t>
  </si>
  <si>
    <t>O8:H10</t>
  </si>
  <si>
    <t>O8 (99.5):H10 (99.84)</t>
  </si>
  <si>
    <t>Stx2e_36_AJ313016</t>
  </si>
  <si>
    <t>SAMN04420185</t>
  </si>
  <si>
    <t>GCA_002134205.1</t>
  </si>
  <si>
    <t>SRR6061332</t>
  </si>
  <si>
    <t>OLC1264</t>
  </si>
  <si>
    <t>D2244</t>
  </si>
  <si>
    <t>2015-SEQ-1157</t>
  </si>
  <si>
    <t>Stx2c_7_NKPR01000091.1</t>
  </si>
  <si>
    <t>SAMN04420182</t>
  </si>
  <si>
    <t>GCA_002133775.1</t>
  </si>
  <si>
    <t>SRR6061350</t>
  </si>
  <si>
    <t>OLC0986</t>
  </si>
  <si>
    <t>CFIA-CA-515</t>
  </si>
  <si>
    <t>2014-SEQ-0121</t>
  </si>
  <si>
    <t>SAMN04420137</t>
  </si>
  <si>
    <t>GCA_002134285.1</t>
  </si>
  <si>
    <t>SRR6061327</t>
  </si>
  <si>
    <t>OLC1253</t>
  </si>
  <si>
    <t>CA_CFIA_3353</t>
  </si>
  <si>
    <t>2015-SEQ-1146</t>
  </si>
  <si>
    <t>SAMN04420171</t>
  </si>
  <si>
    <t>GCA_002134505.1</t>
  </si>
  <si>
    <t>SRR6061365</t>
  </si>
  <si>
    <t>OLC2134</t>
  </si>
  <si>
    <t>CA_CFIA_3100</t>
  </si>
  <si>
    <t>2014-SEQ-1342</t>
  </si>
  <si>
    <t>SAMN04420156</t>
  </si>
  <si>
    <t>GCA_002134105.1</t>
  </si>
  <si>
    <t>SRR6061356</t>
  </si>
  <si>
    <t>OLC1268</t>
  </si>
  <si>
    <t>D3510</t>
  </si>
  <si>
    <t>2015-SEQ-1161</t>
  </si>
  <si>
    <t>eae;VT2;VT2f;uidA</t>
  </si>
  <si>
    <t>Stx2f_90_M29153</t>
  </si>
  <si>
    <t>SAMN04420186</t>
  </si>
  <si>
    <t>GCA_002133845.1</t>
  </si>
  <si>
    <t>SRR6061347</t>
  </si>
  <si>
    <t>OLC1269</t>
  </si>
  <si>
    <t>D3730</t>
  </si>
  <si>
    <t>2015-SEQ-1162</t>
  </si>
  <si>
    <t>2022-MIN-0044</t>
  </si>
  <si>
    <t>Stx2g_39_GCA_017172955.1</t>
  </si>
  <si>
    <t>SAMN04420187</t>
  </si>
  <si>
    <t>GCA_002134215.1</t>
  </si>
  <si>
    <t>SRR6061331</t>
  </si>
  <si>
    <t>OLC1534</t>
  </si>
  <si>
    <t>CFIAFB20130342</t>
  </si>
  <si>
    <t>BUR-FI-2014-MI-00177</t>
  </si>
  <si>
    <t>2014-SEQ-0246</t>
  </si>
  <si>
    <t>O185:H7</t>
  </si>
  <si>
    <t>O185 (98.91):H7 (100.0)</t>
  </si>
  <si>
    <t>Stx2c_106_FM998860</t>
  </si>
  <si>
    <t>SAMN13334352</t>
  </si>
  <si>
    <t>GCA_027234505.1</t>
  </si>
  <si>
    <t>SRS16250929</t>
  </si>
  <si>
    <t>SRR22858902</t>
  </si>
  <si>
    <t>PDT001543239.1</t>
  </si>
  <si>
    <t>DALPHF000000000.1</t>
  </si>
  <si>
    <t>espP=PARTIAL_END_OF_CONTIG,espX1=PARTIAL,fdeC=COMPLETE,iha=COMPLETE,iss=COMPLETE,lpfA=COMPLETE,sslE=HMM,stxA2c=COMPLETE,stxB2c=COMPLETE</t>
  </si>
  <si>
    <t>DALPHF</t>
  </si>
  <si>
    <t>PDS000129706.1</t>
  </si>
  <si>
    <t>OLC1070</t>
  </si>
  <si>
    <t>CA_CFIA_2165</t>
  </si>
  <si>
    <t>2015-SEQ-1166</t>
  </si>
  <si>
    <t>vtx2a;vtx2c</t>
  </si>
  <si>
    <t>Stx2a_1_AAADPA020000172.1|Stx2c_17_AB015057</t>
  </si>
  <si>
    <t>SAMN04420191</t>
  </si>
  <si>
    <t>GCA_002134695.1</t>
  </si>
  <si>
    <t>SRR6061318</t>
  </si>
  <si>
    <t>OLC1535</t>
  </si>
  <si>
    <t>CFIAFB20130343</t>
  </si>
  <si>
    <t>2014-SEQ-0245</t>
  </si>
  <si>
    <t>SAMN13334353</t>
  </si>
  <si>
    <t>GCA_027234045.1</t>
  </si>
  <si>
    <t>SRS16250877</t>
  </si>
  <si>
    <t>SRR22858813</t>
  </si>
  <si>
    <t>PDT001543150.1</t>
  </si>
  <si>
    <t>DALPGK000000000.1</t>
  </si>
  <si>
    <t>DALPGK</t>
  </si>
  <si>
    <t>OLC1590</t>
  </si>
  <si>
    <t>CFIAFB20130347</t>
  </si>
  <si>
    <t>CAL-FD-2014-MI-0188</t>
  </si>
  <si>
    <t>2014-SEQ-0350</t>
  </si>
  <si>
    <t>O113:H21</t>
  </si>
  <si>
    <t>O113 (100.0):H21 (98.64)</t>
  </si>
  <si>
    <t>Stx2d_10_2016-SEQ-0057</t>
  </si>
  <si>
    <t>SAMN13334357</t>
  </si>
  <si>
    <t>GCA_027228765.1</t>
  </si>
  <si>
    <t>SRS16250925</t>
  </si>
  <si>
    <t>SRR22858765</t>
  </si>
  <si>
    <t>PDT001543102.1</t>
  </si>
  <si>
    <t>DALOXK000000000.1</t>
  </si>
  <si>
    <t>espP=PARTIAL_END_OF_CONTIG,espX1=COMPLETE,fdeC=COMPLETE,iha=COMPLETE,lpfA=COMPLETE,sslE=HMM,stxA2d=COMPLETE,stxB2d=COMPLETE</t>
  </si>
  <si>
    <t>DALOXK</t>
  </si>
  <si>
    <t>PDS000129618.1</t>
  </si>
  <si>
    <t>OLC1591</t>
  </si>
  <si>
    <t>CFIAFB20130348</t>
  </si>
  <si>
    <t>CAL-FD-2014-MI-0189</t>
  </si>
  <si>
    <t>2014-SEQ-0351</t>
  </si>
  <si>
    <t>SAMN13334358</t>
  </si>
  <si>
    <t>GCA_027234105.1</t>
  </si>
  <si>
    <t>SRS16250924</t>
  </si>
  <si>
    <t>SRR22858766</t>
  </si>
  <si>
    <t>PDT001543103.1</t>
  </si>
  <si>
    <t>DALPGN000000000.1</t>
  </si>
  <si>
    <t>DALPGN</t>
  </si>
  <si>
    <t>OLC2083</t>
  </si>
  <si>
    <t>CFIAFB20140303</t>
  </si>
  <si>
    <t>DAR-FD-2014-MI-01776</t>
  </si>
  <si>
    <t>2014-SEQ-0757</t>
  </si>
  <si>
    <t>Quinoa</t>
  </si>
  <si>
    <t>O146:H32</t>
  </si>
  <si>
    <t>O146 (99.35):H32 (100.0)ND</t>
  </si>
  <si>
    <t>Stx2a_567_GCA_025641525.1</t>
  </si>
  <si>
    <t>blaCMY (70.34%) Beta-Lactamase</t>
  </si>
  <si>
    <t>SAMN13334648</t>
  </si>
  <si>
    <t>GCA_027230625.1</t>
  </si>
  <si>
    <t>SRS16250894</t>
  </si>
  <si>
    <t>SRR22858796</t>
  </si>
  <si>
    <t>PDT001543133.1</t>
  </si>
  <si>
    <t>DALOZZ000000000.1</t>
  </si>
  <si>
    <t>ehxA=COMPLETE,espX1=PARTIAL,fdeC=PARTIAL_END_OF_CONTIG,iha=COMPLETE,sslE=HMM,stxA2c=COMPLETE,stxB2a=COMPLETE</t>
  </si>
  <si>
    <t>DALOZZ</t>
  </si>
  <si>
    <t>PDS000129676.1</t>
  </si>
  <si>
    <t>OLC2084</t>
  </si>
  <si>
    <t>CFIAFB20140304</t>
  </si>
  <si>
    <t>2014-SEQ-0758</t>
  </si>
  <si>
    <t>O146 (99.66):H32 (100.0)ND</t>
  </si>
  <si>
    <t>SAMN13334649</t>
  </si>
  <si>
    <t>GCA_027228725.1</t>
  </si>
  <si>
    <t>SRS16250893</t>
  </si>
  <si>
    <t>SRR22858797</t>
  </si>
  <si>
    <t>PDT001543134.1</t>
  </si>
  <si>
    <t>DALOXI000000000.1</t>
  </si>
  <si>
    <t>DALOXI</t>
  </si>
  <si>
    <t>OLC0996</t>
  </si>
  <si>
    <t>D2653</t>
  </si>
  <si>
    <t>2017-MER-0363</t>
  </si>
  <si>
    <t>SAMN04420126</t>
  </si>
  <si>
    <t>GCA_002133435.1</t>
  </si>
  <si>
    <t>SRR6061337</t>
  </si>
  <si>
    <t>OLC2133</t>
  </si>
  <si>
    <t>CA_CFIA_3034</t>
  </si>
  <si>
    <t>2014-SEQ-1341</t>
  </si>
  <si>
    <t>SAMN04420155</t>
  </si>
  <si>
    <t>GCA_002134085.1</t>
  </si>
  <si>
    <t>SRR6061359</t>
  </si>
  <si>
    <t>OLC2136</t>
  </si>
  <si>
    <t>CA_CFIA_3157</t>
  </si>
  <si>
    <t>2015-SEQ-1365</t>
  </si>
  <si>
    <t>O104 (100.0):H7 (100.0)ND</t>
  </si>
  <si>
    <t>SAMN04420158</t>
  </si>
  <si>
    <t>GCA_002134075.1</t>
  </si>
  <si>
    <t>SRR6061358</t>
  </si>
  <si>
    <t>OLC2137</t>
  </si>
  <si>
    <t>CA_CFIA_3245</t>
  </si>
  <si>
    <t>2014-SEQ-1345</t>
  </si>
  <si>
    <t>SAMN04420159</t>
  </si>
  <si>
    <t>GCA_002134145.1</t>
  </si>
  <si>
    <t>SRR6061357</t>
  </si>
  <si>
    <t>OLC2138</t>
  </si>
  <si>
    <t>CA_CFIA_3259</t>
  </si>
  <si>
    <t>2014-SEQ-1346</t>
  </si>
  <si>
    <t>SAMN04420160</t>
  </si>
  <si>
    <t>GCA_002133685.1</t>
  </si>
  <si>
    <t>SRR6061377</t>
  </si>
  <si>
    <t>OLC2139</t>
  </si>
  <si>
    <t>CA_CFIA_3433</t>
  </si>
  <si>
    <t>2014-SEQ-1347</t>
  </si>
  <si>
    <t>SAMN04420161</t>
  </si>
  <si>
    <t>GCA_002133665.1</t>
  </si>
  <si>
    <t>SRR6061355</t>
  </si>
  <si>
    <t>OLC2140</t>
  </si>
  <si>
    <t>CA_CFIA_3512 v2</t>
  </si>
  <si>
    <t>2014-SEQ-1348</t>
  </si>
  <si>
    <t>O63:H6</t>
  </si>
  <si>
    <t>O63 (99.92):H6 (99.82)</t>
  </si>
  <si>
    <t>SAMN04420162</t>
  </si>
  <si>
    <t>GCA_002134155.1</t>
  </si>
  <si>
    <t>SRR6061325</t>
  </si>
  <si>
    <t>OLC2141</t>
  </si>
  <si>
    <t>CA_CFIA_3576</t>
  </si>
  <si>
    <t>2014-SEQ-1349</t>
  </si>
  <si>
    <t>SAMN04420163</t>
  </si>
  <si>
    <t>GCA_002133675.1</t>
  </si>
  <si>
    <t>SRR6061376</t>
  </si>
  <si>
    <t>OLC2142</t>
  </si>
  <si>
    <t>CA_CFIA_3957</t>
  </si>
  <si>
    <t>2014-SEQ-1350</t>
  </si>
  <si>
    <t>O-untypeable:H26 (98.45)</t>
  </si>
  <si>
    <t>SAMN04420164</t>
  </si>
  <si>
    <t>GCA_002134395.1</t>
  </si>
  <si>
    <t>SRR6061368</t>
  </si>
  <si>
    <t>OLC2236</t>
  </si>
  <si>
    <t>CFIAFB20150310</t>
  </si>
  <si>
    <t>CAL-FD-2014-MI-1426</t>
  </si>
  <si>
    <t>2014-SEQ-1296</t>
  </si>
  <si>
    <t>SPROUTED SEEDS: flax (milled, powder, cranberries)</t>
  </si>
  <si>
    <t>O159 (99.86):H19 (99.89)ND</t>
  </si>
  <si>
    <t>SAMN13334685</t>
  </si>
  <si>
    <t>GCA_027230605.1</t>
  </si>
  <si>
    <t>SRS16250887</t>
  </si>
  <si>
    <t>SRR22858803</t>
  </si>
  <si>
    <t>PDT001543140.1</t>
  </si>
  <si>
    <t>DALOZX000000000.1</t>
  </si>
  <si>
    <t>DALOZX</t>
  </si>
  <si>
    <t>PDS000001053.16</t>
  </si>
  <si>
    <t>OLC2237</t>
  </si>
  <si>
    <t>CFIAFB20150311</t>
  </si>
  <si>
    <t>2014-SEQ-1297</t>
  </si>
  <si>
    <t>SAMN13334686</t>
  </si>
  <si>
    <t>GCA_027230545.1</t>
  </si>
  <si>
    <t>SRS16250885</t>
  </si>
  <si>
    <t>SRR22858805</t>
  </si>
  <si>
    <t>PDT001543142.1</t>
  </si>
  <si>
    <t>2022-12-22T05:39:56Z</t>
  </si>
  <si>
    <t>DALOZV000000000.1</t>
  </si>
  <si>
    <t>DALOZV</t>
  </si>
  <si>
    <t>OLC2238</t>
  </si>
  <si>
    <t>CFIAFB20150312</t>
  </si>
  <si>
    <t>2014-SEQ-1298</t>
  </si>
  <si>
    <t>SAMN13334687</t>
  </si>
  <si>
    <t>GCA_027228685.1</t>
  </si>
  <si>
    <t>SRS16250884</t>
  </si>
  <si>
    <t>SRR22858806</t>
  </si>
  <si>
    <t>PDT001543143.1</t>
  </si>
  <si>
    <t>DALOXG000000000.1</t>
  </si>
  <si>
    <t>DALOXG</t>
  </si>
  <si>
    <t>OLC2240</t>
  </si>
  <si>
    <t>CFIAFB20150314</t>
  </si>
  <si>
    <t>2014-SEQ-1300</t>
  </si>
  <si>
    <t>SAMN13334688</t>
  </si>
  <si>
    <t>GCA_027228625.1</t>
  </si>
  <si>
    <t>SRS16250883</t>
  </si>
  <si>
    <t>SRR22858807</t>
  </si>
  <si>
    <t>PDT001543144.1</t>
  </si>
  <si>
    <t>DALOXF000000000.1</t>
  </si>
  <si>
    <t>DALOXF</t>
  </si>
  <si>
    <t>OLC2241</t>
  </si>
  <si>
    <t>CFIAFB20150315</t>
  </si>
  <si>
    <t>2014-SEQ-1301</t>
  </si>
  <si>
    <t>SAMN13334689</t>
  </si>
  <si>
    <t>GCA_027234085.1</t>
  </si>
  <si>
    <t>SRS16250882</t>
  </si>
  <si>
    <t>SRR22858808</t>
  </si>
  <si>
    <t>PDT001543145.1</t>
  </si>
  <si>
    <t>DALPGL000000000.1</t>
  </si>
  <si>
    <t>DALPGL</t>
  </si>
  <si>
    <t>OLC2243</t>
  </si>
  <si>
    <t>CFIAFB20150316</t>
  </si>
  <si>
    <t>STH-FD-2015-MI-0027</t>
  </si>
  <si>
    <t>2015-SEQ-0113</t>
  </si>
  <si>
    <t>PORK (raw, ground, lean)</t>
  </si>
  <si>
    <t>- (-):H26 (100.0)</t>
  </si>
  <si>
    <t>Stx2e_36_AJ567998</t>
  </si>
  <si>
    <t>SAMN10746426</t>
  </si>
  <si>
    <t>GCA_014346125.1</t>
  </si>
  <si>
    <t>SRS4256970</t>
  </si>
  <si>
    <t>SRR8448492</t>
  </si>
  <si>
    <t>PDT000441068.2</t>
  </si>
  <si>
    <t>DABQMQ000000000.1</t>
  </si>
  <si>
    <t>espX1=PARTIAL,iha=COMPLETE,mchF=COMPLETE,sslE=HMM,stxA2e=COMPLETE,stxB2e=COMPLETE</t>
  </si>
  <si>
    <t>ariR=COMPLETE,arsA=COMPLETE,arsD=COMPLETE,arsR=COMPLETE,terD=COMPLETE,terW=COMPLETE,terZ=COMPLETE</t>
  </si>
  <si>
    <t>DABQMQ</t>
  </si>
  <si>
    <t>PDS000106908.4</t>
  </si>
  <si>
    <t>OLC2245</t>
  </si>
  <si>
    <t>CFIAFB20150322</t>
  </si>
  <si>
    <t>CAL-FD-2015-MI-0496</t>
  </si>
  <si>
    <t>2015-SEQ-0655</t>
  </si>
  <si>
    <t>O121:H10</t>
  </si>
  <si>
    <t>O121 (100.0):H10 (99.13)</t>
  </si>
  <si>
    <t>O121;VT2;uidA</t>
  </si>
  <si>
    <t>aadA2 (100.0%) Aminoglycoside;aph(6)-Id (100.0%) Aminoglycoside;strA (100.0%) ;sul1 (99.88%) sulphonamide;tet(A) (100.0%) Tetracycline</t>
  </si>
  <si>
    <t>SAMN10746420</t>
  </si>
  <si>
    <t>GCA_012017305.1</t>
  </si>
  <si>
    <t>SRS4256974</t>
  </si>
  <si>
    <t>SRR8448488</t>
  </si>
  <si>
    <t>PDT000441064.2</t>
  </si>
  <si>
    <t>DAAYYV000000000.1</t>
  </si>
  <si>
    <t>aadA2=COMPLETE,aph(3'')-Ib=COMPLETE,aph(6)-Id=COMPLETE,glpT_E448K=POINT,pmrB_Y358N=POINT,sul1=COMPLETE,tet(A)=COMPLETE</t>
  </si>
  <si>
    <t>espX1=PARTIAL,fdeC=COMPLETE,lpfA-O113=COMPLETE,sslE=HMM,stxA2=COMPLETE,stxB2=COMPLETE</t>
  </si>
  <si>
    <t>ariR=COMPLETE,pcoA=COMPLETE,pcoB=COMPLETE,pcoC=COMPLETE,pcoD=COMPLETE,pcoE=COMPLETE,pcoR=COMPLETE,pcoS=COMPLETE,qacEdelta1=COMPLETE,silA=COMPLETE,silB=COMPLETE,silC=COMPLETE,silE=COMPLETE,silF=COMPLETE,silP=COMPLETE,silR=COMPLETE,silS=COMPLETE</t>
  </si>
  <si>
    <t>aadA2=COMPLETE,acrF=COMPLETE,aph(3'')-Ib=COMPLETE,aph(6)-Id=COMPLETE,blaEC=COMPLETE,glpT_E448K=POINT,mdtM=COMPLETE,pmrB_Y358N=POINT,sul1=COMPLETE,tet(A)=COMPLETE</t>
  </si>
  <si>
    <t>DAAYYV</t>
  </si>
  <si>
    <t>PDS000129685.1</t>
  </si>
  <si>
    <t>OLC2246</t>
  </si>
  <si>
    <t>CFIAFB20150324</t>
  </si>
  <si>
    <t>2015-SEQ-0656</t>
  </si>
  <si>
    <t>SAMN13334691</t>
  </si>
  <si>
    <t>GCA_027234765.1</t>
  </si>
  <si>
    <t>SRS16250881</t>
  </si>
  <si>
    <t>SRR22858809</t>
  </si>
  <si>
    <t>PDT001543146.1</t>
  </si>
  <si>
    <t>DALPHS000000000.1</t>
  </si>
  <si>
    <t>DALPHS</t>
  </si>
  <si>
    <t>OLC2247</t>
  </si>
  <si>
    <t>CFIAFB20150325</t>
  </si>
  <si>
    <t>2015-SEQ-0657</t>
  </si>
  <si>
    <t>SAMN13334692</t>
  </si>
  <si>
    <t>GCA_027231265.1</t>
  </si>
  <si>
    <t>SRS16250876</t>
  </si>
  <si>
    <t>SRR22858814</t>
  </si>
  <si>
    <t>PDT001543151.1</t>
  </si>
  <si>
    <t>DALPBD000000000.1</t>
  </si>
  <si>
    <t>espX1=PARTIAL,fdeC=COMPLETE,lpfA=COMPLETE,sslE=HMM,stxA2e=COMPLETE,stxA2e=MISTRANSLATION,stxB2e=COMPLETE</t>
  </si>
  <si>
    <t>DALPBD</t>
  </si>
  <si>
    <t>OLC2248</t>
  </si>
  <si>
    <t>CFIAFB20150326</t>
  </si>
  <si>
    <t>DAR-FD-2015-MI-00622</t>
  </si>
  <si>
    <t>2015-SEQ-0658</t>
  </si>
  <si>
    <t>O36:HUT</t>
  </si>
  <si>
    <t>O36 (99.68):H-untypeable</t>
  </si>
  <si>
    <t>aadA1 (100.0%) Aminoglycoside;aadA2 (100.0%) Aminoglycoside;aph(6)-Id (100.0%) Aminoglycoside;blaCMY (70.34%) Beta-Lactamase;blaTEM (RblaTEM-1) (100.0</t>
  </si>
  <si>
    <t>SAMN10746424</t>
  </si>
  <si>
    <t>GCA_012017965.1</t>
  </si>
  <si>
    <t>SRS4256978</t>
  </si>
  <si>
    <t>SRR8448484</t>
  </si>
  <si>
    <t>PDT000441060.2</t>
  </si>
  <si>
    <t>2019-01-16T22:53:13Z</t>
  </si>
  <si>
    <t>DAAYYW000000000.1</t>
  </si>
  <si>
    <t>aadA1=COMPLETE,aadA1=PARTIAL_END_OF_CONTIG,aadA2=COMPLETE,aph(3'')-Ib=COMPLETE,aph(6)-Id=COMPLETE,blaTEM-1=COMPLETE,cmlA1=COMPLETE,sul3=COMPLETE,tet(B)=COMPLETE</t>
  </si>
  <si>
    <t>sslE=HMM,stxA2=COMPLETE,stxB2=COMPLETE</t>
  </si>
  <si>
    <t>ariR=COMPLETE,merA=HMM,merC=COMPLETE,merD=HMM,merP=COMPLETE,merR=COMPLETE,merT=COMPLETE,pcoA=COMPLETE,pcoB=COMPLETE,pcoC=COMPLETE,pcoD=PARTIAL_END_OF_CONTIG,pcoR=COMPLETE,pcoS=PARTIAL_END_OF_CONTIG,qacL=COMPLETE,silA=COMPLETE,silB=COMPLETE,silC=COMPLETE,silE=COMPLETE,silF=COMPLETE,silP=COMPLETE,silR=COMPLETE,silS=COMPLETE</t>
  </si>
  <si>
    <t>aadA1=COMPLETE,aadA1=PARTIAL_END_OF_CONTIG,aadA2=COMPLETE,acrF=COMPLETE,aph(3'')-Ib=COMPLETE,aph(6)-Id=COMPLETE,blaEC=COMPLETE,blaTEM-1=COMPLETE,cmlA1=COMPLETE,mdtM=COMPLETE,sul3=COMPLETE,tet(B)=COMPLETE</t>
  </si>
  <si>
    <t>DAAYYW</t>
  </si>
  <si>
    <t>OLC2249</t>
  </si>
  <si>
    <t>CFIAFB20150327</t>
  </si>
  <si>
    <t>STH-FD-2015-MI-0750</t>
  </si>
  <si>
    <t>2015-SEQ-0659</t>
  </si>
  <si>
    <t>OUT:H38</t>
  </si>
  <si>
    <t>O-untypeable:H38 (99.93)</t>
  </si>
  <si>
    <t>lnu(G) (100.0%) Macrolide;tet(B) (99.92%) Tetracycline</t>
  </si>
  <si>
    <t>SAMN10746427</t>
  </si>
  <si>
    <t>GCA_018089925.1</t>
  </si>
  <si>
    <t>SRS4256969</t>
  </si>
  <si>
    <t>SRR8448493</t>
  </si>
  <si>
    <t>PDT000441069.2</t>
  </si>
  <si>
    <t>2019-01-16T22:53:15Z</t>
  </si>
  <si>
    <t>DADXYV000000000.1</t>
  </si>
  <si>
    <t>glpT_E448K=POINT,lnu(G)=COMPLETE,tet(B)=COMPLETE</t>
  </si>
  <si>
    <t>fdeC=COMPLETE,sslE=HMM,stxA2e=COMPLETE,stxB2e=COMPLETE</t>
  </si>
  <si>
    <t>emrE=COMPLETE,merA=HMM,merC=COMPLETE,merD=HMM,merE=HMM,merP=COMPLETE,merR=COMPLETE,merT=COMPLETE,pcoA=COMPLETE,pcoB=COMPLETE,pcoC=COMPLETE,pcoD=COMPLETE,pcoE=COMPLETE,pcoR=COMPLETE,pcoS=PARTIAL</t>
  </si>
  <si>
    <t>acrF=COMPLETE,blaEC=COMPLETE,glpT_E448K=POINT,lnu(G)=COMPLETE,mdtM=COMPLETE,tet(B)=COMPLETE</t>
  </si>
  <si>
    <t>DADXYV</t>
  </si>
  <si>
    <t>OLC2250</t>
  </si>
  <si>
    <t>CFIAFB20150328</t>
  </si>
  <si>
    <t>DAR-FD-2015-MI-00709</t>
  </si>
  <si>
    <t>2015-SEQ-0725</t>
  </si>
  <si>
    <t>Raw extra-lean ground pork</t>
  </si>
  <si>
    <t>PORK (raw, ground, extra lean)</t>
  </si>
  <si>
    <t>Stx1a_9_M19437</t>
  </si>
  <si>
    <t>aph(6)-Id (100.0%) Aminoglycoside;strA (99.88%) ;tet(A) (100.0%) Tetracycline</t>
  </si>
  <si>
    <t>SAMN10746425</t>
  </si>
  <si>
    <t>GCA_012017845.1</t>
  </si>
  <si>
    <t>SRS4256977</t>
  </si>
  <si>
    <t>SRR8448485</t>
  </si>
  <si>
    <t>PDT000441061.2</t>
  </si>
  <si>
    <t>DAAYYU000000000.1</t>
  </si>
  <si>
    <t>ehxA=COMPLETE,fdeC=COMPLETE,iha=COMPLETE,ireA=COMPLETE,iss=COMPLETE,iucA=COMPLETE,iucB=COMPLETE,iucC=COMPLETE,iucD=COMPLETE,iutA=COMPLETE,katP=COMPLETE,lpfA-O113=COMPLETE,lpfA=COMPLETE,stxA1=COMPLETE,stxB1=COMPLETE,tsh=COMPLETE</t>
  </si>
  <si>
    <t>acrF=COMPLETE,aph(3'')-Ib=COMPLETE,aph(6)-Id=COMPLETE,blaEC=COMPLETE,glpT_E448K=POINT,mdtM=COMPLETE,pmrB_Y358N=POINT,tet(A)=COMPLETE</t>
  </si>
  <si>
    <t>DAAYYU</t>
  </si>
  <si>
    <t>OLC2254</t>
  </si>
  <si>
    <t>CFIAFB20150336</t>
  </si>
  <si>
    <t>STH-FD-2015-MI-1325</t>
  </si>
  <si>
    <t>2015-SEQ-0886</t>
  </si>
  <si>
    <t>Raw ground pork</t>
  </si>
  <si>
    <t>aadA12 (100.0%) Aminoglycoside;aph(6)-Id (100.0%) Aminoglycoside;blaTEM (RblaTEM-1) (100.0%) Beta-Lactamase;strA (100.0%) ;tet(A) (100.0%) Tetracyclin</t>
  </si>
  <si>
    <t>SAMN13334695</t>
  </si>
  <si>
    <t>GCA_027234025.1</t>
  </si>
  <si>
    <t>SRS16250875</t>
  </si>
  <si>
    <t>SRR22858815</t>
  </si>
  <si>
    <t>PDT001543152.1</t>
  </si>
  <si>
    <t>DALPGI000000000.1</t>
  </si>
  <si>
    <t>aadA12=COMPLETE,aph(3'')-Ib=COMPLETE,aph(6)-Id=COMPLETE,blaTEM-1=COMPLETE,glpT_E448K=POINT,pmrB_Y358N=POINT,tet(A)=COMPLETE</t>
  </si>
  <si>
    <t>ehxA=COMPLETE,fdeC=COMPLETE,iha=COMPLETE,ireA=COMPLETE,iss=COMPLETE,iucA=COMPLETE,iucB=COMPLETE,iucC=COMPLETE,iucD=COMPLETE,iutA=COMPLETE,katP=COMPLETE,lpfA=COMPLETE,mchB=COMPLETE,mchF=COMPLETE,sslE=HMM,stxA1a=COMPLETE,stxB1a=COMPLETE</t>
  </si>
  <si>
    <t>ariR=COMPLETE,emrE=COMPLETE,merR=COMPLETE,merT=COMPLETE</t>
  </si>
  <si>
    <t>aadA12=COMPLETE,acrF=COMPLETE,aph(3'')-Ib=COMPLETE,aph(6)-Id=COMPLETE,blaEC=COMPLETE,blaTEM-1=COMPLETE,glpT_E448K=POINT,mdtM=COMPLETE,pmrB_Y358N=POINT,tet(A)=COMPLETE</t>
  </si>
  <si>
    <t>DALPGI</t>
  </si>
  <si>
    <t>PDS000129612.1</t>
  </si>
  <si>
    <t>OLC2255</t>
  </si>
  <si>
    <t>CFIAFB20150337</t>
  </si>
  <si>
    <t>2015-SEQ-0887</t>
  </si>
  <si>
    <t>SAMN13334696</t>
  </si>
  <si>
    <t>GCA_027228605.1</t>
  </si>
  <si>
    <t>SRS16250874</t>
  </si>
  <si>
    <t>SRR22858816</t>
  </si>
  <si>
    <t>PDT001543153.1</t>
  </si>
  <si>
    <t>DALOXE000000000.1</t>
  </si>
  <si>
    <t>aadA12=COMPLETE,aph(3'')-Ib=COMPLETE,aph(6)-Id=COMPLETE,blaTEM-1=COMPLETE,dfrA51=COMPLETE,glpT_E448K=POINT,pmrB_Y358N=POINT,tet(A)=COMPLETE</t>
  </si>
  <si>
    <t>ehxA=COMPLETE,fdeC=COMPLETE,iha=COMPLETE,ireA=COMPLETE,iss=COMPLETE,iucA=COMPLETE,iucB=COMPLETE,iucC=COMPLETE,iucD=COMPLETE,iutA=COMPLETE,katP=COMPLETE,lpfA-O113=COMPLETE,lpfA=COMPLETE,mchB=COMPLETE,mchF=COMPLETE,sslE=HMM,stxA1=COMPLETE,stxB1=COMPLETE</t>
  </si>
  <si>
    <t>aadA12=COMPLETE,acrF=COMPLETE,aph(3'')-Ib=COMPLETE,aph(6)-Id=COMPLETE,blaEC=COMPLETE,blaTEM-1=COMPLETE,dfrA51=COMPLETE,glpT_E448K=POINT,mdtM=COMPLETE,pmrB_Y358N=POINT,tet(A)=COMPLETE</t>
  </si>
  <si>
    <t>DALOXE</t>
  </si>
  <si>
    <t>OLC2256</t>
  </si>
  <si>
    <t>CFIAFB20150335</t>
  </si>
  <si>
    <t>2015-SEQ-0888</t>
  </si>
  <si>
    <t>SAMN10746428</t>
  </si>
  <si>
    <t>GCA_020317465.1</t>
  </si>
  <si>
    <t>SRS4256980</t>
  </si>
  <si>
    <t>SRR8448482</t>
  </si>
  <si>
    <t>PDT000441058.2</t>
  </si>
  <si>
    <t>2019-01-16T22:53:12Z</t>
  </si>
  <si>
    <t>DAFAGG000000000.1</t>
  </si>
  <si>
    <t>DAFAGG</t>
  </si>
  <si>
    <t>OLC2257</t>
  </si>
  <si>
    <t>CFIAFB20150339</t>
  </si>
  <si>
    <t>2015-SEQ-0889</t>
  </si>
  <si>
    <t>SAMN13334698</t>
  </si>
  <si>
    <t>GCA_027232045.1</t>
  </si>
  <si>
    <t>SRS16250873</t>
  </si>
  <si>
    <t>SRR22858817</t>
  </si>
  <si>
    <t>PDT001543154.1</t>
  </si>
  <si>
    <t>DALPCQ000000000.1</t>
  </si>
  <si>
    <t>ariR=PARTIAL,emrE=COMPLETE,merR=COMPLETE,merT=COMPLETE</t>
  </si>
  <si>
    <t>DALPCQ</t>
  </si>
  <si>
    <t>OLC2258</t>
  </si>
  <si>
    <t>CFIAFB20150340</t>
  </si>
  <si>
    <t>2015-SEQ-0890</t>
  </si>
  <si>
    <t>SAMN13334699</t>
  </si>
  <si>
    <t>GCA_027230525.1</t>
  </si>
  <si>
    <t>SRS16250872</t>
  </si>
  <si>
    <t>SRR22858818</t>
  </si>
  <si>
    <t>PDT001543155.1</t>
  </si>
  <si>
    <t>DALOZS000000000.1</t>
  </si>
  <si>
    <t>DALOZS</t>
  </si>
  <si>
    <t>OLC2259</t>
  </si>
  <si>
    <t>CFIAFB20150349</t>
  </si>
  <si>
    <t>STH-FD-2015-MI-1629</t>
  </si>
  <si>
    <t>2015-SEQ-1141</t>
  </si>
  <si>
    <t>O163:H19</t>
  </si>
  <si>
    <t>O163 (100.0):H19 (99.89)ND</t>
  </si>
  <si>
    <t>SAMN10746429</t>
  </si>
  <si>
    <t>GCA_012018045.1</t>
  </si>
  <si>
    <t>SRS4256979</t>
  </si>
  <si>
    <t>SRR8448483</t>
  </si>
  <si>
    <t>PDT000441059.2</t>
  </si>
  <si>
    <t>DAAYYX000000000.1</t>
  </si>
  <si>
    <t>espX1=PARTIAL,fdeC=COMPLETE,iroB=COMPLETE,iroC=MISTRANSLATION,iroD=COMPLETE,iroE=COMPLETE,iroN=COMPLETE,iss=COMPLETE,iucA=COMPLETE,iucB=COMPLETE,iucC=COMPLETE,iucD=COMPLETE,iutA=COMPLETE,katP=COMPLETE,lpfA=COMPLETE,sslE=HMM,stxA1a=COMPLETE,stxB1a=COMPLETE</t>
  </si>
  <si>
    <t>DAAYYX</t>
  </si>
  <si>
    <t>OLC2260</t>
  </si>
  <si>
    <t>CFIAFB20150351</t>
  </si>
  <si>
    <t>STH-FD-2015-MI-1673</t>
  </si>
  <si>
    <t>2015-SEQ-1142</t>
  </si>
  <si>
    <t>O86:H32</t>
  </si>
  <si>
    <t>O86 (100.0):H32 (99.82)ND</t>
  </si>
  <si>
    <t>SAMN10746430</t>
  </si>
  <si>
    <t>GCA_020317455.1</t>
  </si>
  <si>
    <t>SRS4256981</t>
  </si>
  <si>
    <t>SRR8448481</t>
  </si>
  <si>
    <t>PDT000441057.2</t>
  </si>
  <si>
    <t>DAFAGH000000000.1</t>
  </si>
  <si>
    <t>espX1=PARTIAL,fdeC=PARTIAL,iss=COMPLETE,sslE=HMM,stxA2e=COMPLETE,stxB2e=COMPLETE</t>
  </si>
  <si>
    <t>ariR=COMPLETE,emrE=PARTIAL</t>
  </si>
  <si>
    <t>acrF=COMPLETE,blaEC=COMPLETE,cyaA_S352T=POINT,glpT_E448K=POINT,mdtM=COMPLETE</t>
  </si>
  <si>
    <t>DAFAGH</t>
  </si>
  <si>
    <t>OLC2261</t>
  </si>
  <si>
    <t>CFIAFB20150352</t>
  </si>
  <si>
    <t>BUR-FI-2015-MI-00887</t>
  </si>
  <si>
    <t>2017-MER-0173</t>
  </si>
  <si>
    <t>Raw lean ground pork</t>
  </si>
  <si>
    <t xml:space="preserve">aph(6)-Id (100.0%) Colistin;strA (100.0%) </t>
  </si>
  <si>
    <t>SAMN10746419</t>
  </si>
  <si>
    <t>GCA_012017685.1</t>
  </si>
  <si>
    <t>SRS4256971</t>
  </si>
  <si>
    <t>SRR8448491</t>
  </si>
  <si>
    <t>PDT000441067.2</t>
  </si>
  <si>
    <t>DAAYYQ000000000.1</t>
  </si>
  <si>
    <t>aph(3'')-Ib=COMPLETE,aph(6)-Id=COMPLETE,glpT_E448K=POINT,pmrB_Y358N=POINT</t>
  </si>
  <si>
    <t>acrF=COMPLETE,aph(3'')-Ib=COMPLETE,aph(6)-Id=COMPLETE,blaEC=COMPLETE,glpT_E448K=POINT,mdtM=COMPLETE,pmrB_Y358N=POINT</t>
  </si>
  <si>
    <t>DAAYYQ</t>
  </si>
  <si>
    <t>OLC2288</t>
  </si>
  <si>
    <t>CFIAFB20150357</t>
  </si>
  <si>
    <t>CAL-FD-2015-MI-1721</t>
  </si>
  <si>
    <t>2015-SEQ-1454</t>
  </si>
  <si>
    <t>SAMN13334701</t>
  </si>
  <si>
    <t>GCA_027231225.1</t>
  </si>
  <si>
    <t>SRS16250870</t>
  </si>
  <si>
    <t>SRR22858820</t>
  </si>
  <si>
    <t>PDT001543157.1</t>
  </si>
  <si>
    <t>DALPBB000000000.1</t>
  </si>
  <si>
    <t>air=MISTRANSLATION,eilA=COMPLETE,espX1=COMPLETE,katP=COMPLETE,lpfA1=COMPLETE,lpfA=COMPLETE,sslE=HMM,stxA2c=COMPLETE,stxB2a=COMPLETE</t>
  </si>
  <si>
    <t>acrF=COMPLETE,blaEC=COMPLETE,emrD=COMPLETE,glpT_E448K=POINT,mdtM=COMPLETE,pmrB_Y358N=POINT</t>
  </si>
  <si>
    <t>DALPBB</t>
  </si>
  <si>
    <t>PDS000129718.1</t>
  </si>
  <si>
    <t>OLC2289</t>
  </si>
  <si>
    <t>CFIAFB20150356</t>
  </si>
  <si>
    <t>2015-SEQ-1455</t>
  </si>
  <si>
    <t>SAMN10746421</t>
  </si>
  <si>
    <t>GCA_012017225.1</t>
  </si>
  <si>
    <t>SRS4256973</t>
  </si>
  <si>
    <t>SRR8448489</t>
  </si>
  <si>
    <t>PDT000441065.2</t>
  </si>
  <si>
    <t>DAAYYS000000000.1</t>
  </si>
  <si>
    <t>DAAYYS</t>
  </si>
  <si>
    <t>OLC2290</t>
  </si>
  <si>
    <t>CFIAFB20150359</t>
  </si>
  <si>
    <t>2015-SEQ-1456</t>
  </si>
  <si>
    <t>SAMN13334703</t>
  </si>
  <si>
    <t>GCA_027232125.1</t>
  </si>
  <si>
    <t>SRS16250869</t>
  </si>
  <si>
    <t>SRR22858821</t>
  </si>
  <si>
    <t>PDT001543158.1</t>
  </si>
  <si>
    <t>DALPCN000000000.1</t>
  </si>
  <si>
    <t>eilA=COMPLETE,espX1=COMPLETE,katP=COMPLETE,lpfA1=COMPLETE,lpfA=COMPLETE,sslE=HMM,stxA2c=COMPLETE,stxB2a=COMPLETE</t>
  </si>
  <si>
    <t>DALPCN</t>
  </si>
  <si>
    <t>OLC2299</t>
  </si>
  <si>
    <t>CFIAFB20160248</t>
  </si>
  <si>
    <t>CAL-FD-2015-MI-1824</t>
  </si>
  <si>
    <t>2015-SEQ-1555</t>
  </si>
  <si>
    <t>SAMN10746422</t>
  </si>
  <si>
    <t>GCA_012017025.1</t>
  </si>
  <si>
    <t>SRS4256976</t>
  </si>
  <si>
    <t>SRR8448486</t>
  </si>
  <si>
    <t>PDT000441062.2</t>
  </si>
  <si>
    <t>DAAYYT000000000.1</t>
  </si>
  <si>
    <t>DAAYYT</t>
  </si>
  <si>
    <t>OLC2344</t>
  </si>
  <si>
    <t>CFIAFB20160250</t>
  </si>
  <si>
    <t>CAL-FD-2015-MI-2028</t>
  </si>
  <si>
    <t>2017-MER-0172</t>
  </si>
  <si>
    <t>O163 (100.0):H19 (99.89)</t>
  </si>
  <si>
    <t>sul2 (100.0%) sulphonamide;tet(B) (100.0%) Tetracycline</t>
  </si>
  <si>
    <t>SAMN10746423</t>
  </si>
  <si>
    <t>SRS4256975</t>
  </si>
  <si>
    <t>SRR8448487</t>
  </si>
  <si>
    <t>PDT000441063.2</t>
  </si>
  <si>
    <t>glpT_E448K=POINT,pmrB_Y358N=POINT,sul2=COMPLETE,tet(B)=COMPLETE</t>
  </si>
  <si>
    <t>cvaC=COMPLETE,espX1=COMPLETE,fdeC=COMPLETE,ireA=COMPLETE,iroB=COMPLETE,iroC=COMPLETE,iroD=COMPLETE,iroE=COMPLETE,iroN=COMPLETE,iss=COMPLETE,iucA=COMPLETE,iucB=COMPLETE,iucC=COMPLETE,iucD=COMPLETE,iutA=COMPLETE,katP=COMPLETE,lpfA=COMPLETE,mchF=COMPLETE,papC=COMPLETE,papE=COMPLETE,papF=COMPLETE,papG-II=COMPLETE,stxA1a=COMPLETE,stxB1a=COMPLETE</t>
  </si>
  <si>
    <t>acrF=COMPLETE,blaEC=COMPLETE,glpT_E448K=POINT,mdtM=COMPLETE,pmrB_Y358N=POINT,sul2=COMPLETE,tet(B)=COMPLETE</t>
  </si>
  <si>
    <t>OLC2354</t>
  </si>
  <si>
    <t>CFIAFB20160262</t>
  </si>
  <si>
    <t>BUR-FI-2015-MI-01367</t>
  </si>
  <si>
    <t>2016-SEQ-0016</t>
  </si>
  <si>
    <t>PORK (raw, ground, REGULAR)</t>
  </si>
  <si>
    <t>O115:H10</t>
  </si>
  <si>
    <t>O115 (100.0):H10 (99.37)</t>
  </si>
  <si>
    <t>aadA1 (100.0%) Aminoglycoside;aadA2 (100.0%) Aminoglycoside;blaCMY (70.34%) Beta-Lactamase;cmlA1 (99.92%) Phenicol;lnu(C) (99.19%) Macrolide;sul3 (100</t>
  </si>
  <si>
    <t>SAMN13334730</t>
  </si>
  <si>
    <t>SRS16250859</t>
  </si>
  <si>
    <t>SRR22858831</t>
  </si>
  <si>
    <t>PDT001543168.1</t>
  </si>
  <si>
    <t>aadA1=COMPLETE,aadA1=PARTIAL_END_OF_CONTIG,aadA2=COMPLETE,cmlA1=COMPLETE,lnu(C)=COMPLETE,sul3=COMPLETE,tet(A)=COMPLETE</t>
  </si>
  <si>
    <t>astA=COMPLETE,espX1=PARTIAL,fdeC=COMPLETE,iss=COMPLETE,katP=COMPLETE,stxA1a=COMPLETE,stxB1a=COMPLETE,ybtP=MISTRANSLATION,ybtQ=COMPLETE</t>
  </si>
  <si>
    <t>ariR=COMPLETE,emrE=COMPLETE,merC=COMPLETE,merP=COMPLETE,merR=COMPLETE,merT=COMPLETE,qacL=COMPLETE</t>
  </si>
  <si>
    <t>aadA1=COMPLETE,aadA1=PARTIAL_END_OF_CONTIG,aadA2=COMPLETE,acrF=COMPLETE,blaEC=COMPLETE,cmlA1=COMPLETE,lnu(C)=COMPLETE,mdtM=COMPLETE,sul3=COMPLETE,tet(A)=COMPLETE</t>
  </si>
  <si>
    <t>OLC2363</t>
  </si>
  <si>
    <t>CFIAFB20160267</t>
  </si>
  <si>
    <t>BUR-FI-2016-MI-00007</t>
  </si>
  <si>
    <t>2016-SEQ-0055</t>
  </si>
  <si>
    <t>SAMN11030301</t>
  </si>
  <si>
    <t>GCA_026889475.1</t>
  </si>
  <si>
    <t>SRS16120096</t>
  </si>
  <si>
    <t>SRR22715083</t>
  </si>
  <si>
    <t>PDT001525378.1</t>
  </si>
  <si>
    <t>DAKZXA000000000.1</t>
  </si>
  <si>
    <t>DAKZXA</t>
  </si>
  <si>
    <t>PDS000127714.1</t>
  </si>
  <si>
    <t>OLC2364</t>
  </si>
  <si>
    <t>CFIAFB20160268</t>
  </si>
  <si>
    <t>STH-FD-2016-MI-0012-0001 (P3C9)</t>
  </si>
  <si>
    <t>2016-SEQ-0054</t>
  </si>
  <si>
    <t>terA (98.36%),terB (99.34%),terC (99.04%),terD (96.20%),terE (95.66%),terF (96.12%),terZ (98.11%)</t>
  </si>
  <si>
    <t>Raw Ground Beef</t>
  </si>
  <si>
    <t>O176 (100.0):H4 (99.9)</t>
  </si>
  <si>
    <t>SAMN13334731</t>
  </si>
  <si>
    <t>GCA_027656835.1</t>
  </si>
  <si>
    <t>SRS12174900</t>
  </si>
  <si>
    <t>SRR18215052</t>
  </si>
  <si>
    <t>PDT001563931.1</t>
  </si>
  <si>
    <t>DAMHDV000000000.1</t>
  </si>
  <si>
    <t>ehxA=COMPLETE,espX1=COMPLETE,iha=COMPLETE,ireA=COMPLETE,iss=COMPLETE,lpfA1=COMPLETE,mchF=COMPLETE,sslE=HMM,stxA1c=COMPLETE,stxB1c=COMPLETE,subA=COMPLETE,subB=COMPLETE,ybtP=COMPLETE,ybtQ=COMPLETE</t>
  </si>
  <si>
    <t>DAMHDV</t>
  </si>
  <si>
    <t>OLC2365</t>
  </si>
  <si>
    <t>CFIAFB20160269</t>
  </si>
  <si>
    <t>STH-FD-2016-MI-0012</t>
  </si>
  <si>
    <t>2016-SEQ-0053</t>
  </si>
  <si>
    <t>O87 (100.0):H16 (99.94)</t>
  </si>
  <si>
    <t>SAMN11373400</t>
  </si>
  <si>
    <t>GCA_026889255.1</t>
  </si>
  <si>
    <t>SRS16120070</t>
  </si>
  <si>
    <t>SRR22715108</t>
  </si>
  <si>
    <t>PDT001525403.1</t>
  </si>
  <si>
    <t>DAKZWN000000000.1</t>
  </si>
  <si>
    <t>espI=COMPLETE,espX1=PARTIAL,fdeC=COMPLETE,ireA=COMPLETE,lpfA=COMPLETE,sslE=HMM,stxA2b=COMPLETE,stxB2b=COMPLETE</t>
  </si>
  <si>
    <t>DAKZWN</t>
  </si>
  <si>
    <t>OLC2366</t>
  </si>
  <si>
    <t>CFIAFB20160270</t>
  </si>
  <si>
    <t>2016-SEQ-0057</t>
  </si>
  <si>
    <t>SAMN11030302</t>
  </si>
  <si>
    <t>GCA_026889535.1</t>
  </si>
  <si>
    <t>SRS16120097</t>
  </si>
  <si>
    <t>SRR22715082</t>
  </si>
  <si>
    <t>PDT001525377.1</t>
  </si>
  <si>
    <t>DAKZWZ000000000.1</t>
  </si>
  <si>
    <t>DAKZWZ</t>
  </si>
  <si>
    <t>OLC2371</t>
  </si>
  <si>
    <t>CFIAFB20160277</t>
  </si>
  <si>
    <t>BUR-FI-2016-MI-00039</t>
  </si>
  <si>
    <t>2016-SEQ-0118</t>
  </si>
  <si>
    <t>ground beef</t>
  </si>
  <si>
    <t>O113 (93.04):H4 (100.0)</t>
  </si>
  <si>
    <t>Stx2d_99_AF500192</t>
  </si>
  <si>
    <t>SAMN10989390</t>
  </si>
  <si>
    <t>GCA_026888955.1</t>
  </si>
  <si>
    <t>SRS16120116</t>
  </si>
  <si>
    <t>SRR22715063</t>
  </si>
  <si>
    <t>PDT001525358.1</t>
  </si>
  <si>
    <t>DAKZWE000000000.1</t>
  </si>
  <si>
    <t>espI=COMPLETE,espX1=PARTIAL,iha=COMPLETE,stxA2d=COMPLETE,stxB2d=COMPLETE</t>
  </si>
  <si>
    <t>DAKZWE</t>
  </si>
  <si>
    <t>OLC2373</t>
  </si>
  <si>
    <t>CFIAFB20160280</t>
  </si>
  <si>
    <t>GTA-FD-2016-MI-00133</t>
  </si>
  <si>
    <t>2016-SEQ-0243</t>
  </si>
  <si>
    <t>SPROUTED SEEDS: lentils (organic)</t>
  </si>
  <si>
    <t>SAMN13334732</t>
  </si>
  <si>
    <t>GCA_027232325.1</t>
  </si>
  <si>
    <t>SRS16250823</t>
  </si>
  <si>
    <t>SRR22858727</t>
  </si>
  <si>
    <t>PDT001543064.1</t>
  </si>
  <si>
    <t>DALPDC000000000.1</t>
  </si>
  <si>
    <t>eilA=COMPLETE,espX1=COMPLETE,hlyA-alpha=COMPLETE,lpfA1=COMPLETE,lpfA=COMPLETE,sslE=HMM,stxA2c=COMPLETE,stxB2a=COMPLETE</t>
  </si>
  <si>
    <t>DALPDC</t>
  </si>
  <si>
    <t>PDS000071771.2</t>
  </si>
  <si>
    <t>OLC2383</t>
  </si>
  <si>
    <t>CFIAFB20160289</t>
  </si>
  <si>
    <t>DAR-FD-2016-MI-00326</t>
  </si>
  <si>
    <t>2016-SEQ-0354</t>
  </si>
  <si>
    <t>O178:H19</t>
  </si>
  <si>
    <t>O153/O178 (100.0):H19 (99.95)</t>
  </si>
  <si>
    <t>Stx1a_9_M19437|Stx2a_127_LDDV01000048.1</t>
  </si>
  <si>
    <t>SAMN11030305</t>
  </si>
  <si>
    <t>GCA_027871065.1</t>
  </si>
  <si>
    <t>SRS12174896</t>
  </si>
  <si>
    <t>SRR18215056</t>
  </si>
  <si>
    <t>PDT001563935.1</t>
  </si>
  <si>
    <t>DAMHCB000000000.1</t>
  </si>
  <si>
    <t>ehxA=COMPLETE,espP=PARTIAL,espX1=COMPLETE,fdeC=COMPLETE,iha=COMPLETE,iss=COMPLETE,lpfA=COMPLETE,saa=COMPLETE,sslE=HMM,stxA1a=COMPLETE,stxA2a=COMPLETE,stxB1a=COMPLETE,stxB2a=COMPLETE</t>
  </si>
  <si>
    <t>DAMHCB</t>
  </si>
  <si>
    <t>PDS000131324.1</t>
  </si>
  <si>
    <t>OLC2384</t>
  </si>
  <si>
    <t>CFIAFB20160290</t>
  </si>
  <si>
    <t>2016-SEQ-0355</t>
  </si>
  <si>
    <t>SAMN11373509</t>
  </si>
  <si>
    <t>GCA_026889995.1</t>
  </si>
  <si>
    <t>SRS16120132</t>
  </si>
  <si>
    <t>SRR22715047</t>
  </si>
  <si>
    <t>PDT001525342.1</t>
  </si>
  <si>
    <t>DAKZXV000000000.1</t>
  </si>
  <si>
    <t>DAKZXV</t>
  </si>
  <si>
    <t>OLC2410</t>
  </si>
  <si>
    <t>CFIAFB20160291</t>
  </si>
  <si>
    <t>STH-FD-2016-MI-0671</t>
  </si>
  <si>
    <t>2016-SEQ-0420</t>
  </si>
  <si>
    <t>Dried Sprouted Seed</t>
  </si>
  <si>
    <t>SPROUTED SEEDS: flax (milled, powder)</t>
  </si>
  <si>
    <t>O142:H38</t>
  </si>
  <si>
    <t>O142 (99.92):H38 (99.78)</t>
  </si>
  <si>
    <t>VT1(cc);uidA</t>
  </si>
  <si>
    <t>Stx1d_4_AB050959</t>
  </si>
  <si>
    <t>SAMN10989389</t>
  </si>
  <si>
    <t>GCA_026888935.1</t>
  </si>
  <si>
    <t>SRS16120115</t>
  </si>
  <si>
    <t>SRR22715064</t>
  </si>
  <si>
    <t>PDT001525359.1</t>
  </si>
  <si>
    <t>DAKZWC000000000.1</t>
  </si>
  <si>
    <t>espX1=COMPLETE,fdeC=COMPLETE,hlyA-alpha=COMPLETE,lpfA=COMPLETE,sslE=HMM,stxA1d=COMPLETE,stxB1d=COMPLETE</t>
  </si>
  <si>
    <t>DAKZWC</t>
  </si>
  <si>
    <t>OLC2482</t>
  </si>
  <si>
    <t>CFIAFB20170241</t>
  </si>
  <si>
    <t>CAL-FD-2016-MI-1144</t>
  </si>
  <si>
    <t>2016-SEQ-1089</t>
  </si>
  <si>
    <t>BEEF: raw, ground</t>
  </si>
  <si>
    <t>O109:H5</t>
  </si>
  <si>
    <t>O109 (99.78):H5 (100.0)ND</t>
  </si>
  <si>
    <t>Stx1a_21_DAKZXC010000004.1</t>
  </si>
  <si>
    <t>SAMN11030308</t>
  </si>
  <si>
    <t>GCA_026889575.1</t>
  </si>
  <si>
    <t>SRS16120103</t>
  </si>
  <si>
    <t>SRR22715076</t>
  </si>
  <si>
    <t>PDT001525371.1</t>
  </si>
  <si>
    <t>DAKZXC000000000.1</t>
  </si>
  <si>
    <t>glpT_E448K=POINT,marR_S3N=POINT,pmrB_E123D=POINT</t>
  </si>
  <si>
    <t>cdtB=PARTIAL_END_OF_CONTIG,cnf2=COMPLETE,fdeC=COMPLETE,hlyA-alpha=COMPLETE,ibeA=COMPLETE,iroB=COMPLETE,iroC=COMPLETE,iroD=COMPLETE,iroE=COMPLETE,iroN=COMPLETE,iucA=COMPLETE,iucB=COMPLETE,iucC=COMPLETE,iucD=COMPLETE,iutA=COMPLETE,sfaF=COMPLETE,sfaS=COMPLETE,sslE=COMPLETE,stxA1a=COMPLETE,stxB1a=COMPLETE,vactox=COMPLETE</t>
  </si>
  <si>
    <t>acrF=COMPLETE,blaEC=COMPLETE,glpT_E448K=POINT,marR_S3N=POINT,pmrB_E123D=POINT</t>
  </si>
  <si>
    <t>DAKZXC</t>
  </si>
  <si>
    <t>OLC2496</t>
  </si>
  <si>
    <t>CFIAFB20170256</t>
  </si>
  <si>
    <t>STH-FD-2016-MI-3007</t>
  </si>
  <si>
    <t>2016-SEQ-1338</t>
  </si>
  <si>
    <t>Lean Ground Beef</t>
  </si>
  <si>
    <t>O8:H2</t>
  </si>
  <si>
    <t>O8 (99.59):H2 (100.0)</t>
  </si>
  <si>
    <t>Stx2b_105_MZ229607</t>
  </si>
  <si>
    <t>SAMN11373398</t>
  </si>
  <si>
    <t>GCA_026897675.1</t>
  </si>
  <si>
    <t>SRS16120069</t>
  </si>
  <si>
    <t>SRR22715110</t>
  </si>
  <si>
    <t>PDT001525405.1</t>
  </si>
  <si>
    <t>DALAIM000000000.1</t>
  </si>
  <si>
    <t>espI=COMPLETE,espX1=PARTIAL,fdeC=COMPLETE,iss=COMPLETE,lpfA=COMPLETE,mchB=COMPLETE,mchF=MISTRANSLATION,sslE=HMM,stxA2b=COMPLETE,stxB2b=COMPLETE,subA=COMPLETE,subB=COMPLETE</t>
  </si>
  <si>
    <t>DALAIM</t>
  </si>
  <si>
    <t>PDS000127715.2</t>
  </si>
  <si>
    <t>OLC2497</t>
  </si>
  <si>
    <t>CFIAFB20170257</t>
  </si>
  <si>
    <t>2016-SEQ-1339</t>
  </si>
  <si>
    <t>SAMN11373396</t>
  </si>
  <si>
    <t>GCA_026897655.1</t>
  </si>
  <si>
    <t>SRS16120066</t>
  </si>
  <si>
    <t>SRR22715112</t>
  </si>
  <si>
    <t>PDT001525407.1</t>
  </si>
  <si>
    <t>DALAIL000000000.1</t>
  </si>
  <si>
    <t>DALAIL</t>
  </si>
  <si>
    <t>OLC2498</t>
  </si>
  <si>
    <t>CFIAFB20170258</t>
  </si>
  <si>
    <t>2016-SEQ-1340</t>
  </si>
  <si>
    <t>SAMN11373397</t>
  </si>
  <si>
    <t>GCA_026888735.1</t>
  </si>
  <si>
    <t>SRS16120068</t>
  </si>
  <si>
    <t>SRR22715111</t>
  </si>
  <si>
    <t>PDT001525406.1</t>
  </si>
  <si>
    <t>DAKZVU000000000.1</t>
  </si>
  <si>
    <t>DAKZVU</t>
  </si>
  <si>
    <t>OLC2499</t>
  </si>
  <si>
    <t>CFIAFB20170259</t>
  </si>
  <si>
    <t>2016-SEQ-1341</t>
  </si>
  <si>
    <t>VT2;uidA;IGS</t>
  </si>
  <si>
    <t>SAMN11373399</t>
  </si>
  <si>
    <t>GCA_026888755.1</t>
  </si>
  <si>
    <t>SRS16120071</t>
  </si>
  <si>
    <t>SRR22715109</t>
  </si>
  <si>
    <t>PDT001525404.1</t>
  </si>
  <si>
    <t>DAKZVV000000000.1</t>
  </si>
  <si>
    <t>DAKZVV</t>
  </si>
  <si>
    <t>OLC2500</t>
  </si>
  <si>
    <t>CFIAFB20170260</t>
  </si>
  <si>
    <t>2016-SEQ-1342</t>
  </si>
  <si>
    <t>SAMN13334742</t>
  </si>
  <si>
    <t>GCA_027231685.1</t>
  </si>
  <si>
    <t>SRS16250853</t>
  </si>
  <si>
    <t>SRR22858697</t>
  </si>
  <si>
    <t>PDT001543034.1</t>
  </si>
  <si>
    <t>2022-12-22T05:39:36Z</t>
  </si>
  <si>
    <t>DALPBW000000000.1</t>
  </si>
  <si>
    <t>DALPBW</t>
  </si>
  <si>
    <t>OLC2518</t>
  </si>
  <si>
    <t>CFIAFB20170266</t>
  </si>
  <si>
    <t>STH-FD-2017-MI-0035</t>
  </si>
  <si>
    <t>2017-SEQ-0083</t>
  </si>
  <si>
    <t>LEAN GROUND VEAL</t>
  </si>
  <si>
    <t>O55 (100.0):H12 (99.89)ND</t>
  </si>
  <si>
    <t>SAMN10989391</t>
  </si>
  <si>
    <t>GCA_026901145.1</t>
  </si>
  <si>
    <t>SRS16120117</t>
  </si>
  <si>
    <t>SRR22715062</t>
  </si>
  <si>
    <t>PDT001525357.1</t>
  </si>
  <si>
    <t>DAKZVP000000000.1</t>
  </si>
  <si>
    <t>bmaE=COMPLETE,cdtB=COMPLETE,cnf2=COMPLETE,espP=COMPLETE,espX1=COMPLETE,fdeC=COMPLETE,iha=COMPLETE,iss=COMPLETE,iucA=COMPLETE,iucB=COMPLETE,iucC=COMPLETE,iucD=COMPLETE,iutA=COMPLETE,lpfA=COMPLETE,stxA1a=COMPLETE,stxB1a=COMPLETE</t>
  </si>
  <si>
    <t>DAKZVP</t>
  </si>
  <si>
    <t>PDS000127717.2</t>
  </si>
  <si>
    <t>OLC2519</t>
  </si>
  <si>
    <t>CFIAFB20170267</t>
  </si>
  <si>
    <t>2017-SEQ-0084</t>
  </si>
  <si>
    <t>O116:H16</t>
  </si>
  <si>
    <t>O116 (99.86):H16 (99.94)ND</t>
  </si>
  <si>
    <t>Stx2g_147_ABBBWF010000055.1</t>
  </si>
  <si>
    <t>SAMN13334743</t>
  </si>
  <si>
    <t>GCA_027234145.1</t>
  </si>
  <si>
    <t>SRS16250852</t>
  </si>
  <si>
    <t>SRR22858698</t>
  </si>
  <si>
    <t>PDT001543035.1</t>
  </si>
  <si>
    <t>DALPGP000000000.1</t>
  </si>
  <si>
    <t>aadA1=COMPLETE,glpT_E448K=POINT,sul1=COMPLETE,tet(A)=COMPLETE</t>
  </si>
  <si>
    <t>astA=PARTIAL_END_OF_CONTIG,ehxA=PARTIAL_END_OF_CONTIG,fdeC=COMPLETE,lpfA-O113=COMPLETE,sslE=HMM,sta1=COMPLETE,stxA2=COMPLETE,stxB2=COMPLETE</t>
  </si>
  <si>
    <t>ariR=COMPLETE,emrE=COMPLETE,merA=HMM,merC=COMPLETE,merD=HMM,merE=HMM,merP=COMPLETE,merR=COMPLETE,merT=COMPLETE,qacEdelta1=COMPLETE</t>
  </si>
  <si>
    <t>aadA1=COMPLETE,acrF=COMPLETE,blaEC=COMPLETE,glpT_E448K=POINT,mdtM=COMPLETE,sul1=COMPLETE,tet(A)=COMPLETE</t>
  </si>
  <si>
    <t>DALPGP</t>
  </si>
  <si>
    <t>OLC2520</t>
  </si>
  <si>
    <t>CFIAFB20170269</t>
  </si>
  <si>
    <t>DAR-FD-2017-MI-00109</t>
  </si>
  <si>
    <t>2017-MER-0171</t>
  </si>
  <si>
    <t>Whole Wheat Flour</t>
  </si>
  <si>
    <t>SAMN09468190</t>
  </si>
  <si>
    <t>GCA_012164495.1</t>
  </si>
  <si>
    <t>SRS3464487</t>
  </si>
  <si>
    <t>SRR7435872</t>
  </si>
  <si>
    <t>PDT000336893.2</t>
  </si>
  <si>
    <t>DAAZBT000000000.1</t>
  </si>
  <si>
    <t>DAAZBT</t>
  </si>
  <si>
    <t>OLC2521</t>
  </si>
  <si>
    <t>CFIAFB20170336</t>
  </si>
  <si>
    <t>DAR-FD-2017-MI-00120</t>
  </si>
  <si>
    <t>2017-SEQ-0209</t>
  </si>
  <si>
    <t>- (-):H29 (100.0)</t>
  </si>
  <si>
    <t>vtx2b;vtx2d</t>
  </si>
  <si>
    <t>Stx2d_112_GCA_012069975.1</t>
  </si>
  <si>
    <t>aadA2 (100.0%) Aminoglycoside;aph(3'')-Ib (100.0%) Colistin;aph(6)-Id (100.0%) Colistin;dfrA23 (100.0%) Trimethoprim;floR (98.11%) Phenicol;sul1 (100.</t>
  </si>
  <si>
    <t>SAMN10989394</t>
  </si>
  <si>
    <t>GCA_026897995.2</t>
  </si>
  <si>
    <t>SRS16120120</t>
  </si>
  <si>
    <t>SRR22715059</t>
  </si>
  <si>
    <t>PDT001525354.2</t>
  </si>
  <si>
    <t>DALAJB000000000.2</t>
  </si>
  <si>
    <t>aadA2=COMPLETE,aph(3'')-Ib=COMPLETE,aph(6)-Id=COMPLETE,dfrA23=COMPLETE,floR=COMPLETE,sul1=COMPLETE,sul2=COMPLETE,tet(A)=COMPLETE,uhpT_E350Q=POINT</t>
  </si>
  <si>
    <t>astA=COMPLETE,espX1=PARTIAL,fdeC=COMPLETE,iha=COMPLETE,stx2_operon=PARTIAL_CONTIG_END,stx2b_operon=COMPLETE,stx2d_operon=COMPLETE,stxA2=COMPLETE,stxB2=COMPLETE</t>
  </si>
  <si>
    <t>ariR=COMPLETE,arsD=COMPLETE,emrE=COMPLETE,merA=HMM,merC=COMPLETE,merD=PARTIAL,merP=COMPLETE,merR=COMPLETE,merT=COMPLETE,qacEdelta1=COMPLETE</t>
  </si>
  <si>
    <t>aadA2=COMPLETE,acrF=COMPLETE,aph(3'')-Ib=COMPLETE,aph(6)-Id=COMPLETE,blaEC=COMPLETE,dfrA23=COMPLETE,floR=COMPLETE,mdtM=COMPLETE,sul1=COMPLETE,sul2=COMPLETE,tet(A)=COMPLETE,uhpT_E350Q=POINT</t>
  </si>
  <si>
    <t>DALAJB</t>
  </si>
  <si>
    <t>PDS000127702.3</t>
  </si>
  <si>
    <t>OLC2522</t>
  </si>
  <si>
    <t>CFIAFB20170337</t>
  </si>
  <si>
    <t>2017-SEQ-0210</t>
  </si>
  <si>
    <t>SAMN11373508</t>
  </si>
  <si>
    <t>GCA_026888995.2</t>
  </si>
  <si>
    <t>SRS16120131</t>
  </si>
  <si>
    <t>SRR22715048</t>
  </si>
  <si>
    <t>PDT001525343.2</t>
  </si>
  <si>
    <t>DAKZWG000000000.2</t>
  </si>
  <si>
    <t>DAKZWG</t>
  </si>
  <si>
    <t>OLC2524</t>
  </si>
  <si>
    <t>CFIAFB20170338</t>
  </si>
  <si>
    <t>CFIAFB20170338_STEC</t>
  </si>
  <si>
    <t>2017-SEQ-0212</t>
  </si>
  <si>
    <t>terA (98.10%),terB 100.00%),terC (99.90%),terD 100.00%),terE 100.00%),terF 100.00%),terZ (98.97%)</t>
  </si>
  <si>
    <t>GROUND VEAL MILK FED PROMIVI</t>
  </si>
  <si>
    <t>O118:H2</t>
  </si>
  <si>
    <t>O118/O151 (100.0):H2 (100.0)</t>
  </si>
  <si>
    <t>ARR (100.0%) Rifampicin;aac(3) (99.88%) Quinolone;aadA22 (100.0%) Aminoglycoside;aph(3')-Ia (99.88%) Colistin;blaCTX-M-55 (100.0%) Beta-Lactamase;dfrA</t>
  </si>
  <si>
    <t>SAMN13334749</t>
  </si>
  <si>
    <t>GCA_027658815.1</t>
  </si>
  <si>
    <t>SRS12174897</t>
  </si>
  <si>
    <t>SRR18215055</t>
  </si>
  <si>
    <t>PDT001563934.1</t>
  </si>
  <si>
    <t>DAMHHZ000000000.1</t>
  </si>
  <si>
    <t>aac(3)-IId=COMPLETE,aadA22=COMPLETE,aph(3')-Ia=COMPLETE,arr-2=COMPLETE,blaCTX-M-55=COMPLETE,dfrA14=COMPLETE,floR=COMPLETE,glpT_E448K=POINT,lnu(F)=COMPLETE,mph(A)=COMPLETE,pmrB_Y358N=POINT,qnrS1=COMPLETE,sul3=COMPLETE,tet(A)=COMPLETE</t>
  </si>
  <si>
    <t>cif=COMPLETE,eae=COMPLETE,efa1=COMPLETE,ehxA=COMPLETE,epeA=PARTIAL_END_OF_CONTIG,espA=COMPLETE,espB=COMPLETE,espJ=COMPLETE,espK=COMPLETE,espP=PARTIAL_END_OF_CONTIG,espX1=PARTIAL,fdeC=COMPLETE,iha=COMPLETE,iucA=COMPLETE,iucB=COMPLETE,iucC=COMPLETE,iucD=COMPLETE,iutA=COMPLETE,katP=COMPLETE,lpfA=COMPLETE,nleA=COMPLETE,nleB=COMPLETE,sslE=HMM,stxA1a=COMPLETE,stxB1a=COMPLETE,tir=COMPLETE,toxB=COMPLETE</t>
  </si>
  <si>
    <t>ariR=COMPLETE,terD=COMPLETE,terW=COMPLETE,terZ=COMPLETE,terZ=PARTIAL_END_OF_CONTIG</t>
  </si>
  <si>
    <t>aac(3)-IId=COMPLETE,aadA22=COMPLETE,acrF=COMPLETE,aph(3')-Ia=COMPLETE,arr-2=COMPLETE,blaCTX-M-55=COMPLETE,blaEC=COMPLETE,dfrA14=COMPLETE,floR=COMPLETE,glpT_E448K=POINT,lnu(F)=COMPLETE,mdtM=COMPLETE,mph(A)=COMPLETE,pmrB_Y358N=POINT,qnrS1=COMPLETE,sul3=COMPLETE,tet(A)=COMPLETE</t>
  </si>
  <si>
    <t>DAMHHZ</t>
  </si>
  <si>
    <t>PDS000082409.9</t>
  </si>
  <si>
    <t>OLC2526</t>
  </si>
  <si>
    <t>CFIAFB20170270</t>
  </si>
  <si>
    <t>STH-FD-2017-MI-0374</t>
  </si>
  <si>
    <t>2017-SEQ-0277</t>
  </si>
  <si>
    <t>terA (99.40%),terB (99.78%),terC (98.75%),terD (99.31%),terE (94.79%),terF (93.53%),terZ (98.63%)</t>
  </si>
  <si>
    <t>O55 (100.0):H12 (99.94)</t>
  </si>
  <si>
    <t>aac(3) (99.78%) Aminoglycoside;aadA1 (100.0%) Aminoglycoside;aadA2 (100.0%) Aminoglycoside;aph(3'')-Ib (100.0%) Aminoglycoside;aph(3')-Ia (99.75%) Ami</t>
  </si>
  <si>
    <t>SAMN11030313</t>
  </si>
  <si>
    <t>GCA_027656785.1</t>
  </si>
  <si>
    <t>SRS12174898</t>
  </si>
  <si>
    <t>SRR18215054</t>
  </si>
  <si>
    <t>PDT001563933.1</t>
  </si>
  <si>
    <t>DAMHDS000000000.1</t>
  </si>
  <si>
    <t>aac(3)-VIa=COMPLETE,aadA1=COMPLETE,aadA2=COMPLETE,aph(3'')-Ib=COMPLETE,aph(3')-Ia=COMPLETE,aph(6)-Id=COMPLETE,dfrA12=COMPLETE,floR=COMPLETE,glpT_E448K=POINT,pmrB_Y358N=POINT,sul1=COMPLETE,sul1=MISTRANSLATION,sul1=PARTIAL_END_OF_CONTIG,sul2=COMPLETE,tet(A)=COMPLETE,tet(M)=COMPLETE</t>
  </si>
  <si>
    <t>bmaE=COMPLETE,cdtB=COMPLETE,cnf2=COMPLETE,espX1=COMPLETE,fdeC=COMPLETE,iss=COMPLETE,iucA=COMPLETE,iucB=COMPLETE,iucC=COMPLETE,iucD=COMPLETE,iutA=COMPLETE,lpfA=COMPLETE,stxA1a=COMPLETE,stxB1a=COMPLETE</t>
  </si>
  <si>
    <t>ariR=COMPLETE,qacEdelta1=COMPLETE,qacG2=COMPLETE,terD=COMPLETE,terW=COMPLETE,terZ=COMPLETE</t>
  </si>
  <si>
    <t>aac(3)-VIa=COMPLETE,aadA1=COMPLETE,aadA2=COMPLETE,acrF=COMPLETE,aph(3'')-Ib=COMPLETE,aph(3')-Ia=COMPLETE,aph(6)-Id=COMPLETE,blaEC=COMPLETE,dfrA12=COMPLETE,floR=COMPLETE,glpT_E448K=POINT,mdtM=COMPLETE,pmrB_Y358N=POINT,sul1=COMPLETE,sul1=MISTRANSLATION,sul1=PARTIAL_END_OF_CONTIG,sul2=COMPLETE,tet(A)=COMPLETE,tet(M)=COMPLETE</t>
  </si>
  <si>
    <t>DAMHDS</t>
  </si>
  <si>
    <t>PDS000127713.3</t>
  </si>
  <si>
    <t>OLC2529</t>
  </si>
  <si>
    <t>CFIAFB20170273</t>
  </si>
  <si>
    <t>2019-SEQ-0254</t>
  </si>
  <si>
    <t>Raw lean ground Veal</t>
  </si>
  <si>
    <t>O-untypeable:H12 (99.94)</t>
  </si>
  <si>
    <t>aminoglycoside(aac(3) (99.78%);aadA1 (100.0%);aadA2 (100.0%);aph(3'')-Ib (100.0%);aph(3')-Ia (99.75%);aph(6)-Id (100.0%));macrolide(mdf(A) (98.46%));phenicol(floR (98.11%));sulphonamide(sul2 (100.0%));tetracycline(tet(A) (97.25%);tet(M) (99.17%));trimetho</t>
  </si>
  <si>
    <t>SAMN11373405</t>
  </si>
  <si>
    <t>GCA_026889775.1</t>
  </si>
  <si>
    <t>SRS16120125</t>
  </si>
  <si>
    <t>SRR22715054</t>
  </si>
  <si>
    <t>PDT001525349.1</t>
  </si>
  <si>
    <t>DAKZXL000000000.1</t>
  </si>
  <si>
    <t>bmaE=COMPLETE,cdtB=COMPLETE,cnf2=PARTIAL_END_OF_CONTIG,espX1=COMPLETE,fdeC=COMPLETE,iss=COMPLETE,iucA=COMPLETE,iucB=COMPLETE,iucC=COMPLETE,iucD=COMPLETE,iutA=COMPLETE,lpfA=COMPLETE,stxA1a=COMPLETE,stxB1a=COMPLETE</t>
  </si>
  <si>
    <t>DAKZXL</t>
  </si>
  <si>
    <t>OLC2530</t>
  </si>
  <si>
    <t>CFIAFB20170274</t>
  </si>
  <si>
    <t>2017-SEQ-0384</t>
  </si>
  <si>
    <t>O55 (100.0):H12 (99.94)ND</t>
  </si>
  <si>
    <t>SAMN11373406</t>
  </si>
  <si>
    <t>GCA_026897975.1</t>
  </si>
  <si>
    <t>SRS16120126</t>
  </si>
  <si>
    <t>SRR22715053</t>
  </si>
  <si>
    <t>PDT001525348.1</t>
  </si>
  <si>
    <t>DALAJC000000000.1</t>
  </si>
  <si>
    <t>aac(3)-VIa=COMPLETE,aadA1=COMPLETE,aadA2=COMPLETE,aph(3'')-Ib=COMPLETE,aph(3')-Ia=COMPLETE,aph(6)-Id=COMPLETE,dfrA12=COMPLETE,floR=COMPLETE,glpT_E448K=POINT,pmrB_Y358N=POINT,sul1=COMPLETE,sul1=MISTRANSLATION,sul2=COMPLETE,tet(A)=COMPLETE,tet(M)=COMPLETE</t>
  </si>
  <si>
    <t>ariR=COMPLETE,qacE=COMPLETE,qacEdelta1=COMPLETE,qacG2=COMPLETE,terD=COMPLETE,terW=COMPLETE,terZ=COMPLETE</t>
  </si>
  <si>
    <t>aac(3)-VIa=COMPLETE,aadA1=COMPLETE,aadA2=COMPLETE,acrF=COMPLETE,aph(3'')-Ib=COMPLETE,aph(3')-Ia=COMPLETE,aph(6)-Id=COMPLETE,blaEC=COMPLETE,dfrA12=COMPLETE,floR=COMPLETE,glpT_E448K=POINT,mdtM=COMPLETE,pmrB_Y358N=POINT,sul1=COMPLETE,sul1=MISTRANSLATION,sul2=COMPLETE,tet(A)=COMPLETE,tet(M)=COMPLETE</t>
  </si>
  <si>
    <t>DALAJC</t>
  </si>
  <si>
    <t>OLC2531</t>
  </si>
  <si>
    <t>CFIAFB20170275</t>
  </si>
  <si>
    <t>2017-SEQ-0385</t>
  </si>
  <si>
    <t>SAMN11373404</t>
  </si>
  <si>
    <t>GCA_026897735.1</t>
  </si>
  <si>
    <t>SRS16120075</t>
  </si>
  <si>
    <t>SRR22715103</t>
  </si>
  <si>
    <t>PDT001525398.1</t>
  </si>
  <si>
    <t>DALAIQ000000000.1</t>
  </si>
  <si>
    <t>DALAIQ</t>
  </si>
  <si>
    <t>OLC2532</t>
  </si>
  <si>
    <t>CFIAFB20170276</t>
  </si>
  <si>
    <t>2017-SEQ-0383</t>
  </si>
  <si>
    <t>SAMN13334744</t>
  </si>
  <si>
    <t>GCA_027227585.1</t>
  </si>
  <si>
    <t>SRS16250850</t>
  </si>
  <si>
    <t>SRR22858700</t>
  </si>
  <si>
    <t>PDT001543037.1</t>
  </si>
  <si>
    <t>DALOWT000000000.1</t>
  </si>
  <si>
    <t>bmaE=COMPLETE,cdtB=COMPLETE,cnf2=COMPLETE,espX1=COMPLETE,fdeC=COMPLETE,iss=COMPLETE,iucA=COMPLETE,iucB=COMPLETE,iucC=COMPLETE,iucD=COMPLETE,iutA=COMPLETE,lpfA-O113=COMPLETE,lpfA=COMPLETE,stxA1=COMPLETE,stxB1=COMPLETE</t>
  </si>
  <si>
    <t>DALOWT</t>
  </si>
  <si>
    <t>OLC2645</t>
  </si>
  <si>
    <t>CFIAFB20170277</t>
  </si>
  <si>
    <t>STH-FD-2017-MI-0530</t>
  </si>
  <si>
    <t>2017-SEQ-0386</t>
  </si>
  <si>
    <t>O8 (99.59):H19 (99.89)ND</t>
  </si>
  <si>
    <t>SAMN11373402</t>
  </si>
  <si>
    <t>GCA_026897695.1</t>
  </si>
  <si>
    <t>SRS16120072</t>
  </si>
  <si>
    <t>SRR22715106</t>
  </si>
  <si>
    <t>PDT001525401.1</t>
  </si>
  <si>
    <t>DALAIN000000000.1</t>
  </si>
  <si>
    <t>espX1=PARTIAL,fdeC=COMPLETE,iss=COMPLETE,iucA=COMPLETE,iucB=COMPLETE,iucC=COMPLETE,iucD=COMPLETE,iutA=COMPLETE,lpfA=COMPLETE,sslE=HMM,stxA2d=COMPLETE,stxB2e=COMPLETE</t>
  </si>
  <si>
    <t>DALAIN</t>
  </si>
  <si>
    <t>OLC2647</t>
  </si>
  <si>
    <t>CFIAFB20170279</t>
  </si>
  <si>
    <t>STH-FD-2017-MI-0532</t>
  </si>
  <si>
    <t>2017-SEQ-0388</t>
  </si>
  <si>
    <t>OUT:H20</t>
  </si>
  <si>
    <t>O-untypeable:H20 (98.04)ND</t>
  </si>
  <si>
    <t>Stx1a_19_RRQA01000004.1|Stx2a_16_BFKR01000277.1</t>
  </si>
  <si>
    <t>aadA2 (100.0%) Aminoglycoside;dfrA12 (100.0%) Trimethoprim;sul1 (100.0%) sulphonamide;tet(A) (100.0%) Tetracycline</t>
  </si>
  <si>
    <t>SAMN11373511</t>
  </si>
  <si>
    <t>GCA_026889875.1</t>
  </si>
  <si>
    <t>SRS16120135</t>
  </si>
  <si>
    <t>SRR22715044</t>
  </si>
  <si>
    <t>PDT001525339.1</t>
  </si>
  <si>
    <t>DAKZXR000000000.1</t>
  </si>
  <si>
    <t>aadA2=COMPLETE,cyaA_S352T=POINT,dfrA12=COMPLETE,glpT_E448K=POINT,sul1=COMPLETE,tet(A)=COMPLETE,uhpT_E350Q=POINT</t>
  </si>
  <si>
    <t>cdtB=COMPLETE,ehxA=COMPLETE,eilA=COMPLETE,espP=COMPLETE,espX1=COMPLETE,fdeC=COMPLETE,iha=COMPLETE,iss=COMPLETE,sinH=HMM,sslE=HMM,stxA1a=COMPLETE,stxA2a=COMPLETE,stxB1a=COMPLETE,stxB2a=COMPLETE</t>
  </si>
  <si>
    <t>aadA2=COMPLETE,acrF=COMPLETE,blaEC=COMPLETE,cyaA_S352T=POINT,dfrA12=COMPLETE,glpT_E448K=POINT,mdtM=COMPLETE,sul1=COMPLETE,tet(A)=COMPLETE,uhpT_E350Q=POINT</t>
  </si>
  <si>
    <t>DAKZXR</t>
  </si>
  <si>
    <t>OLC2648</t>
  </si>
  <si>
    <t>CFIAFB20170280</t>
  </si>
  <si>
    <t>2017-SEQ-0389</t>
  </si>
  <si>
    <t>O78 (100.0):H16 (99.94)ND</t>
  </si>
  <si>
    <t>SAMN11373403</t>
  </si>
  <si>
    <t>GCA_026897715.1</t>
  </si>
  <si>
    <t>SRS16120073</t>
  </si>
  <si>
    <t>SRR22715105</t>
  </si>
  <si>
    <t>PDT001525400.1</t>
  </si>
  <si>
    <t>DALAIO000000000.1</t>
  </si>
  <si>
    <t>bmaE=COMPLETE,cdtB=COMPLETE,cnf2=COMPLETE,espP=COMPLETE,espX1=COMPLETE,fdeC=COMPLETE,iha=COMPLETE,ireA=COMPLETE,iss=COMPLETE,iucA=COMPLETE,iucB=COMPLETE,iucC=COMPLETE,iucD=COMPLETE,iutA=COMPLETE,lpfA=COMPLETE,sslE=HMM,stxA1a=COMPLETE,stxB1a=COMPLETE</t>
  </si>
  <si>
    <t>ariR=COMPLETE,emrE=COMPLETE,emrE=MISTRANSLATION,merA=HMM,merC=COMPLETE,merD=HMM,merE=HMM,merP=COMPLETE,merR=COMPLETE,merT=COMPLETE,qacEdelta1=COMPLETE</t>
  </si>
  <si>
    <t>aadA1=COMPLETE,acrF=COMPLETE,blaEC=COMPLETE,glpT_E448K=POINT,mdtM=COMPLETE,pmrB_Y358N=POINT,sul1=COMPLETE,tet(A)=COMPLETE</t>
  </si>
  <si>
    <t>DALAIO</t>
  </si>
  <si>
    <t>OLC2653</t>
  </si>
  <si>
    <t>CFIAFB20170286</t>
  </si>
  <si>
    <t>CAL-FD-2017-MI-0382</t>
  </si>
  <si>
    <t>2017-SEQ-0458</t>
  </si>
  <si>
    <t>Ground Veal</t>
  </si>
  <si>
    <t>O91 (99.92):H21 (98.64)</t>
  </si>
  <si>
    <t>Stx1a_24_AARFSX010000041.1|Stx2a_6_BGEO01000049.1</t>
  </si>
  <si>
    <t>SAMN11373395</t>
  </si>
  <si>
    <t>GCA_026888675.1</t>
  </si>
  <si>
    <t>SRS16120067</t>
  </si>
  <si>
    <t>SRR22715113</t>
  </si>
  <si>
    <t>PDT001525408.1</t>
  </si>
  <si>
    <t>DAKZVS000000000.1</t>
  </si>
  <si>
    <t>cdtB=COMPLETE,ehxA=COMPLETE,epeA=PARTIAL_END_OF_CONTIG,fdeC=COMPLETE,iha=COMPLETE,iss=COMPLETE,lpfA=COMPLETE,sslE=HMM,stxA1a=COMPLETE,stxA2c=COMPLETE,stxB1a=COMPLETE,stxB2a=COMPLETE</t>
  </si>
  <si>
    <t>DAKZVS</t>
  </si>
  <si>
    <t>PDS000127704.1</t>
  </si>
  <si>
    <t>OLC2654</t>
  </si>
  <si>
    <t>CFIAFB20170287</t>
  </si>
  <si>
    <t>CAL-FD-2017-MI-0383</t>
  </si>
  <si>
    <t>2017-MER-0170</t>
  </si>
  <si>
    <t>SAMN10989393</t>
  </si>
  <si>
    <t>GCA_026897955.1</t>
  </si>
  <si>
    <t>SRS16120118</t>
  </si>
  <si>
    <t>SRR22715060</t>
  </si>
  <si>
    <t>PDT001525355.1</t>
  </si>
  <si>
    <t>DALAJA000000000.1</t>
  </si>
  <si>
    <t>DALAJA</t>
  </si>
  <si>
    <t>OLC2655</t>
  </si>
  <si>
    <t>CFIAFB20170288</t>
  </si>
  <si>
    <t>2017-SEQ-0460</t>
  </si>
  <si>
    <t>SAMN11373401</t>
  </si>
  <si>
    <t>GCA_026888775.1</t>
  </si>
  <si>
    <t>SRS16120091</t>
  </si>
  <si>
    <t>SRR22715107</t>
  </si>
  <si>
    <t>PDT001525402.1</t>
  </si>
  <si>
    <t>DAKZVT000000000.1</t>
  </si>
  <si>
    <t>cdtB=COMPLETE,ehxA=COMPLETE,epeA=PARTIAL_END_OF_CONTIG,espX1=PARTIAL,fdeC=COMPLETE,iha=COMPLETE,iss=COMPLETE,lpfA=COMPLETE,sslE=HMM,stxA1a=COMPLETE,stxA2c=COMPLETE,stxB1a=COMPLETE,stxB2a=COMPLETE</t>
  </si>
  <si>
    <t>DAKZVT</t>
  </si>
  <si>
    <t>OLC2659</t>
  </si>
  <si>
    <t>CFIAFB20170293</t>
  </si>
  <si>
    <t>BUR-FI-2017-MI-00541</t>
  </si>
  <si>
    <t>2017-SEQ-0617</t>
  </si>
  <si>
    <t>O171 (99.76):H2 (100.0)ND</t>
  </si>
  <si>
    <t>aph(6)-Id (100.0%) Colistin;strA (100.0%) ;sul2 (100.0%) sulphonamide;tet(B) (100.0%) Tetracycline</t>
  </si>
  <si>
    <t>SAMN11030307</t>
  </si>
  <si>
    <t>GCA_026897875.2</t>
  </si>
  <si>
    <t>SRS16120102</t>
  </si>
  <si>
    <t>SRR22715077</t>
  </si>
  <si>
    <t>PDT001525372.2</t>
  </si>
  <si>
    <t>DALAIW000000000.2</t>
  </si>
  <si>
    <t>aph(3'')-Ib=COMPLETE,aph(6)-Id=COMPLETE,sul2=COMPLETE,tet(B)=COMPLETE</t>
  </si>
  <si>
    <t>acrF=COMPLETE,aph(3'')-Ib=COMPLETE,aph(6)-Id=COMPLETE,blaEC=COMPLETE,mdtM=COMPLETE,sul2=COMPLETE,tet(B)=COMPLETE</t>
  </si>
  <si>
    <t>DALAIW</t>
  </si>
  <si>
    <t>OLC2660</t>
  </si>
  <si>
    <t>CFIAFB20170294</t>
  </si>
  <si>
    <t>2017-SEQ-0618</t>
  </si>
  <si>
    <t>O113 (99.83):H4 (99.9)ND</t>
  </si>
  <si>
    <t>aph(6)-Id (100.0%) Colistin;blaCMY (70.34%) Beta-Lactamase;blaTEM (RblaTEM-1) (100.0%) Beta-Lactamase;strA (100.0%) ;sul2 (100.0%) sulphonamide;tet(B)</t>
  </si>
  <si>
    <t>SAMN10989392</t>
  </si>
  <si>
    <t>GCA_026889035.1</t>
  </si>
  <si>
    <t>SRS16120119</t>
  </si>
  <si>
    <t>SRR22715061</t>
  </si>
  <si>
    <t>PDT001525356.1</t>
  </si>
  <si>
    <t>DAKZWF000000000.1</t>
  </si>
  <si>
    <t>aph(3'')-Ib=COMPLETE,aph(6)-Id=COMPLETE,blaTEM-1=COMPLETE,sul2=COMPLETE,tet(B)=COMPLETE</t>
  </si>
  <si>
    <t>astA=PARTIAL_END_OF_CONTIG,espI=COMPLETE,espX1=PARTIAL,iha=COMPLETE,ireA=COMPLETE,papC=COMPLETE,papE=COMPLETE,papF=COMPLETE,papG-II=COMPLETE,stxA1a=COMPLETE,stxA2d=COMPLETE,stxB1a=COMPLETE,stxB2d=COMPLETE</t>
  </si>
  <si>
    <t>acrF=COMPLETE,aph(3'')-Ib=COMPLETE,aph(6)-Id=COMPLETE,blaEC=COMPLETE,blaTEM-1=COMPLETE,mdtM=COMPLETE,sul2=COMPLETE,tet(B)=COMPLETE</t>
  </si>
  <si>
    <t>DAKZWF</t>
  </si>
  <si>
    <t>OLC2661</t>
  </si>
  <si>
    <t>CFIAFB20170296</t>
  </si>
  <si>
    <t>BUR-FI-2017-MI-00638</t>
  </si>
  <si>
    <t>2017-SEQ-0657</t>
  </si>
  <si>
    <t>Stx2a_107_AY443054</t>
  </si>
  <si>
    <t>SAMN13334745</t>
  </si>
  <si>
    <t>GCA_027235625.2</t>
  </si>
  <si>
    <t>SRS16250849</t>
  </si>
  <si>
    <t>SRR22858701</t>
  </si>
  <si>
    <t>PDT001543038.2</t>
  </si>
  <si>
    <t>DALPII000000000.2</t>
  </si>
  <si>
    <t>ehxA=COMPLETE,epeA=PARTIAL_END_OF_CONTIG,espP=PARTIAL_END_OF_CONTIG,espX1=COMPLETE,fdeC=COMPLETE,iha=COMPLETE,lpfA-O113=COMPLETE,saa=PARTIAL_END_OF_CONTIG,sslE=HMM,stx2_operon=PARTIAL_CONTIG_END,stx2a_operon=COMPLETE,stx2d_operon=COMPLETE,stxA2=COMPLETE,stxB2=COMPLETE,subA=COMPLETE,subB=COMPLETE</t>
  </si>
  <si>
    <t>DALPII</t>
  </si>
  <si>
    <t>OLC2664</t>
  </si>
  <si>
    <t>CFIAFB20170299</t>
  </si>
  <si>
    <t>CAL-FD-2017-MI-0594</t>
  </si>
  <si>
    <t>2017-SEQ-0694</t>
  </si>
  <si>
    <t>O-untypeable:H11 (99.32)</t>
  </si>
  <si>
    <t>Stx2a_16_BFKR01000277.1</t>
  </si>
  <si>
    <t>SAMN10989388</t>
  </si>
  <si>
    <t>GCA_026889735.1</t>
  </si>
  <si>
    <t>SRS16120114</t>
  </si>
  <si>
    <t>SRR22715065</t>
  </si>
  <si>
    <t>PDT001525360.1</t>
  </si>
  <si>
    <t>DAKZXJ000000000.1</t>
  </si>
  <si>
    <t>ehxA=COMPLETE,epeA=COMPLETE,espP=COMPLETE,espX1=COMPLETE,fdeC=COMPLETE,iha=COMPLETE,iss=COMPLETE,lpfA=COMPLETE,sslE=HMM,stxA2a=COMPLETE,stxB2a=COMPLETE,subA=COMPLETE,subB=COMPLETE</t>
  </si>
  <si>
    <t>DAKZXJ</t>
  </si>
  <si>
    <t>PDS000127710.1</t>
  </si>
  <si>
    <t>OLC2665</t>
  </si>
  <si>
    <t>CFIAFB20170300</t>
  </si>
  <si>
    <t>2017-SEQ-0695</t>
  </si>
  <si>
    <t>SAMN10989387</t>
  </si>
  <si>
    <t>GCA_026901125.1</t>
  </si>
  <si>
    <t>SRS16120113</t>
  </si>
  <si>
    <t>SRR22715066</t>
  </si>
  <si>
    <t>PDT001525361.1</t>
  </si>
  <si>
    <t>DAKZVO000000000.1</t>
  </si>
  <si>
    <t>espX1=COMPLETE,fdeC=COMPLETE,iss=COMPLETE,lpfA=COMPLETE,sslE=HMM,stxA2a=COMPLETE,stxB2a=COMPLETE</t>
  </si>
  <si>
    <t>DAKZVO</t>
  </si>
  <si>
    <t>OLC2797</t>
  </si>
  <si>
    <t>CFIAFB20170306</t>
  </si>
  <si>
    <t>STH-FD-2017-MI-1049</t>
  </si>
  <si>
    <t>2017-SEQ-0730</t>
  </si>
  <si>
    <t>BEEF: raw, ground, lean, veal</t>
  </si>
  <si>
    <t>Stx1c_12_Z36901|Stx2b_23_AJ567995</t>
  </si>
  <si>
    <t>SAMN13334747</t>
  </si>
  <si>
    <t>GCA_027241525.1</t>
  </si>
  <si>
    <t>SRS16250848</t>
  </si>
  <si>
    <t>SRR22858702</t>
  </si>
  <si>
    <t>PDT001543039.1</t>
  </si>
  <si>
    <t>DALPOO000000000.1</t>
  </si>
  <si>
    <t>ehxA=COMPLETE,espI=COMPLETE,espX1=COMPLETE,fdeC=COMPLETE,iha=COMPLETE,ireA=COMPLETE,iss=COMPLETE,lpfA=COMPLETE,sslE=HMM,stxA1c=COMPLETE,stxA2b=COMPLETE,stxB1c=COMPLETE,stxB2b=COMPLETE,subA=COMPLETE,subB=COMPLETE</t>
  </si>
  <si>
    <t>DALPOO</t>
  </si>
  <si>
    <t>OLC2798</t>
  </si>
  <si>
    <t>CFIAFB20170307</t>
  </si>
  <si>
    <t>CAL-FD-2017-MI-0703</t>
  </si>
  <si>
    <t>2017-MER-0388</t>
  </si>
  <si>
    <t>SAMN11373512</t>
  </si>
  <si>
    <t>GCA_026898055.1</t>
  </si>
  <si>
    <t>SRS16120136</t>
  </si>
  <si>
    <t>SRR22715043</t>
  </si>
  <si>
    <t>PDT001525338.1</t>
  </si>
  <si>
    <t>DALAJE000000000.1</t>
  </si>
  <si>
    <t>ehxA=COMPLETE,espX1=COMPLETE,fdeC=COMPLETE,iha=COMPLETE,ireA=COMPLETE,iss=COMPLETE,lpfA=COMPLETE,mchB=COMPLETE,mchF=COMPLETE,stxA1c=COMPLETE,stxA2b=COMPLETE,stxB1c=COMPLETE,stxB2b=COMPLETE,subA=COMPLETE,ybtP=COMPLETE,ybtQ=COMPLETE</t>
  </si>
  <si>
    <t>DALAJE</t>
  </si>
  <si>
    <t>OLC2801</t>
  </si>
  <si>
    <t>CFIAFB20170310</t>
  </si>
  <si>
    <t>STH-FD-2017-MI-1210</t>
  </si>
  <si>
    <t>2017-SEQ-1066</t>
  </si>
  <si>
    <t>BEEF: raw, ground, lean, veal, grain-fed</t>
  </si>
  <si>
    <t>O109 (99.78):H5 (100.0)</t>
  </si>
  <si>
    <t>Stx1a_9_AARCXN010000114.1</t>
  </si>
  <si>
    <t>MERGED</t>
  </si>
  <si>
    <t>SAMN11030312</t>
  </si>
  <si>
    <t>GCA_026897935.1</t>
  </si>
  <si>
    <t>SRS16120107</t>
  </si>
  <si>
    <t>SRR22715072</t>
  </si>
  <si>
    <t>PDT001525367.1</t>
  </si>
  <si>
    <t>DALAIY000000000.1</t>
  </si>
  <si>
    <t>cdtB=COMPLETE,cnf2=COMPLETE,fdeC=COMPLETE,hlyA-alpha=COMPLETE,ibeA=COMPLETE,iroB=COMPLETE,iroC=COMPLETE,iroD=COMPLETE,iroE=COMPLETE,iroN=COMPLETE,iucA=COMPLETE,iucB=COMPLETE,iucC=COMPLETE,iucD=COMPLETE,iutA=COMPLETE,sfaF=COMPLETE,sfaS=COMPLETE,sslE=COMPLETE,stxA1a=COMPLETE,stxB1a=COMPLETE,vactox=COMPLETE</t>
  </si>
  <si>
    <t>DALAIY</t>
  </si>
  <si>
    <t>OLC2827</t>
  </si>
  <si>
    <t>CFIAFB20170314</t>
  </si>
  <si>
    <t>CAL-FD-2017-MI-0899</t>
  </si>
  <si>
    <t>2017-SEQ-0908</t>
  </si>
  <si>
    <t>BEEF: raw, ground, veal</t>
  </si>
  <si>
    <t>SAMN11030300</t>
  </si>
  <si>
    <t>GCA_026888835.1</t>
  </si>
  <si>
    <t>SRS16120095</t>
  </si>
  <si>
    <t>SRR22715084</t>
  </si>
  <si>
    <t>PDT001525379.1</t>
  </si>
  <si>
    <t>DAKZWA000000000.1</t>
  </si>
  <si>
    <t>DAKZWA</t>
  </si>
  <si>
    <t>OLC2859</t>
  </si>
  <si>
    <t>CFIAFB20170317</t>
  </si>
  <si>
    <t>CAL-FD-2017-MI-0945</t>
  </si>
  <si>
    <t>2017-SEQ-0911</t>
  </si>
  <si>
    <t>Ground veal</t>
  </si>
  <si>
    <t>O55 (100.0):H12 (99.89)</t>
  </si>
  <si>
    <t>aph(3'')-Ib (100.0%) Colistin;aph(6)-Id (100.0%) Colistin;floR (98.11%) Phenicol;sul2 (100.0%) sulphonamide;tet(A) (97.25%) Tetracycline</t>
  </si>
  <si>
    <t>SAMN11030304</t>
  </si>
  <si>
    <t>GCA_026888915.1</t>
  </si>
  <si>
    <t>SRS16120099</t>
  </si>
  <si>
    <t>SRR22715080</t>
  </si>
  <si>
    <t>PDT001525375.1</t>
  </si>
  <si>
    <t>DAKZWB000000000.1</t>
  </si>
  <si>
    <t>astA=COMPLETE,bmaE=COMPLETE,cdtB=COMPLETE,cnf2=COMPLETE,espI=COMPLETE,espP=COMPLETE,espX1=COMPLETE,fdeC=COMPLETE,iha=COMPLETE,iss=COMPLETE,iucA=COMPLETE,iucB=COMPLETE,iucC=COMPLETE,iucD=COMPLETE,iutA=COMPLETE,lpfA=COMPLETE,mchB=COMPLETE,mchF=COMPLETE,stxA1a=COMPLETE,stxB1a=COMPLETE</t>
  </si>
  <si>
    <t>DAKZWB</t>
  </si>
  <si>
    <t>OLC2901</t>
  </si>
  <si>
    <t>CFIAFB20170330</t>
  </si>
  <si>
    <t>BUR-FI-2017-MI-01273</t>
  </si>
  <si>
    <t>2017-MER-0420</t>
  </si>
  <si>
    <t>SAMN11030306</t>
  </si>
  <si>
    <t>GCA_026889595.1</t>
  </si>
  <si>
    <t>SRS16120100</t>
  </si>
  <si>
    <t>SRR22715079</t>
  </si>
  <si>
    <t>PDT001525374.1</t>
  </si>
  <si>
    <t>DAKZXB000000000.1</t>
  </si>
  <si>
    <t>espX1=PARTIAL,fdeC=COMPLETE,iha=COMPLETE,iss=COMPLETE,lpfA=COMPLETE,mchB=COMPLETE,mchF=COMPLETE,sslE=HMM,stxA1a=COMPLETE,stxB1a=COMPLETE</t>
  </si>
  <si>
    <t>DAKZXB</t>
  </si>
  <si>
    <t>OLC3038</t>
  </si>
  <si>
    <t>CFIAFB20170303</t>
  </si>
  <si>
    <t>2017-SEQ-1617</t>
  </si>
  <si>
    <t>SAMN11030314</t>
  </si>
  <si>
    <t>GCA_026889635.1</t>
  </si>
  <si>
    <t>SRS16120108</t>
  </si>
  <si>
    <t>SRR22715071</t>
  </si>
  <si>
    <t>PDT001525366.1</t>
  </si>
  <si>
    <t>DAKZXF000000000.1</t>
  </si>
  <si>
    <t>cvaC=COMPLETE,ehxA=COMPLETE,espX1=COMPLETE,fdeC=COMPLETE,ireA=COMPLETE,lpfA=COMPLETE,mchF=COMPLETE,pic=COMPLETE,senB=COMPLETE,sslE=HMM,stxA1c=COMPLETE,stxB1c=COMPLETE,subA=COMPLETE,subB=COMPLETE</t>
  </si>
  <si>
    <t>DAKZXF</t>
  </si>
  <si>
    <t>OLC3045</t>
  </si>
  <si>
    <t>CFIAFB20180432</t>
  </si>
  <si>
    <t>BUR-FI-2017-MI-01500</t>
  </si>
  <si>
    <t>2017-SEQ-1600</t>
  </si>
  <si>
    <t>aadA2 (100.0%) Aminoglycoside;dfrA12 (100.0%) Trimethoprim;mph(A) (100.0%) Macrolide;sul1 (100.0%) sulphonamide;tet(A) (99.92%) Tetracycline</t>
  </si>
  <si>
    <t>SAMN11030311</t>
  </si>
  <si>
    <t>GCA_026888895.1</t>
  </si>
  <si>
    <t>SRS16120106</t>
  </si>
  <si>
    <t>SRR22715073</t>
  </si>
  <si>
    <t>PDT001525368.1</t>
  </si>
  <si>
    <t>DAKZWD000000000.1</t>
  </si>
  <si>
    <t>espP=COMPLETE,espX1=PARTIAL,fdeC=COMPLETE,iha=COMPLETE,iss=COMPLETE,lpfA=COMPLETE,sslE=HMM,stxA2c=COMPLETE,stxB2c=COMPLETE</t>
  </si>
  <si>
    <t>aadA2=COMPLETE,acrF=COMPLETE,blaEC=COMPLETE,dfrA12=COMPLETE,glpT_E448K=POINT,mdtM=COMPLETE,mph(A)=COMPLETE,pmrB_Y358N=POINT,sul1=COMPLETE,tet(A)=COMPLETE</t>
  </si>
  <si>
    <t>DAKZWD</t>
  </si>
  <si>
    <t>PDS000127716.1</t>
  </si>
  <si>
    <t>OLC3046</t>
  </si>
  <si>
    <t>CFIAFB20180433</t>
  </si>
  <si>
    <t>2017-SEQ-1601</t>
  </si>
  <si>
    <t>SAMN11030309</t>
  </si>
  <si>
    <t>GCA_026897895.1</t>
  </si>
  <si>
    <t>SRS16120104</t>
  </si>
  <si>
    <t>SRR22715075</t>
  </si>
  <si>
    <t>PDT001525370.1</t>
  </si>
  <si>
    <t>DALAIX000000000.1</t>
  </si>
  <si>
    <t>espP=COMPLETE,fdeC=COMPLETE,iha=COMPLETE,iss=COMPLETE,lpfA=COMPLETE,sslE=HMM,stxA2c=COMPLETE,stxB2c=COMPLETE</t>
  </si>
  <si>
    <t>DALAIX</t>
  </si>
  <si>
    <t>OLC3096</t>
  </si>
  <si>
    <t>CFIAFB20180434</t>
  </si>
  <si>
    <t>STH-FD-2017-MI-2422</t>
  </si>
  <si>
    <t>2017-SEQ-1652</t>
  </si>
  <si>
    <t>FRESH REGULAR GROUND VEAL</t>
  </si>
  <si>
    <t>SAMN11373407</t>
  </si>
  <si>
    <t>GCA_026889795.2</t>
  </si>
  <si>
    <t>SRS16120127</t>
  </si>
  <si>
    <t>SRR22715052</t>
  </si>
  <si>
    <t>PDT001525347.2</t>
  </si>
  <si>
    <t>DAKZXN000000000.2</t>
  </si>
  <si>
    <t>espI=COMPLETE,espX1=PARTIAL,fdeC=COMPLETE,iha=COMPLETE,iha=MISTRANSLATION,ireA=COMPLETE,iucA=COMPLETE,iucB=COMPLETE,iucC=COMPLETE,iucD=COMPLETE,iutA=COMPLETE,lpfA-O113=COMPLETE,lpfA=COMPLETE,mchB=COMPLETE,mchF=COMPLETE,senB=COMPLETE,sslE=HMM,stx1a_operon=COMPLETE,stx2_operon=PARTIAL_CONTIG_END,stx2b_operon=COMPLETE,stxA1=COMPLETE,stxA2=COMPLETE,stxB1=COMPLETE,stxB2=COMPLETE,subA=COMPLETE,subB=COMPLETE</t>
  </si>
  <si>
    <t>DAKZXN</t>
  </si>
  <si>
    <t>OLC3222</t>
  </si>
  <si>
    <t>CFIAFB20180484</t>
  </si>
  <si>
    <t>CAL-FD-2017-MI-1802</t>
  </si>
  <si>
    <t>2018-SEQ-0340</t>
  </si>
  <si>
    <t>Veal</t>
  </si>
  <si>
    <t>O-untypeable:H10 (99.29)</t>
  </si>
  <si>
    <t>Stx2d_9_AF479828</t>
  </si>
  <si>
    <t>SAMN11373510</t>
  </si>
  <si>
    <t>GCA_026889855.1</t>
  </si>
  <si>
    <t>SRS16120133</t>
  </si>
  <si>
    <t>SRR22715046</t>
  </si>
  <si>
    <t>PDT001525341.1</t>
  </si>
  <si>
    <t>DAKZXP000000000.1</t>
  </si>
  <si>
    <t>espX1=PARTIAL_END_OF_CONTIG,fdeC=COMPLETE,iha=COMPLETE,lpfA=COMPLETE,sslE=HMM,stxA2d=COMPLETE,stxB2c=COMPLETE</t>
  </si>
  <si>
    <t>DAKZXP</t>
  </si>
  <si>
    <t>OLC3227</t>
  </si>
  <si>
    <t>CFIAFB20180485</t>
  </si>
  <si>
    <t>OTT-FD-2018-MI-0139</t>
  </si>
  <si>
    <t>2018-SEQ-0293</t>
  </si>
  <si>
    <t>AUSTRALIAN LAMB - LEAN GROUND - RAISED WITHOUT THE USE OF ANTIBIOTICS</t>
  </si>
  <si>
    <t>SAMN13334854</t>
  </si>
  <si>
    <t>GCA_027232265.2</t>
  </si>
  <si>
    <t>SRS16250812</t>
  </si>
  <si>
    <t>SRR22858738</t>
  </si>
  <si>
    <t>PDT001543075.2</t>
  </si>
  <si>
    <t>DALPCZ000000000.2</t>
  </si>
  <si>
    <t>cvaC=PARTIAL_END_OF_CONTIG,fdeC=COMPLETE,iha=COMPLETE,ireA=COMPLETE,iroB=COMPLETE,iroC=COMPLETE,iroD=COMPLETE,iroE=COMPLETE,iroN=COMPLETE,iss=COMPLETE,iucA=COMPLETE,iucB=COMPLETE,iucC=COMPLETE,iucD=COMPLETE,iutA=COMPLETE,lpfA-O113=COMPLETE,lpfA=COMPLETE,mchB=COMPLETE,mchF=COMPLETE,stx1_operon=PARTIAL_CONTIG_END,stx1c_operon=COMPLETE,stx2b_operon=COMPLETE,stxA1=COMPLETE,stxA2=COMPLETE,stxB1=COMPLETE,stxB1=PARTIAL_END_OF_CONTIG,stxB2=COMPLETE,subA=COMPLETE,subB=PARTIAL_END_OF_CONTIG,ybtP=COMPLETE,ybtQ=COMPLETE</t>
  </si>
  <si>
    <t>DALPCZ</t>
  </si>
  <si>
    <t>OLC3297</t>
  </si>
  <si>
    <t>CFIAFB20180501</t>
  </si>
  <si>
    <t>BUR-FI-2018-MI-00398</t>
  </si>
  <si>
    <t>2018-SEQ-0617</t>
  </si>
  <si>
    <t>Other-Ground Lamb</t>
  </si>
  <si>
    <t>O91 (99.92):H14 (98.79)</t>
  </si>
  <si>
    <t>Stx1a_19_AAAAYL020000128.1|Stx2b_101_GCA_012321485.1</t>
  </si>
  <si>
    <t>SAMN13334858</t>
  </si>
  <si>
    <t>GCA_027234885.1</t>
  </si>
  <si>
    <t>SRS16250811</t>
  </si>
  <si>
    <t>SRR22858739</t>
  </si>
  <si>
    <t>PDT001543076.1</t>
  </si>
  <si>
    <t>DALPHW000000000.1</t>
  </si>
  <si>
    <t>astA=COMPLETE,ehxA=COMPLETE,espI=COMPLETE,espX1=PARTIAL,fdeC=COMPLETE,iha=COMPLETE,ireA=COMPLETE,iucA=COMPLETE,iucB=COMPLETE,iucC=COMPLETE,iucD=COMPLETE,iutA=COMPLETE,katP=COMPLETE,lpfA=COMPLETE,mchB=COMPLETE,mchF=MISTRANSLATION,stxA1a=COMPLETE,stxA2b=COMPLETE,stxB1a=COMPLETE,stxB2b=COMPLETE,subA=PARTIAL_END_OF_CONTIG,subB=PARTIAL_END_OF_CONTIG</t>
  </si>
  <si>
    <t>DALPHW</t>
  </si>
  <si>
    <t>PDS000129672.1</t>
  </si>
  <si>
    <t>OLC3298</t>
  </si>
  <si>
    <t>CFIAFB20180502</t>
  </si>
  <si>
    <t>2018-SEQ-0618</t>
  </si>
  <si>
    <t>SAMN13334859</t>
  </si>
  <si>
    <t>GCA_027230885.1</t>
  </si>
  <si>
    <t>SRS16250810</t>
  </si>
  <si>
    <t>SRR22858740</t>
  </si>
  <si>
    <t>PDT001543077.1</t>
  </si>
  <si>
    <t>DALPAM000000000.1</t>
  </si>
  <si>
    <t>astA=COMPLETE,ehxA=COMPLETE,espI=COMPLETE,espX1=PARTIAL,fdeC=COMPLETE,iha=COMPLETE,ireA=COMPLETE,iucA=COMPLETE,iucB=COMPLETE,iucC=COMPLETE,iucD=COMPLETE,iutA=COMPLETE,katP=COMPLETE,lpfA=COMPLETE,mchB=COMPLETE,mchF=MISTRANSLATION,stxA1a=COMPLETE,stxA2b=COMPLETE,stxB1a=COMPLETE,stxB2b=COMPLETE,subA=COMPLETE,subA=PARTIAL_END_OF_CONTIG,subB=COMPLETE</t>
  </si>
  <si>
    <t>DALPAM</t>
  </si>
  <si>
    <t>OLC3299</t>
  </si>
  <si>
    <t>CFIAFB20180503</t>
  </si>
  <si>
    <t>2018-SEQ-0619</t>
  </si>
  <si>
    <t>O-untypeable:H7 (100.0)</t>
  </si>
  <si>
    <t>SAMN13334860</t>
  </si>
  <si>
    <t>GCA_027232025.1</t>
  </si>
  <si>
    <t>SRS16250809</t>
  </si>
  <si>
    <t>SRR22858741</t>
  </si>
  <si>
    <t>PDT001543078.1</t>
  </si>
  <si>
    <t>DALPCX000000000.1</t>
  </si>
  <si>
    <t>espX1=PARTIAL_END_OF_CONTIG,fdeC=COMPLETE,lpfA=COMPLETE,sslE=HMM,stxA1c=COMPLETE,stxB1c=COMPLETE</t>
  </si>
  <si>
    <t>DALPCX</t>
  </si>
  <si>
    <t>PDS000129697.1</t>
  </si>
  <si>
    <t>OLC3300</t>
  </si>
  <si>
    <t>CFIAFB20180504</t>
  </si>
  <si>
    <t>2018-SEQ-0589</t>
  </si>
  <si>
    <t>SAMN11030303</t>
  </si>
  <si>
    <t>GCA_026888855.1</t>
  </si>
  <si>
    <t>SRS16120098</t>
  </si>
  <si>
    <t>SRR22715081</t>
  </si>
  <si>
    <t>PDT001525376.1</t>
  </si>
  <si>
    <t>DAKZVZ000000000.1</t>
  </si>
  <si>
    <t>DAKZVZ</t>
  </si>
  <si>
    <t>OLC3374</t>
  </si>
  <si>
    <t>CFIAFB20180511</t>
  </si>
  <si>
    <t>BUR-FI-2018-MI-00670-A4</t>
  </si>
  <si>
    <t>2018-SEQ-0879</t>
  </si>
  <si>
    <t>2021-MIN-0250</t>
  </si>
  <si>
    <t>terA (75.47%),terB (90.13%),terC (92.41%),terD (99.65%),terE 100.00%),terF (85.11%),terZ (92.27%)</t>
  </si>
  <si>
    <t>O9 (99.92):H30 (100.0)</t>
  </si>
  <si>
    <t>SAMN11373501</t>
  </si>
  <si>
    <t>GCA_027656605.1</t>
  </si>
  <si>
    <t>SRS12174899</t>
  </si>
  <si>
    <t>SRR18215053</t>
  </si>
  <si>
    <t>PDT001563932.1</t>
  </si>
  <si>
    <t>DAMHDT000000000.1</t>
  </si>
  <si>
    <t>astA=COMPLETE,capU=COMPLETE,espX1=PARTIAL,fdeC=COMPLETE,mchB=COMPLETE,mchF=MISTRANSLATION,sslE=HMM,stxA2i=COMPLETE,stxB2i=COMPLETE</t>
  </si>
  <si>
    <t>ariR=COMPLETE,emrE=COMPLETE,terD=COMPLETE,terW=PARTIAL_END_OF_CONTIG</t>
  </si>
  <si>
    <t>DAMHDT</t>
  </si>
  <si>
    <t>OLC3375</t>
  </si>
  <si>
    <t>CFIAFB20180512</t>
  </si>
  <si>
    <t>BUR-FI-2018-MI-00670-C2</t>
  </si>
  <si>
    <t>2018-SEQ-0880</t>
  </si>
  <si>
    <t>2021-MIN-0251</t>
  </si>
  <si>
    <t>SAMN11373499</t>
  </si>
  <si>
    <t>GCA_026888975.1</t>
  </si>
  <si>
    <t>SRS16120129</t>
  </si>
  <si>
    <t>SRR22715050</t>
  </si>
  <si>
    <t>PDT001525345.1</t>
  </si>
  <si>
    <t>DAKZWH000000000.1</t>
  </si>
  <si>
    <t>DAKZWH</t>
  </si>
  <si>
    <t>OLC3377</t>
  </si>
  <si>
    <t>CFIAFB20180513</t>
  </si>
  <si>
    <t>BUR-FI-2018-MI-00713</t>
  </si>
  <si>
    <t>2018-SEQ-1060</t>
  </si>
  <si>
    <t>VEAL (raw, ground)</t>
  </si>
  <si>
    <t>aminoglycoside(aph(3'')-Ib (99.88%);aph(6)-Id (100.0%));sulphonamide(sul2 (100.0%));macrolide(mdf(A) (99.84%));tetracycline(tet(B) (99.83%));</t>
  </si>
  <si>
    <t>SAMN11030310</t>
  </si>
  <si>
    <t>GCA_026889615.1</t>
  </si>
  <si>
    <t>SRS16120105</t>
  </si>
  <si>
    <t>SRR22715074</t>
  </si>
  <si>
    <t>PDT001525369.1</t>
  </si>
  <si>
    <t>DAKZXE000000000.1</t>
  </si>
  <si>
    <t>DAKZXE</t>
  </si>
  <si>
    <t>OLC3378</t>
  </si>
  <si>
    <t>CFIAFB20180514</t>
  </si>
  <si>
    <t>2018-SEQ-0897</t>
  </si>
  <si>
    <t>aph(6)-Id (100.0%) Colistin;strA (100.0%) ;sul2 (100.0%) sulphonamide;tet(B) (99.83%) Tetracycline</t>
  </si>
  <si>
    <t>SAMN13334862</t>
  </si>
  <si>
    <t>GCA_027230865.1</t>
  </si>
  <si>
    <t>SRS16250808</t>
  </si>
  <si>
    <t>SRR22858742</t>
  </si>
  <si>
    <t>PDT001543079.1</t>
  </si>
  <si>
    <t>DALPAL000000000.1</t>
  </si>
  <si>
    <t>aph(3'')-Ib=COMPLETE,aph(6)-Id=COMPLETE,aph(6)-Id=PARTIAL_END_OF_CONTIG,glpT_E448K=POINT,gyrA_D87Y=POINT,pmrB_Y358N=POINT,sul2=COMPLETE,tet(B)=COMPLETE</t>
  </si>
  <si>
    <t>espX1=PARTIAL_END_OF_CONTIG,fdeC=MISTRANSLATION,iha=COMPLETE,iss=COMPLETE,lpfA=COMPLETE,sslE=HMM,stxA2c=COMPLETE,stxB2c=COMPLETE</t>
  </si>
  <si>
    <t>acrF=COMPLETE,aph(3'')-Ib=COMPLETE,aph(6)-Id=COMPLETE,aph(6)-Id=PARTIAL_END_OF_CONTIG,blaEC=COMPLETE,glpT_E448K=POINT,gyrA_D87Y=POINT,mdtM=COMPLETE,pmrB_Y358N=POINT,sul2=COMPLETE,tet(B)=COMPLETE</t>
  </si>
  <si>
    <t>DALPAL</t>
  </si>
  <si>
    <t>OLC3379</t>
  </si>
  <si>
    <t>CFIAFB20180515</t>
  </si>
  <si>
    <t>2018-SEQ-0898</t>
  </si>
  <si>
    <t>SAMN13334863</t>
  </si>
  <si>
    <t>GCA_027226885.1</t>
  </si>
  <si>
    <t>SRS16250806</t>
  </si>
  <si>
    <t>SRR22858744</t>
  </si>
  <si>
    <t>PDT001543081.1</t>
  </si>
  <si>
    <t>DALOWM000000000.1</t>
  </si>
  <si>
    <t>fdeC=MISTRANSLATION,iha=COMPLETE,iss=COMPLETE,lpfA=COMPLETE,sslE=HMM,stxA2c=COMPLETE,stxB2c=COMPLETE</t>
  </si>
  <si>
    <t>DALOWM</t>
  </si>
  <si>
    <t>OLC3396</t>
  </si>
  <si>
    <t>CFIAFB20180532</t>
  </si>
  <si>
    <t>OTT-FD-2018-MI-0772</t>
  </si>
  <si>
    <t>2018-SEQ-1017</t>
  </si>
  <si>
    <t>FRESH LEAN GROUND LAMB MADE FROM PREVIOUSLY FROZEN MEAT</t>
  </si>
  <si>
    <t>OUT:H16</t>
  </si>
  <si>
    <t>O-untypeable:H16 (99.94)</t>
  </si>
  <si>
    <t>SAMN13334865</t>
  </si>
  <si>
    <t>GCA_027228825.1</t>
  </si>
  <si>
    <t>SRS16250805</t>
  </si>
  <si>
    <t>SRR22858745</t>
  </si>
  <si>
    <t>PDT001543082.1</t>
  </si>
  <si>
    <t>DALOXQ000000000.1</t>
  </si>
  <si>
    <t>epeA=COMPLETE,espX1=PARTIAL,fdeC=COMPLETE,katP=COMPLETE,lpfA=COMPLETE,sslE=HMM,stxA1c=COMPLETE,stxB1c=COMPLETE</t>
  </si>
  <si>
    <t>DALOXQ</t>
  </si>
  <si>
    <t>OLC3402</t>
  </si>
  <si>
    <t>CFIAFB20180538</t>
  </si>
  <si>
    <t>OTT-FD-2018-MI-0865</t>
  </si>
  <si>
    <t>2018-SEQ-1061</t>
  </si>
  <si>
    <t>FRESH REGULAR GROUND LAMB V1131028</t>
  </si>
  <si>
    <t>SAMN13334867</t>
  </si>
  <si>
    <t>GCA_027236585.1</t>
  </si>
  <si>
    <t>SRS16250842</t>
  </si>
  <si>
    <t>SRR22858708</t>
  </si>
  <si>
    <t>PDT001543045.1</t>
  </si>
  <si>
    <t>DALPIW000000000.1</t>
  </si>
  <si>
    <t>ehxA=COMPLETE,espI=COMPLETE,espX1=PARTIAL,fdeC=COMPLETE,iha=COMPLETE,ireA=COMPLETE,iucA=COMPLETE,iucB=COMPLETE,iucC=COMPLETE,iucD=COMPLETE,iutA=COMPLETE,katP=COMPLETE,lpfA=COMPLETE,mchB=COMPLETE,mchF=MISTRANSLATION,senB=COMPLETE,stxA1c=COMPLETE,stxA2b=COMPLETE,stxA2b=PARTIAL_END_OF_CONTIG,stxB1c=COMPLETE,stxB2b=COMPLETE,subA=COMPLETE</t>
  </si>
  <si>
    <t>DALPIW</t>
  </si>
  <si>
    <t>OLC3403</t>
  </si>
  <si>
    <t>CFIAFB20180539</t>
  </si>
  <si>
    <t>2018-SEQ-1062</t>
  </si>
  <si>
    <t>SAMN13334868</t>
  </si>
  <si>
    <t>GCA_027232405.1</t>
  </si>
  <si>
    <t>SRS16250841</t>
  </si>
  <si>
    <t>SRR22858709</t>
  </si>
  <si>
    <t>PDT001543046.1</t>
  </si>
  <si>
    <t>DALPDG000000000.1</t>
  </si>
  <si>
    <t>glpT_E448K=POINT,pmrB_V161G=POINT,pmrB_Y358N=POINT</t>
  </si>
  <si>
    <t>espX1=COMPLETE,fdeC=COMPLETE,iha=COMPLETE,ireA=COMPLETE,iss=COMPLETE,iucA=COMPLETE,iucB=COMPLETE,iucC=COMPLETE,iucD=COMPLETE,iutA=COMPLETE,lpfA=COMPLETE,mchB=COMPLETE,mchF=COMPLETE,stxA1c=COMPLETE,stxA2b=COMPLETE,stxB1c=COMPLETE,stxB2b=COMPLETE,subA=COMPLETE,subB=COMPLETE,ybtP=COMPLETE,ybtQ=COMPLETE</t>
  </si>
  <si>
    <t>acrF=COMPLETE,blaEC=COMPLETE,glpT_E448K=POINT,mdtM=COMPLETE,pmrB_V161G=POINT,pmrB_Y358N=POINT</t>
  </si>
  <si>
    <t>DALPDG</t>
  </si>
  <si>
    <t>OLC3404</t>
  </si>
  <si>
    <t>CFIAFB20180529</t>
  </si>
  <si>
    <t>BUR-FI-2018-MI-00738</t>
  </si>
  <si>
    <t>2018-SEQ-1090</t>
  </si>
  <si>
    <t>FROZEN GROUND VEAL</t>
  </si>
  <si>
    <t>aminoglycoside(aph(3'')-Ib (99.88%);aph(6)-Id (100.0%));sulphonamide(sul2 (100.0%));tetracycline(tet(B) (100.0%));macrolide(mdf(A) (99.84%));</t>
  </si>
  <si>
    <t>SAMN40646305</t>
  </si>
  <si>
    <t>GCA_042950785.1</t>
  </si>
  <si>
    <t>SRS20882371</t>
  </si>
  <si>
    <t>SRR28490886</t>
  </si>
  <si>
    <t>PDT002124765.1</t>
  </si>
  <si>
    <t>DAXUIR000000000.1</t>
  </si>
  <si>
    <t>aph(3'')-Ib=COMPLETE,aph(6)-Id=COMPLETE,aph(6)-Id=PARTIAL_END_OF_CONTIG,glpT_E448K=POINT,pmrB_Y358N=POINT,sul2=COMPLETE,tet(B)=COMPLETE</t>
  </si>
  <si>
    <t>espX1=PARTIAL_END_OF_CONTIG,fdeC=COMPLETE,iha=COMPLETE,iss=COMPLETE,lpfA-O113=COMPLETE,lpfA=COMPLETE,sslE=HMM,stxA2=COMPLETE,stxB2=COMPLETE</t>
  </si>
  <si>
    <t>acrF=COMPLETE,aph(3'')-Ib=COMPLETE,aph(6)-Id=COMPLETE,aph(6)-Id=PARTIAL_END_OF_CONTIG,blaEC=COMPLETE,glpT_E448K=POINT,mdtM=COMPLETE,pmrB_Y358N=POINT,sul2=COMPLETE,tet(B)=COMPLETE</t>
  </si>
  <si>
    <t>DAXUIR</t>
  </si>
  <si>
    <t>OLC3405</t>
  </si>
  <si>
    <t>CFIAFB20180540</t>
  </si>
  <si>
    <t>BUR-FI-2018-MI-00850</t>
  </si>
  <si>
    <t>2018-SEQ-1270</t>
  </si>
  <si>
    <t>FROZEN LEAN GROUND LAMB/CANADIAN HALAL</t>
  </si>
  <si>
    <t>O8:H9</t>
  </si>
  <si>
    <t>O8 (100.0):H9 (100.0)</t>
  </si>
  <si>
    <t>Stx2e_146_2018-SEQ-1270</t>
  </si>
  <si>
    <t>SAMN13334869</t>
  </si>
  <si>
    <t>GCA_027231625.1</t>
  </si>
  <si>
    <t>SRS16250840</t>
  </si>
  <si>
    <t>SRR22858710</t>
  </si>
  <si>
    <t>PDT001543047.1</t>
  </si>
  <si>
    <t>2022-12-22T05:39:39Z</t>
  </si>
  <si>
    <t>DALPBS000000000.1</t>
  </si>
  <si>
    <t>espX1=PARTIAL_END_OF_CONTIG,fdeC=COMPLETE,iss=COMPLETE,lpfA=COMPLETE,sslE=HMM,stxA2e=COMPLETE,stxB2e=COMPLETE</t>
  </si>
  <si>
    <t>ariR=COMPLETE,emrE=MISTRANSLATION</t>
  </si>
  <si>
    <t>DALPBS</t>
  </si>
  <si>
    <t>OLC3407</t>
  </si>
  <si>
    <t>CFIAFB20180558</t>
  </si>
  <si>
    <t>CFIAFB20180558_STEC</t>
  </si>
  <si>
    <t>2019-MER-0225</t>
  </si>
  <si>
    <t>FRESH AUSTRALIAN LAMB-LEAN GROUND</t>
  </si>
  <si>
    <t>SAMN13334875</t>
  </si>
  <si>
    <t>GCA_027656625.1</t>
  </si>
  <si>
    <t>SRS12174901</t>
  </si>
  <si>
    <t>SRR18215051</t>
  </si>
  <si>
    <t>PDT001563930.1</t>
  </si>
  <si>
    <t>2023-01-05T21:49:25Z</t>
  </si>
  <si>
    <t>DAMHDU000000000.1</t>
  </si>
  <si>
    <t>ehxA=COMPLETE,espX1=COMPLETE,fdeC=PARTIAL_END_OF_CONTIG,iha=COMPLETE,ireA=COMPLETE,iss=COMPLETE,lpfA1=COMPLETE,mchB=COMPLETE,mchF=COMPLETE,sslE=HMM,stxA1c=COMPLETE,stxA2b=COMPLETE,stxB1c=COMPLETE,stxB2b=PARTIAL,stxB2b=PARTIAL_END_OF_CONTIG,subB=PARTIAL_END_OF_CONTIG,ybtP=COMPLETE,ybtQ=COMPLETE</t>
  </si>
  <si>
    <t>DAMHDU</t>
  </si>
  <si>
    <t>OLC3455</t>
  </si>
  <si>
    <t>CFIAFB20180550</t>
  </si>
  <si>
    <t>BUR-FI-2018-MI-01029</t>
  </si>
  <si>
    <t>2018-SEQ-1382</t>
  </si>
  <si>
    <t>FRESH AUSTRALIAN LAMB/LEAN GROUND</t>
  </si>
  <si>
    <t>Stx1c_22_2018-SEQ-1382|Stx2b_110_ABJBRM010000291.1</t>
  </si>
  <si>
    <t>SAMN13334871</t>
  </si>
  <si>
    <t>GCA_027229585.1</t>
  </si>
  <si>
    <t>SRS16250839</t>
  </si>
  <si>
    <t>SRR22858711</t>
  </si>
  <si>
    <t>PDT001543048.1</t>
  </si>
  <si>
    <t>DALOYU000000000.1</t>
  </si>
  <si>
    <t>ehxA=COMPLETE,espX1=PARTIAL_END_OF_CONTIG,fdeC=COMPLETE,iha=COMPLETE,ireA=COMPLETE,iss=COMPLETE,iucA=COMPLETE,iucB=COMPLETE,iucC=COMPLETE,iucD=COMPLETE,iutA=COMPLETE,lpfA=COMPLETE,mchB=COMPLETE,mchF=COMPLETE,stxA1c=COMPLETE,stxA2b=COMPLETE,stxB1c=COMPLETE,stxB2b=COMPLETE,subA=COMPLETE,subB=PARTIAL_END_OF_CONTIG,ybtP=COMPLETE,ybtQ=COMPLETE</t>
  </si>
  <si>
    <t>DALOYU</t>
  </si>
  <si>
    <t>OLC3456</t>
  </si>
  <si>
    <t>CFIAFB20180551</t>
  </si>
  <si>
    <t>CFIAFB20180551_STEC</t>
  </si>
  <si>
    <t>2018-SEQ-1383</t>
  </si>
  <si>
    <t>FRESH AUSTRALIAN LAMB LEAN GROUND</t>
  </si>
  <si>
    <t>O176 (99.85):H4 (99.9)</t>
  </si>
  <si>
    <t>SAMN13334872</t>
  </si>
  <si>
    <t>GCA_027656645.1</t>
  </si>
  <si>
    <t>SRS12174902</t>
  </si>
  <si>
    <t>SRR18215050</t>
  </si>
  <si>
    <t>PDT001563929.1</t>
  </si>
  <si>
    <t>DAMHDW000000000.1</t>
  </si>
  <si>
    <t>cvaC=COMPLETE,ehxA=COMPLETE,espX1=COMPLETE,fdeC=PARTIAL_END_OF_CONTIG,iha=COMPLETE,ireA=COMPLETE,iss=COMPLETE,lpfA1=COMPLETE,mchB=COMPLETE,mchF=COMPLETE,sslE=HMM,stxA1c=COMPLETE,stxA2b=COMPLETE,stxB1c=COMPLETE,stxB2b=COMPLETE,subA=COMPLETE,subB=COMPLETE,ybtP=COMPLETE,ybtQ=COMPLETE</t>
  </si>
  <si>
    <t>DAMHDW</t>
  </si>
  <si>
    <t>OLC3463</t>
  </si>
  <si>
    <t>CFIAFB20180559</t>
  </si>
  <si>
    <t>BUR-FI-2018-MI-01235</t>
  </si>
  <si>
    <t>2019-MER-0227</t>
  </si>
  <si>
    <t>Raw ground Veal</t>
  </si>
  <si>
    <t>LEAN GROUND VEAL FRESH CANADIAN VEAL</t>
  </si>
  <si>
    <t>aminoglycoside(aph(3'')-Ib (100.0%);aph(6)-Id (100.0%));macrolide(mdf(A) (99.84%));phenicol(floR (98.11%));sulphonamide(sul2 (100.0%));tetracycline(tet(A) (97.25%));</t>
  </si>
  <si>
    <t>SAMN13334876</t>
  </si>
  <si>
    <t>GCA_027231545.1</t>
  </si>
  <si>
    <t>SRS16250838</t>
  </si>
  <si>
    <t>SRR22858712</t>
  </si>
  <si>
    <t>PDT001543049.1</t>
  </si>
  <si>
    <t>DALPBR000000000.1</t>
  </si>
  <si>
    <t>astA=COMPLETE,epeA=COMPLETE,espX1=COMPLETE,fdeC=COMPLETE,iha=COMPLETE,iss=COMPLETE,lpfA-O113=COMPLETE,lpfA=COMPLETE,sslE=HMM,stxA2=COMPLETE,stxB2=COMPLETE</t>
  </si>
  <si>
    <t>DALPBR</t>
  </si>
  <si>
    <t>OLC3464</t>
  </si>
  <si>
    <t>CFIAFB20180560</t>
  </si>
  <si>
    <t>2018-MER-0108</t>
  </si>
  <si>
    <t>O-untypeable:H29 (100.0)</t>
  </si>
  <si>
    <t>11399007 V2</t>
  </si>
  <si>
    <t>SAMN13334877</t>
  </si>
  <si>
    <t>GCA_027232345.2</t>
  </si>
  <si>
    <t>SRS16250837</t>
  </si>
  <si>
    <t>SRR22858713</t>
  </si>
  <si>
    <t>PDT001543050.2</t>
  </si>
  <si>
    <t>DALPDF000000000.2</t>
  </si>
  <si>
    <t>aph(3'')-Ib=COMPLETE,aph(6)-Id=COMPLETE,floR=COMPLETE,sul2=COMPLETE,tet(A)=COMPLETE,uhpT_E350Q=POINT</t>
  </si>
  <si>
    <t>fdeC=COMPLETE,iha=COMPLETE,stx2_operon=PARTIAL_CONTIG_END,stx2b_operon=COMPLETE,stx2c_operon=COMPLETE,stxA2=COMPLETE,stxA2=PARTIAL_END_OF_CONTIG,stxB2=COMPLETE</t>
  </si>
  <si>
    <t>ariR=COMPLETE,arsD=COMPLETE,emrE=COMPLETE</t>
  </si>
  <si>
    <t>acrF=COMPLETE,aph(3'')-Ib=COMPLETE,aph(6)-Id=COMPLETE,blaEC=COMPLETE,floR=COMPLETE,mdtM=COMPLETE,sul2=COMPLETE,tet(A)=COMPLETE,uhpT_E350Q=POINT</t>
  </si>
  <si>
    <t>DALPDF</t>
  </si>
  <si>
    <t>OLC3465</t>
  </si>
  <si>
    <t>CFIAFB20180561</t>
  </si>
  <si>
    <t>OTT-FD-2018-MI-1080</t>
  </si>
  <si>
    <t>2018-SEQ-1323</t>
  </si>
  <si>
    <t>AUSTRALIAN LEAN GROUND LAMB</t>
  </si>
  <si>
    <t>Stx1a_19_AAAAYL020000128.1|Stx2b_122_DALPBQ010000162.1</t>
  </si>
  <si>
    <t>SAMN13334878</t>
  </si>
  <si>
    <t>GCA_027231525.1</t>
  </si>
  <si>
    <t>SRS16250836</t>
  </si>
  <si>
    <t>SRR22858714</t>
  </si>
  <si>
    <t>PDT001543051.1</t>
  </si>
  <si>
    <t>DALPBQ000000000.1</t>
  </si>
  <si>
    <t>espI=COMPLETE,espX1=PARTIAL,fdeC=COMPLETE,iha=MISTRANSLATION,iha=PARTIAL_END_OF_CONTIG,ireA=COMPLETE,iucA=COMPLETE,iucB=COMPLETE,iucC=COMPLETE,iucD=COMPLETE,iutA=COMPLETE,lpfA=COMPLETE,mchB=COMPLETE,mchF=COMPLETE,senB=COMPLETE,sslE=HMM,stxA1a=COMPLETE,stxA2b=COMPLETE,stxB1a=COMPLETE,stxB2b=COMPLETE,subA=COMPLETE,subB=PARTIAL_END_OF_CONTIG</t>
  </si>
  <si>
    <t>DALPBQ</t>
  </si>
  <si>
    <t>PDS000129667.1</t>
  </si>
  <si>
    <t>OLC3466</t>
  </si>
  <si>
    <t>CFIAFB20180562</t>
  </si>
  <si>
    <t>2018-SEQ-1324</t>
  </si>
  <si>
    <t>Raw lean ground lamb</t>
  </si>
  <si>
    <t>O91 (99.83):H14 (98.85)</t>
  </si>
  <si>
    <t>SAMN13334879</t>
  </si>
  <si>
    <t>GCA_027229565.1</t>
  </si>
  <si>
    <t>SRS16250835</t>
  </si>
  <si>
    <t>SRR22858715</t>
  </si>
  <si>
    <t>PDT001543052.1</t>
  </si>
  <si>
    <t>DALOYT000000000.1</t>
  </si>
  <si>
    <t>DALOYT</t>
  </si>
  <si>
    <t>OLC3483</t>
  </si>
  <si>
    <t>CFIAFB20190157</t>
  </si>
  <si>
    <t>CFIAFB20190157_STEC</t>
  </si>
  <si>
    <t>2019-MER-0054</t>
  </si>
  <si>
    <t xml:space="preserve">Raw ground lamb </t>
  </si>
  <si>
    <t>AUSTRALIAN LAMB - NO ANTIBIOTICS</t>
  </si>
  <si>
    <t>O5 (100.0):H19 (99.78)</t>
  </si>
  <si>
    <t>NO_11587338</t>
  </si>
  <si>
    <t>SAMN26419928</t>
  </si>
  <si>
    <t>GCA_032267685.1</t>
  </si>
  <si>
    <t>SRS12174903</t>
  </si>
  <si>
    <t>SRR18215049</t>
  </si>
  <si>
    <t>PDT001710923.1</t>
  </si>
  <si>
    <t>2023-04-30T04:48:28Z</t>
  </si>
  <si>
    <t>DAPXPH000000000.1</t>
  </si>
  <si>
    <t>ehxA=COMPLETE,espI=COMPLETE,espX1=COMPLETE,fdeC=COMPLETE,iha=COMPLETE,ireA=COMPLETE,iss=COMPLETE,iucA=COMPLETE,iucB=COMPLETE,iucC=COMPLETE,iucD=COMPLETE,iutA=COMPLETE,lpfA=COMPLETE,sslE=HMM,stxA1c=COMPLETE,stxA2b=COMPLETE,stxB1c=COMPLETE,stxB2b=COMPLETE,subA=COMPLETE,subB=COMPLETE</t>
  </si>
  <si>
    <t>2023-09-26.1</t>
  </si>
  <si>
    <t>DAPXPH</t>
  </si>
  <si>
    <t>OLC3492</t>
  </si>
  <si>
    <t>CFIAFB20190159</t>
  </si>
  <si>
    <t>OTT-FD-2018-MI-1229</t>
  </si>
  <si>
    <t>2019-MER-0123</t>
  </si>
  <si>
    <t>O128ac (99.9):H2 (100.0)</t>
  </si>
  <si>
    <t>SAMN40646235</t>
  </si>
  <si>
    <t>GCA_042959485.1</t>
  </si>
  <si>
    <t>SRS20882383</t>
  </si>
  <si>
    <t>SRR28490874</t>
  </si>
  <si>
    <t>PDT002124753.1</t>
  </si>
  <si>
    <t>DAXUPF000000000.1</t>
  </si>
  <si>
    <t>ehxA=COMPLETE,espX1=COMPLETE,fdeC=COMPLETE,iha=COMPLETE,ireA=COMPLETE,iss=COMPLETE,lpfA-O113=COMPLETE,lpfA=COMPLETE,mchB=COMPLETE,mchF=COMPLETE,stxA1=COMPLETE,stxA2=COMPLETE,stxB1=COMPLETE,stxB2=COMPLETE,subA=COMPLETE,ybtP=COMPLETE,ybtQ=COMPLETE</t>
  </si>
  <si>
    <t>DAXUPF</t>
  </si>
  <si>
    <t>OLC3500</t>
  </si>
  <si>
    <t>CFIAFB20190167</t>
  </si>
  <si>
    <t>OTT-FD-2018-MI-1315</t>
  </si>
  <si>
    <t>2018-SEQ-1598</t>
  </si>
  <si>
    <t>FROZEN LEAN GROUND LAMB</t>
  </si>
  <si>
    <t>O-untypeable:H2 (99.93)</t>
  </si>
  <si>
    <t>Stx1c_27_2022-MIN-0057</t>
  </si>
  <si>
    <t>SAMN40646276</t>
  </si>
  <si>
    <t>GCA_042968935.1</t>
  </si>
  <si>
    <t>SRS20882428</t>
  </si>
  <si>
    <t>SRR28490829</t>
  </si>
  <si>
    <t>PDT002124708.1</t>
  </si>
  <si>
    <t>DAXVGH000000000.1</t>
  </si>
  <si>
    <t>cvaB=COMPLETE,cvaC=COMPLETE,espX1=COMPLETE,fdeC=COMPLETE,iha=COMPLETE,ireA=COMPLETE,iroB=COMPLETE,iroC=COMPLETE,iroD=COMPLETE,iroE=COMPLETE,iroN=COMPLETE,iss=COMPLETE,iucA=COMPLETE,iucB=COMPLETE,iucC=COMPLETE,iucD=COMPLETE,iutA=COMPLETE,lpfA-O113=COMPLETE,lpfA=COMPLETE,mchB=COMPLETE,mchF=COMPLETE,stxA1=COMPLETE,stxB1=COMPLETE,subB=PARTIAL_END_OF_CONTIG</t>
  </si>
  <si>
    <t>DAXVGH</t>
  </si>
  <si>
    <t>OLC3501</t>
  </si>
  <si>
    <t>CFIAFB20190168</t>
  </si>
  <si>
    <t>OTT-FD-2018-MI-1316</t>
  </si>
  <si>
    <t>2019-SEQ-0398</t>
  </si>
  <si>
    <t>FRESH LEAN GROUND LAMB</t>
  </si>
  <si>
    <t>NO_11587273</t>
  </si>
  <si>
    <t>SAMN40646267</t>
  </si>
  <si>
    <t>GCA_042951305.1</t>
  </si>
  <si>
    <t>SRS20882417</t>
  </si>
  <si>
    <t>SRR28490839</t>
  </si>
  <si>
    <t>PDT002124718.1</t>
  </si>
  <si>
    <t>2024-03-28T21:54:05Z</t>
  </si>
  <si>
    <t>DAXUJO000000000.1</t>
  </si>
  <si>
    <t>ehxA=COMPLETE,espX1=COMPLETE,fdeC=COMPLETE,iha=COMPLETE,ireA=COMPLETE,lpfA-O113=COMPLETE,pic=COMPLETE,senB=COMPLETE,sslE=HMM,stxA1=COMPLETE,stxB1=COMPLETE,subA=COMPLETE</t>
  </si>
  <si>
    <t>DAXUJO</t>
  </si>
  <si>
    <t>OLC3503</t>
  </si>
  <si>
    <t>CFIAFB20190171</t>
  </si>
  <si>
    <t>OTT-FD-2018-MI-1379</t>
  </si>
  <si>
    <t>2018-SEQ-1637</t>
  </si>
  <si>
    <t>O3:H21</t>
  </si>
  <si>
    <t>O-untypeable:H21 (99.86)</t>
  </si>
  <si>
    <t>SAMN40646260</t>
  </si>
  <si>
    <t>GCA_042951205.1</t>
  </si>
  <si>
    <t>SRS20882413</t>
  </si>
  <si>
    <t>SRR28490846</t>
  </si>
  <si>
    <t>PDT002124725.1</t>
  </si>
  <si>
    <t>DAXUJI000000000.1</t>
  </si>
  <si>
    <t>bmaE=COMPLETE,ehxA=COMPLETE,espX1=COMPLETE,f17a=COMPLETE,f17g=COMPLETE,fdeC=COMPLETE,iha=COMPLETE,ireA=COMPLETE,lpfA-O113=COMPLETE,lpfA=COMPLETE,mchB=COMPLETE,mchF=MISTRANSLATION,sslE=HMM,stxA1=COMPLETE,stxA2=COMPLETE,stxB1=COMPLETE,stxB2=COMPLETE,subA=COMPLETE,subB=PARTIAL_END_OF_CONTIG</t>
  </si>
  <si>
    <t>DAXUJI</t>
  </si>
  <si>
    <t>OLC3504</t>
  </si>
  <si>
    <t>CFIAFB20190172</t>
  </si>
  <si>
    <t>STH-FD-2018-MI-2672</t>
  </si>
  <si>
    <t>2018-SEQ-1757</t>
  </si>
  <si>
    <t>2021-MIN-0249</t>
  </si>
  <si>
    <t>Raw meat | Lamb | Ground | Lean|fresh|Country of origin not indicated</t>
  </si>
  <si>
    <t>O8:H25</t>
  </si>
  <si>
    <t>O8 (99.75):H25 (100.0)</t>
  </si>
  <si>
    <t>SAMN26419929</t>
  </si>
  <si>
    <t>GCA_032267725.1</t>
  </si>
  <si>
    <t>SRS12174904</t>
  </si>
  <si>
    <t>SRR18215048</t>
  </si>
  <si>
    <t>PDT001710922.1</t>
  </si>
  <si>
    <t>DAPXPG000000000.1</t>
  </si>
  <si>
    <t>DAPXPG</t>
  </si>
  <si>
    <t>OLC3511</t>
  </si>
  <si>
    <t>CFIAFB20190179</t>
  </si>
  <si>
    <t>GTA-FD-2018-MI-02344</t>
  </si>
  <si>
    <t>2019-MER-0194</t>
  </si>
  <si>
    <t>SAMN40646282</t>
  </si>
  <si>
    <t>GCA_042968955.1</t>
  </si>
  <si>
    <t>SRS20882435</t>
  </si>
  <si>
    <t>SRR28490822</t>
  </si>
  <si>
    <t>PDT002124701.1</t>
  </si>
  <si>
    <t>DAXVGI000000000.1</t>
  </si>
  <si>
    <t>DAXVGI</t>
  </si>
  <si>
    <t>OLC3515</t>
  </si>
  <si>
    <t>CFIAFB20190183</t>
  </si>
  <si>
    <t>BUR-FI-2018-MI-01690</t>
  </si>
  <si>
    <t>2019-SEQ-0093</t>
  </si>
  <si>
    <t>O-untypeable:H8 (99.86)</t>
  </si>
  <si>
    <t>SAMN40646278</t>
  </si>
  <si>
    <t>GCA_042950215.1</t>
  </si>
  <si>
    <t>SRS20882431</t>
  </si>
  <si>
    <t>SRR28490826</t>
  </si>
  <si>
    <t>PDT002124705.1</t>
  </si>
  <si>
    <t>DAXUHK000000000.1</t>
  </si>
  <si>
    <t>DAXUHK</t>
  </si>
  <si>
    <t>OLC3528</t>
  </si>
  <si>
    <t>CFIAFB20190189</t>
  </si>
  <si>
    <t>CAL-FD-2019-MI-0017</t>
  </si>
  <si>
    <t>2019-MER-0057</t>
  </si>
  <si>
    <t>Lamb (raw, ground)</t>
  </si>
  <si>
    <t>CHECK</t>
  </si>
  <si>
    <t>SAMN40646229</t>
  </si>
  <si>
    <t>GCA_042958605.1</t>
  </si>
  <si>
    <t>SRS20882377</t>
  </si>
  <si>
    <t>SRR28490880</t>
  </si>
  <si>
    <t>PDT002124759.1</t>
  </si>
  <si>
    <t>DAXUPA000000000.1</t>
  </si>
  <si>
    <t>ehxA=COMPLETE,espX1=PARTIAL_END_OF_CONTIG,iha=COMPLETE,ireA=COMPLETE,iss=COMPLETE,lpfA-O113=COMPLETE,lpfA=COMPLETE,mchB=COMPLETE,mchF=COMPLETE,stxA1=COMPLETE,stxA2=COMPLETE,stxB1=COMPLETE,stxB2=COMPLETE,subA=COMPLETE,subB=COMPLETE,ybtP=COMPLETE,ybtQ=COMPLETE</t>
  </si>
  <si>
    <t>DAXUPA</t>
  </si>
  <si>
    <t>OLC3529</t>
  </si>
  <si>
    <t>CFIAFB20190190</t>
  </si>
  <si>
    <t>STH-FD-2019-MI-0010</t>
  </si>
  <si>
    <t>2019-SEQ-0137</t>
  </si>
  <si>
    <t>SAMN40646284</t>
  </si>
  <si>
    <t>GCA_042951365.1</t>
  </si>
  <si>
    <t>SRS20882437</t>
  </si>
  <si>
    <t>SRR28490820</t>
  </si>
  <si>
    <t>PDT002124699.1</t>
  </si>
  <si>
    <t>2024-03-28T21:53:54Z</t>
  </si>
  <si>
    <t>DAXUJS000000000.1</t>
  </si>
  <si>
    <t>fdeC=COMPLETE,katP=PARTIAL_END_OF_CONTIG,lpfA-O113=COMPLETE,sslE=HMM,stxA1=COMPLETE,stxB1=COMPLETE</t>
  </si>
  <si>
    <t>DAXUJS</t>
  </si>
  <si>
    <t>OLC3530</t>
  </si>
  <si>
    <t>CFIAFB20190191</t>
  </si>
  <si>
    <t>2019-SEQ-0145</t>
  </si>
  <si>
    <t>SAMN40646238</t>
  </si>
  <si>
    <t>GCA_042950905.1</t>
  </si>
  <si>
    <t>SRS20882387</t>
  </si>
  <si>
    <t>SRR28490870</t>
  </si>
  <si>
    <t>PDT002124749.1</t>
  </si>
  <si>
    <t>DAXUIY000000000.1</t>
  </si>
  <si>
    <t>ehxA=COMPLETE,fdeC=COMPLETE,iha=COMPLETE,ireA=COMPLETE,iss=COMPLETE,iucA=COMPLETE,iucB=COMPLETE,iucC=COMPLETE,iucD=COMPLETE,iutA=COMPLETE,lpfA-O113=COMPLETE,lpfA=COMPLETE,mchB=COMPLETE,mchF=COMPLETE,stxA1=COMPLETE,stxA2=COMPLETE,stxB1=COMPLETE,stxB1=PARTIAL_END_OF_CONTIG,stxB2=COMPLETE,subA=COMPLETE,subB=COMPLETE,ybtP=COMPLETE,ybtQ=COMPLETE</t>
  </si>
  <si>
    <t>DAXUIY</t>
  </si>
  <si>
    <t>OLC3580</t>
  </si>
  <si>
    <t>CFIAFB20190192</t>
  </si>
  <si>
    <t>OTT-FD-2019-MI-0052</t>
  </si>
  <si>
    <t>2019-SEQ-0212</t>
  </si>
  <si>
    <t>Lean Ground Lamb</t>
  </si>
  <si>
    <t>SAMN40646236</t>
  </si>
  <si>
    <t>GCA_042959545.1</t>
  </si>
  <si>
    <t>SRS20882384</t>
  </si>
  <si>
    <t>SRR28490873</t>
  </si>
  <si>
    <t>PDT002124752.1</t>
  </si>
  <si>
    <t>DAXUPG000000000.1</t>
  </si>
  <si>
    <t>cvaB=COMPLETE,cvaC=COMPLETE,espX1=PARTIAL_END_OF_CONTIG,fdeC=COMPLETE,iha=COMPLETE,ireA=COMPLETE,iroB=COMPLETE,iroC=COMPLETE,iroD=COMPLETE,iroE=COMPLETE,iroN=COMPLETE,iss=COMPLETE,iucA=COMPLETE,iucB=MISTRANSLATION,iucC=COMPLETE,iucD=COMPLETE,iutA=COMPLETE,lpfA-O113=COMPLETE,lpfA=COMPLETE,mchB=COMPLETE,mchF=COMPLETE,stxA1=COMPLETE,stxA2=COMPLETE,stxB1=COMPLETE,stxB2=COMPLETE,subA=COMPLETE,subA=PARTIAL_END_OF_CONTIG,subB=COMPLETE,subB=PARTIAL_END_OF_CONTIG,ybtP=COMPLETE,ybtQ=COMPLETE</t>
  </si>
  <si>
    <t>DAXUPG</t>
  </si>
  <si>
    <t>OLC3602</t>
  </si>
  <si>
    <t>CFIAFB20190194</t>
  </si>
  <si>
    <t>2019-MER-0137</t>
  </si>
  <si>
    <t>SAMN40734924</t>
  </si>
  <si>
    <t>GCA_042986525.1</t>
  </si>
  <si>
    <t>SRS20923617</t>
  </si>
  <si>
    <t>SRR28538989</t>
  </si>
  <si>
    <t>PDT002130227.1</t>
  </si>
  <si>
    <t>2024-04-03T16:58:13Z</t>
  </si>
  <si>
    <t>DAXWNS000000000.1</t>
  </si>
  <si>
    <t>espX1=PARTIAL_END_OF_CONTIG,fdeC=COMPLETE,iss=COMPLETE,lpfA-O113=COMPLETE,sslE=HMM,stxA2=COMPLETE,stxB2=COMPLETE</t>
  </si>
  <si>
    <t>DAXWNS</t>
  </si>
  <si>
    <t>OLC3603</t>
  </si>
  <si>
    <t>CFIAFB20190195</t>
  </si>
  <si>
    <t>2019-MER-0138</t>
  </si>
  <si>
    <t>SAMN40646258</t>
  </si>
  <si>
    <t>GCA_042951185.1</t>
  </si>
  <si>
    <t>SRS20882409</t>
  </si>
  <si>
    <t>SRR28490848</t>
  </si>
  <si>
    <t>PDT002124727.1</t>
  </si>
  <si>
    <t>DAXUJK000000000.1</t>
  </si>
  <si>
    <t>DAXUJK</t>
  </si>
  <si>
    <t>OLC3624</t>
  </si>
  <si>
    <t>CFIAFB20190197</t>
  </si>
  <si>
    <t>GTA-FD-2019-MI-00279</t>
  </si>
  <si>
    <t>2019-SEQ-0356</t>
  </si>
  <si>
    <t>Ground Lamb</t>
  </si>
  <si>
    <t>NO_11911835</t>
  </si>
  <si>
    <t>SAMN40646262</t>
  </si>
  <si>
    <t>GCA_042951245.1</t>
  </si>
  <si>
    <t>SRS20882412</t>
  </si>
  <si>
    <t>SRR28490844</t>
  </si>
  <si>
    <t>PDT002124723.1</t>
  </si>
  <si>
    <t>DAXUJN000000000.1</t>
  </si>
  <si>
    <t>ehxA=COMPLETE,espI=COMPLETE,espX1=COMPLETE,fdeC=COMPLETE,iha=COMPLETE,ireA=COMPLETE,iss=COMPLETE,lpfA-O113=COMPLETE,stxA1=COMPLETE,stxB1=COMPLETE,subA=COMPLETE,subB=COMPLETE</t>
  </si>
  <si>
    <t>DAXUJN</t>
  </si>
  <si>
    <t>OLC3632</t>
  </si>
  <si>
    <t>CFIAFB20190199</t>
  </si>
  <si>
    <t>STH-FD-2019-MI-0753</t>
  </si>
  <si>
    <t>2019-SEQ-0385</t>
  </si>
  <si>
    <t>SAMN40646239</t>
  </si>
  <si>
    <t>GCA_042950945.1</t>
  </si>
  <si>
    <t>SRS20882388</t>
  </si>
  <si>
    <t>SRR28490869</t>
  </si>
  <si>
    <t>PDT002124748.1</t>
  </si>
  <si>
    <t>DAXUIZ000000000.1</t>
  </si>
  <si>
    <t>cvaB=COMPLETE,cvaC=COMPLETE,espX1=PARTIAL,fdeC=COMPLETE,iha=COMPLETE,ireA=COMPLETE,iroB=COMPLETE,iroC=COMPLETE,iroD=COMPLETE,iroE=COMPLETE,iroN=PARTIAL,iss=COMPLETE,iucA=COMPLETE,iucB=COMPLETE,iucC=COMPLETE,iucD=COMPLETE,iutA=COMPLETE,lpfA-O113=COMPLETE,lpfA=COMPLETE,mchB=COMPLETE,mchF=COMPLETE,stxA1=COMPLETE,stxA2=COMPLETE,stxB1=COMPLETE,stxB2=COMPLETE,subA=COMPLETE,subB=COMPLETE,ybtP=COMPLETE,ybtQ=COMPLETE</t>
  </si>
  <si>
    <t>DAXUIZ</t>
  </si>
  <si>
    <t>OLC3658</t>
  </si>
  <si>
    <t>CFIAFB20190201</t>
  </si>
  <si>
    <t>STH-FD-2019-MI-0814</t>
  </si>
  <si>
    <t>2019-SEQ-0516</t>
  </si>
  <si>
    <t>aminoglycoside(aph(3'')-Ib (100.0%);aph(6)-Id (100.0%));macrolide(mdf(A) (97.73%));sulphonamide(sul2 (100.0%));tetracycline(tet(A) (100.0%));</t>
  </si>
  <si>
    <t>12109379 V2</t>
  </si>
  <si>
    <t>SAMN40646303</t>
  </si>
  <si>
    <t>GCA_042950865.1</t>
  </si>
  <si>
    <t>SRS20882369</t>
  </si>
  <si>
    <t>SRR28490888</t>
  </si>
  <si>
    <t>PDT002124767.1</t>
  </si>
  <si>
    <t>DAXUIP000000000.1</t>
  </si>
  <si>
    <t>aph(3'')-Ib=COMPLETE,aph(6)-Id=COMPLETE,glpT_E448K=POINT,marR_S3N=POINT,pmrB_E123D=POINT,sul2=COMPLETE,tet(A)=COMPLETE</t>
  </si>
  <si>
    <t>cdtB=COMPLETE,cnf2=COMPLETE,fdeC=COMPLETE,hlyA-alpha=COMPLETE,ibeA=COMPLETE,iroB=COMPLETE,iroC=COMPLETE,iroD=COMPLETE,iroE=COMPLETE,iroN=COMPLETE,iucA=COMPLETE,iucB=COMPLETE,iucC=COMPLETE,iucD=COMPLETE,iutA=COMPLETE,sfaF=COMPLETE,sfaS=COMPLETE,sslE=COMPLETE,stxA1=COMPLETE,stxB1=COMPLETE,vactox=COMPLETE</t>
  </si>
  <si>
    <t>acrF=COMPLETE,aph(3'')-Ib=COMPLETE,aph(6)-Id=COMPLETE,blaEC=COMPLETE,glpT_E448K=POINT,marR_S3N=POINT,pmrB_E123D=POINT,sul2=COMPLETE,tet(A)=COMPLETE</t>
  </si>
  <si>
    <t>DAXUIP</t>
  </si>
  <si>
    <t>PDS000179757.1</t>
  </si>
  <si>
    <t>OLC3758</t>
  </si>
  <si>
    <t>CFIAFB20190214</t>
  </si>
  <si>
    <t>GTA-FD-2019-MI-00967</t>
  </si>
  <si>
    <t>2019-SEQ-0782</t>
  </si>
  <si>
    <t>O-untypeable:H26 (98.81)</t>
  </si>
  <si>
    <t>SAMN40646224</t>
  </si>
  <si>
    <t>GCA_042968975.1</t>
  </si>
  <si>
    <t>SRS20882430</t>
  </si>
  <si>
    <t>SRR28490827</t>
  </si>
  <si>
    <t>PDT002124706.1</t>
  </si>
  <si>
    <t>DAXVGG000000000.1</t>
  </si>
  <si>
    <t>ehxA=COMPLETE,espX1=PARTIAL,fdeC=COMPLETE,ireA=COMPLETE,mchB=COMPLETE,mchF=COMPLETE,senB=COMPLETE,stxA1=COMPLETE,stxA2=COMPLETE,stxB1=COMPLETE,stxB2=COMPLETE,subA=COMPLETE,subB=COMPLETE</t>
  </si>
  <si>
    <t>DAXVGG</t>
  </si>
  <si>
    <t>OLF16115</t>
  </si>
  <si>
    <t>CFIAFB20160139</t>
  </si>
  <si>
    <t>CAL-FD-2016-MI-0918</t>
  </si>
  <si>
    <t>2017-HCLON-0013</t>
  </si>
  <si>
    <t>terA (99.91%),terB 100.00%),terC 100.00%),terD (99.83%),terE 100.00%),terF (99.68%),terZ 100.00%)</t>
  </si>
  <si>
    <t>SAMN11030468</t>
  </si>
  <si>
    <t>GCA_026897595.1</t>
  </si>
  <si>
    <t>SRS16120062</t>
  </si>
  <si>
    <t>SRR22715117</t>
  </si>
  <si>
    <t>PDT001525412.1</t>
  </si>
  <si>
    <t>DALAIJ000000000.1</t>
  </si>
  <si>
    <t>DALAIJ</t>
  </si>
  <si>
    <t>OLF17019-5</t>
  </si>
  <si>
    <t>CFIAFB20170128</t>
  </si>
  <si>
    <t>GTA-FD-2016-MI-02600</t>
  </si>
  <si>
    <t>2016-SEQ-1373</t>
  </si>
  <si>
    <t>9245941 v2; 9360778</t>
  </si>
  <si>
    <t>SAMN09468191</t>
  </si>
  <si>
    <t>GCA_012164575.1</t>
  </si>
  <si>
    <t>SRS3464486</t>
  </si>
  <si>
    <t>SRR7435871</t>
  </si>
  <si>
    <t>PDT000336892.2</t>
  </si>
  <si>
    <t>DAAZBY000000000.1</t>
  </si>
  <si>
    <t>eae=COMPLETE,efa1=PARTIAL_END_OF_CONTIG,ehxA=COMPLETE,espA=COMPLETE,espB=COMPLETE,espF=PARTIAL_END_OF_CONTIG,espI=COMPLETE,espJ=COMPLETE,espK=COMPLETE,espP=COMPLETE,fdeC=COMPLETE,lpfA=COMPLETE,nleA=COMPLETE,nleB=COMPLETE,nleC=COMPLETE,nleC=MISTRANSLATION,sslE=HMM,stxA2c=COMPLETE,stxB2a=COMPLETE,tir=COMPLETE,toxB=PARTIAL_END_OF_CONTIG</t>
  </si>
  <si>
    <t>DAAZBY</t>
  </si>
  <si>
    <t>OLF17021-2</t>
  </si>
  <si>
    <t>CFIAFB20170134</t>
  </si>
  <si>
    <t>2016-SEQ-1356</t>
  </si>
  <si>
    <t>9245941 v2</t>
  </si>
  <si>
    <t>SAMN10103178</t>
  </si>
  <si>
    <t>GCA_012096505.1</t>
  </si>
  <si>
    <t>SRS3811093</t>
  </si>
  <si>
    <t>SRR7890019</t>
  </si>
  <si>
    <t>PDT000382860.2</t>
  </si>
  <si>
    <t>2018-09-21T22:43:29Z</t>
  </si>
  <si>
    <t>DAAYZD000000000.1</t>
  </si>
  <si>
    <t>DAAYZD</t>
  </si>
  <si>
    <t>OLF17025-2</t>
  </si>
  <si>
    <t>CFIAFB20170153</t>
  </si>
  <si>
    <t>GTA-FD-2017-MI-00045</t>
  </si>
  <si>
    <t>2017-SEQ-0032</t>
  </si>
  <si>
    <t>SAMN09468194</t>
  </si>
  <si>
    <t>GCA_012165095.1</t>
  </si>
  <si>
    <t>SRS3464492</t>
  </si>
  <si>
    <t>SRR7435863</t>
  </si>
  <si>
    <t>PDT000336884.2</t>
  </si>
  <si>
    <t>DAAZCE000000000.1</t>
  </si>
  <si>
    <t>eae=COMPLETE,efa1=COMPLETE,ehxA=COMPLETE,espA=COMPLETE,espB=COMPLETE,espF=COMPLETE,espI=COMPLETE,espJ=COMPLETE,espK=COMPLETE,espP=COMPLETE,espX1=MISTRANSLATION,fdeC=COMPLETE,lpfA=COMPLETE,nleA=COMPLETE,nleB=COMPLETE,nleC=COMPLETE,nleC=PARTIAL_END_OF_CONTIG,sslE=HMM,stxA2c=COMPLETE,stxB2a=COMPLETE,tir=COMPLETE,toxB=COMPLETE</t>
  </si>
  <si>
    <t>DAAZCE</t>
  </si>
  <si>
    <t>OLF17028</t>
  </si>
  <si>
    <t>CFIAFB20170155</t>
  </si>
  <si>
    <t>CAL-FD-2017-MI-0017</t>
  </si>
  <si>
    <t>2017-SEQ-0041</t>
  </si>
  <si>
    <t>SAMN09468186</t>
  </si>
  <si>
    <t>GCA_012165035.1</t>
  </si>
  <si>
    <t>SRS3464496</t>
  </si>
  <si>
    <t>SRR7435862</t>
  </si>
  <si>
    <t>PDT000336883.2</t>
  </si>
  <si>
    <t>2018-06-26T21:05:40Z</t>
  </si>
  <si>
    <t>DAAZCG000000000.1</t>
  </si>
  <si>
    <t>eae=COMPLETE,efa1=PARTIAL_END_OF_CONTIG,ehxA=COMPLETE,espA=COMPLETE,espB=COMPLETE,espF=PARTIAL_END_OF_CONTIG,espI=COMPLETE,espJ=COMPLETE,espK=COMPLETE,espP=COMPLETE,espX1=MISTRANSLATION,fdeC=COMPLETE,lpfA=COMPLETE,nleA=COMPLETE,nleB=COMPLETE,nleC=COMPLETE,nleC=PARTIAL_END_OF_CONTIG,sslE=HMM,stxA2c=COMPLETE,stxB2a=COMPLETE,tccP=PARTIAL,tir=COMPLETE,toxB=PARTIAL_END_OF_CONTIG</t>
  </si>
  <si>
    <t>DAAZCG</t>
  </si>
  <si>
    <t>OLF17032-2</t>
  </si>
  <si>
    <t>CFIAFB20170158</t>
  </si>
  <si>
    <t>BUR-FI-2016-MI-01883</t>
  </si>
  <si>
    <t>2017-SEQ-0050</t>
  </si>
  <si>
    <t>SAMN09468182</t>
  </si>
  <si>
    <t>GCA_012165125.1</t>
  </si>
  <si>
    <t>SRS3464488</t>
  </si>
  <si>
    <t>SRR7435866</t>
  </si>
  <si>
    <t>PDT000336887.2</t>
  </si>
  <si>
    <t>DAAZCC000000000.1</t>
  </si>
  <si>
    <t>DAAZCC</t>
  </si>
  <si>
    <t>OLF17037</t>
  </si>
  <si>
    <t>CFIAFB20170169</t>
  </si>
  <si>
    <t>CAL-FD-2017-MI-0038</t>
  </si>
  <si>
    <t>2017-CAL-0262</t>
  </si>
  <si>
    <t>O121 (100.0):H19 (98.36)</t>
  </si>
  <si>
    <t>SAMN09468187</t>
  </si>
  <si>
    <t>GCA_012164955.1</t>
  </si>
  <si>
    <t>SRS3464497</t>
  </si>
  <si>
    <t>SRR7435861</t>
  </si>
  <si>
    <t>PDT000336882.2</t>
  </si>
  <si>
    <t>DAAZCH000000000.1</t>
  </si>
  <si>
    <t>DAAZCH</t>
  </si>
  <si>
    <t>OLF17041-4</t>
  </si>
  <si>
    <t>CFIAFB20170175</t>
  </si>
  <si>
    <t>OTT-FD-2017-MI-0029</t>
  </si>
  <si>
    <t>2017-SEQ-0069</t>
  </si>
  <si>
    <t>Unbleached Flour</t>
  </si>
  <si>
    <t>SAMN09468197</t>
  </si>
  <si>
    <t>GCA_012164455.1</t>
  </si>
  <si>
    <t>SRS3464483</t>
  </si>
  <si>
    <t>SRR7435874</t>
  </si>
  <si>
    <t>PDT000336895.2</t>
  </si>
  <si>
    <t>DAAZBW000000000.1</t>
  </si>
  <si>
    <t>DAAZBW</t>
  </si>
  <si>
    <t>OLF17053-1</t>
  </si>
  <si>
    <t>CFIAFB20170184</t>
  </si>
  <si>
    <t>BUR-FI-2017-MI-00299</t>
  </si>
  <si>
    <t>2017-BUR-0073</t>
  </si>
  <si>
    <t>SAMN09468185</t>
  </si>
  <si>
    <t>GCA_012164555.1</t>
  </si>
  <si>
    <t>SRS3464493</t>
  </si>
  <si>
    <t>SRR7435869</t>
  </si>
  <si>
    <t>PDT000336890.2</t>
  </si>
  <si>
    <t>DAAZBX000000000.1</t>
  </si>
  <si>
    <t>eae=COMPLETE,efa1=COMPLETE,ehxA=COMPLETE,espA=COMPLETE,espB=COMPLETE,espF=COMPLETE,espI=COMPLETE,espJ=COMPLETE,espK=COMPLETE,espP=COMPLETE,espX1=MISTRANSLATION,fdeC=COMPLETE,lpfA=COMPLETE,nleA=COMPLETE,nleB=COMPLETE,nleC=COMPLETE,sslE=HMM,stxA2c=COMPLETE,stxB2a=COMPLETE,tccP=PARTIAL,tir=COMPLETE,toxB=COMPLETE</t>
  </si>
  <si>
    <t>DAAZBX</t>
  </si>
  <si>
    <t>PDS000057709.3</t>
  </si>
  <si>
    <t>OLF17053-2</t>
  </si>
  <si>
    <t>CFIAFB20170185</t>
  </si>
  <si>
    <t>2017-BUR-0074</t>
  </si>
  <si>
    <t>O121 (100.0):H19 (98.25)</t>
  </si>
  <si>
    <t>SAMN13334737</t>
  </si>
  <si>
    <t>GCA_027231705.1</t>
  </si>
  <si>
    <t>SRS16250857</t>
  </si>
  <si>
    <t>SRR22858693</t>
  </si>
  <si>
    <t>PDT001543030.1</t>
  </si>
  <si>
    <t>DALPCA000000000.1</t>
  </si>
  <si>
    <t>eae=COMPLETE,efa1=COMPLETE,ehxA=COMPLETE,espA=COMPLETE,espB=COMPLETE,espF=COMPLETE,espI=COMPLETE,espJ=COMPLETE,espK=COMPLETE,espP=COMPLETE,espX1=MISTRANSLATION,fdeC=COMPLETE,lpfA=COMPLETE,nleA=COMPLETE,nleB=COMPLETE,nleC=COMPLETE,sslE=HMM,stxA2c=COMPLETE,stxB2a=COMPLETE,tccP=PARTIAL_END_OF_CONTIG,tir=COMPLETE,toxB=COMPLETE</t>
  </si>
  <si>
    <t>DALPCA</t>
  </si>
  <si>
    <t>OLF17053-3</t>
  </si>
  <si>
    <t>CFIAFB20170186</t>
  </si>
  <si>
    <t>2017-BUR-0075</t>
  </si>
  <si>
    <t>SAMN13334738</t>
  </si>
  <si>
    <t>GCA_027228905.1</t>
  </si>
  <si>
    <t>SRS16250856</t>
  </si>
  <si>
    <t>SRR22858694</t>
  </si>
  <si>
    <t>PDT001543031.1</t>
  </si>
  <si>
    <t>DALOXT000000000.1</t>
  </si>
  <si>
    <t>eae=COMPLETE,efa1=COMPLETE,ehxA=COMPLETE,espA=COMPLETE,espB=COMPLETE,espF=COMPLETE,espI=COMPLETE,espJ=COMPLETE,espK=COMPLETE,espP=COMPLETE,espX1=MISTRANSLATION,fdeC=COMPLETE,lpfA=COMPLETE,nleA=COMPLETE,nleB=COMPLETE,nleC=COMPLETE,sslE=HMM,stxA2c=COMPLETE,stxB2a=COMPLETE,tir=COMPLETE,toxB=COMPLETE</t>
  </si>
  <si>
    <t>DALOXT</t>
  </si>
  <si>
    <t>OLF17053-5</t>
  </si>
  <si>
    <t>CFIAFB20170188</t>
  </si>
  <si>
    <t>2017-BUR-0077</t>
  </si>
  <si>
    <t>SAMN13334739</t>
  </si>
  <si>
    <t>GCA_027231665.1</t>
  </si>
  <si>
    <t>SRS16250855</t>
  </si>
  <si>
    <t>SRR22858695</t>
  </si>
  <si>
    <t>PDT001543032.1</t>
  </si>
  <si>
    <t>DALPBY000000000.1</t>
  </si>
  <si>
    <t>DALPBY</t>
  </si>
  <si>
    <t>OLF17059</t>
  </si>
  <si>
    <t>CFIAFB20170191</t>
  </si>
  <si>
    <t>BUR-FI-2017-MI-00238</t>
  </si>
  <si>
    <t>2017-BUR-0049</t>
  </si>
  <si>
    <t>SAMN09468184</t>
  </si>
  <si>
    <t>GCA_012164715.1</t>
  </si>
  <si>
    <t>SRS3464485</t>
  </si>
  <si>
    <t>SRR7435873</t>
  </si>
  <si>
    <t>PDT000336894.2</t>
  </si>
  <si>
    <t>DAAZBZ000000000.1</t>
  </si>
  <si>
    <t>DAAZBZ</t>
  </si>
  <si>
    <t>OLF17060</t>
  </si>
  <si>
    <t>CFIAFB20170192</t>
  </si>
  <si>
    <t>B7B7644 END 543</t>
  </si>
  <si>
    <t>2017-SEQ-0456</t>
  </si>
  <si>
    <t>SAMN13334740</t>
  </si>
  <si>
    <t>GCA_027228885.1</t>
  </si>
  <si>
    <t>SRS16250854</t>
  </si>
  <si>
    <t>SRR22858696</t>
  </si>
  <si>
    <t>PDT001543033.1</t>
  </si>
  <si>
    <t>DALOXR000000000.1</t>
  </si>
  <si>
    <t>eae=COMPLETE,efa1=COMPLETE,ehxA=COMPLETE,espA=COMPLETE,espB=COMPLETE,espF=COMPLETE,espI=COMPLETE,espJ=COMPLETE,espK=COMPLETE,espP=COMPLETE,espX1=MISTRANSLATION,fdeC=COMPLETE,lpfA=COMPLETE,nleA=COMPLETE,nleB=COMPLETE,nleC=COMPLETE,nleC=PARTIAL_END_OF_CONTIG,sslE=HMM,stxA2c=COMPLETE,stxB2a=COMPLETE,tccP=COMPLETE,tir=COMPLETE,toxB=COMPLETE</t>
  </si>
  <si>
    <t>DALOXR</t>
  </si>
  <si>
    <t>OLF18014-1</t>
  </si>
  <si>
    <t>CFIAFB20180221</t>
  </si>
  <si>
    <t>2017-SEQ-1696</t>
  </si>
  <si>
    <t>Other-Ground Veal</t>
  </si>
  <si>
    <t>O91 (100.0):H14 (98.85)ND</t>
  </si>
  <si>
    <t>SAMN11373322</t>
  </si>
  <si>
    <t>GCA_026889235.2</t>
  </si>
  <si>
    <t>SRS16120063</t>
  </si>
  <si>
    <t>SRR22715116</t>
  </si>
  <si>
    <t>PDT001525411.2</t>
  </si>
  <si>
    <t>DAKZWO000000000.2</t>
  </si>
  <si>
    <t>espI=COMPLETE,fdeC=COMPLETE,iha=MISTRANSLATION,iha=PARTIAL_END_OF_CONTIG,ireA=COMPLETE,iucA=COMPLETE,iucB=COMPLETE,iucC=COMPLETE,iucD=COMPLETE,iutA=COMPLETE,lpfA-O113=COMPLETE,lpfA=COMPLETE,mchB=COMPLETE,mchF=COMPLETE,senB=COMPLETE,sslE=HMM,stx1a_operon=COMPLETE,stx2_operon=PARTIAL_CONTIG_END,stx2b_operon=COMPLETE,stxA1=COMPLETE,stxA2=COMPLETE,stxA2=PARTIAL_END_OF_CONTIG,stxB1=COMPLETE,stxB2=COMPLETE,subA=COMPLETE,subB=COMPLETE</t>
  </si>
  <si>
    <t>DAKZWO</t>
  </si>
  <si>
    <t>OLF18014-2</t>
  </si>
  <si>
    <t>CFIAFB20180222</t>
  </si>
  <si>
    <t>2017-SEQ-1697</t>
  </si>
  <si>
    <t>SAMN11373323</t>
  </si>
  <si>
    <t>GCA_026897575.2</t>
  </si>
  <si>
    <t>SRS16120065</t>
  </si>
  <si>
    <t>SRR22715114</t>
  </si>
  <si>
    <t>PDT001525409.2</t>
  </si>
  <si>
    <t>DALAIK000000000.2</t>
  </si>
  <si>
    <t>DALAIK</t>
  </si>
  <si>
    <t>OLF18030</t>
  </si>
  <si>
    <t>CFIAFB20180236</t>
  </si>
  <si>
    <t>CAL-FD-2017-MI-1589</t>
  </si>
  <si>
    <t>2017-SEQ-1842</t>
  </si>
  <si>
    <t>O116 (99.86):H16 (99.94)</t>
  </si>
  <si>
    <t>SAMN10989158</t>
  </si>
  <si>
    <t>GCA_026889215.1</t>
  </si>
  <si>
    <t>SRS16120055</t>
  </si>
  <si>
    <t>SRR22715124</t>
  </si>
  <si>
    <t>PDT001525419.1</t>
  </si>
  <si>
    <t>DAKZWL000000000.1</t>
  </si>
  <si>
    <t>aph(3'')-Ib=COMPLETE,aph(6)-Id=COMPLETE,floR=COMPLETE,glpT_E448K=POINT,sul2=COMPLETE,tet(A)=COMPLETE</t>
  </si>
  <si>
    <t>astA=PARTIAL_END_OF_CONTIG,ehxA=PARTIAL,fdeC=COMPLETE,lpfA=COMPLETE,sslE=HMM,sta1=COMPLETE,stxA2c=COMPLETE,stxB2a=COMPLETE</t>
  </si>
  <si>
    <t>acrF=COMPLETE,aph(3'')-Ib=COMPLETE,aph(6)-Id=COMPLETE,blaEC=COMPLETE,floR=COMPLETE,glpT_E448K=POINT,mdtM=COMPLETE,sul2=COMPLETE,tet(A)=COMPLETE</t>
  </si>
  <si>
    <t>DAKZWL</t>
  </si>
  <si>
    <t>PDS000082421.2</t>
  </si>
  <si>
    <t>OLF18039</t>
  </si>
  <si>
    <t>CFIAFB20180251</t>
  </si>
  <si>
    <t>STH-FD-2017-MI-2939</t>
  </si>
  <si>
    <t>2018-MER-0070</t>
  </si>
  <si>
    <t>Other-Lean ground veal</t>
  </si>
  <si>
    <t>SAMN10989176</t>
  </si>
  <si>
    <t>GCA_026889335.1</t>
  </si>
  <si>
    <t>SRS16120079</t>
  </si>
  <si>
    <t>SRR22715099</t>
  </si>
  <si>
    <t>PDT001525394.1</t>
  </si>
  <si>
    <t>DAKZWS000000000.1</t>
  </si>
  <si>
    <t>cif=COMPLETE,eae=COMPLETE,efa1=COMPLETE,ehxA=COMPLETE,espA=COMPLETE,espB=COMPLETE,espF=COMPLETE,espJ=COMPLETE,espK=COMPLETE,espX1=PARTIAL,etpD=COMPLETE,fdeC=COMPLETE,lpfA=COMPLETE,nleA=COMPLETE,nleB2=COMPLETE,nleB=COMPLETE,sslE=HMM,stxA1a=COMPLETE,stxB1a=COMPLETE,tir=COMPLETE</t>
  </si>
  <si>
    <t>DAKZWS</t>
  </si>
  <si>
    <t>PDS000005899.32</t>
  </si>
  <si>
    <t>OLF18052</t>
  </si>
  <si>
    <t>CFIAFB20180272</t>
  </si>
  <si>
    <t>GTA-FD-2018-MI-00030</t>
  </si>
  <si>
    <t>2018-GTA-0012</t>
  </si>
  <si>
    <t>terA (99.91%),terB 100.00%),terC (99.90%),terD 100.00%),terE 100.00%),terF (99.35%),terZ 100.00%)</t>
  </si>
  <si>
    <t>O103:H25</t>
  </si>
  <si>
    <t>O103 (100.0):H25 (100.0)ND</t>
  </si>
  <si>
    <t>SAMN10989055</t>
  </si>
  <si>
    <t>GCA_026889655.1</t>
  </si>
  <si>
    <t>SRS16120111</t>
  </si>
  <si>
    <t>SRR22715068</t>
  </si>
  <si>
    <t>PDT001525363.1</t>
  </si>
  <si>
    <t>DAKZXH000000000.1</t>
  </si>
  <si>
    <t>eae=COMPLETE,efa1=PARTIAL_END_OF_CONTIG,ehxA=COMPLETE,espA=COMPLETE,espB=COMPLETE,espF=COMPLETE,espI=COMPLETE,espJ=COMPLETE,espX1=PARTIAL_END_OF_CONTIG,etpD=COMPLETE,fdeC=COMPLETE,lpfA=COMPLETE,nleA=COMPLETE,nleA=PARTIAL_END_OF_CONTIG,nleB=COMPLETE,nleC=MISTRANSLATION,sslE=HMM,stxA1a=COMPLETE,stxB1a=COMPLETE,tccP=PARTIAL_END_OF_CONTIG,tir=COMPLETE</t>
  </si>
  <si>
    <t>DAKZXH</t>
  </si>
  <si>
    <t>OLF18069-1</t>
  </si>
  <si>
    <t>CFIAFB20180300</t>
  </si>
  <si>
    <t>2018-SEQ-0371</t>
  </si>
  <si>
    <t>O26:H32</t>
  </si>
  <si>
    <t>O26 (100.0):H32 (100.0)</t>
  </si>
  <si>
    <t>O26,uidA</t>
  </si>
  <si>
    <t>blaCMY (70.17%) Beta-Lactamase</t>
  </si>
  <si>
    <t>SAMN10989083</t>
  </si>
  <si>
    <t>GCA_026889195.1</t>
  </si>
  <si>
    <t>SRS16120052</t>
  </si>
  <si>
    <t>SRR22715127</t>
  </si>
  <si>
    <t>PDT001525422.1</t>
  </si>
  <si>
    <t>DAKZWJ000000000.1</t>
  </si>
  <si>
    <t>espX1=PARTIAL,fdeC=COMPLETE,sslE=HMM</t>
  </si>
  <si>
    <t>DAKZWJ</t>
  </si>
  <si>
    <t>PDS000127712.1</t>
  </si>
  <si>
    <t>OLF18074-1</t>
  </si>
  <si>
    <t>CFIAFB20180305</t>
  </si>
  <si>
    <t>BUR-FI-2018-MI-00223</t>
  </si>
  <si>
    <t>2018-SEQ-0399</t>
  </si>
  <si>
    <t>Ground Beef/Trim-Veal</t>
  </si>
  <si>
    <t>O91:H14 (98.85)</t>
  </si>
  <si>
    <t>VT1,VT2,uidA</t>
  </si>
  <si>
    <t>vtx1a,vtx2b</t>
  </si>
  <si>
    <t>SAMN13334808</t>
  </si>
  <si>
    <t>GCA_027230925.1</t>
  </si>
  <si>
    <t>SRS16250820</t>
  </si>
  <si>
    <t>SRR22858730</t>
  </si>
  <si>
    <t>PDT001543067.1</t>
  </si>
  <si>
    <t>DALPAO000000000.1</t>
  </si>
  <si>
    <t>espI=COMPLETE,espX1=PARTIAL_END_OF_CONTIG,fdeC=COMPLETE,iha=COMPLETE,iha=MISTRANSLATION,ireA=COMPLETE,iucA=COMPLETE,iucB=COMPLETE,iucC=COMPLETE,iucD=COMPLETE,iutA=COMPLETE,lpfA=COMPLETE,mchB=COMPLETE,mchF=COMPLETE,sslE=HMM,stxA1a=COMPLETE,stxA2b=COMPLETE,stxB1a=COMPLETE,stxB2b=COMPLETE,subA=COMPLETE,subB=PARTIAL_END_OF_CONTIG</t>
  </si>
  <si>
    <t>DALPAO</t>
  </si>
  <si>
    <t>OLF18074-2</t>
  </si>
  <si>
    <t>CFIAFB20180306</t>
  </si>
  <si>
    <t>2018-SEQ-0400</t>
  </si>
  <si>
    <t>O128ab (99.93):H2 (100.0)</t>
  </si>
  <si>
    <t>SAMN13334809</t>
  </si>
  <si>
    <t>GCA_027229505.1</t>
  </si>
  <si>
    <t>SRS16250819</t>
  </si>
  <si>
    <t>SRR22858731</t>
  </si>
  <si>
    <t>PDT001543068.1</t>
  </si>
  <si>
    <t>DALOYQ000000000.1</t>
  </si>
  <si>
    <t>ehxA=COMPLETE,espX1=PARTIAL_END_OF_CONTIG,fdeC=COMPLETE,iha=COMPLETE,ireA=COMPLETE,iss=COMPLETE,lpfA=COMPLETE,mchB=COMPLETE,mchF=COMPLETE,stxA1c=COMPLETE,stxA2b=COMPLETE,stxB1c=COMPLETE,stxB2b=COMPLETE,subA=COMPLETE,subB=COMPLETE,ybtP=COMPLETE,ybtQ=COMPLETE</t>
  </si>
  <si>
    <t>DALOYQ</t>
  </si>
  <si>
    <t>OLF18098-1</t>
  </si>
  <si>
    <t>CFIAFB20180322</t>
  </si>
  <si>
    <t>BUR-FI-2018-MI-00465</t>
  </si>
  <si>
    <t>2018-SEQ-0771</t>
  </si>
  <si>
    <t>Other-Raw ground lamb</t>
  </si>
  <si>
    <t>O75 (98.32):H8 (100.0)</t>
  </si>
  <si>
    <t>10946713 v2</t>
  </si>
  <si>
    <t>SAMN11373500</t>
  </si>
  <si>
    <t>GCA_026889815.1</t>
  </si>
  <si>
    <t>SRS16120130</t>
  </si>
  <si>
    <t>SRR22715049</t>
  </si>
  <si>
    <t>PDT001525344.1</t>
  </si>
  <si>
    <t>DAKZXO000000000.1</t>
  </si>
  <si>
    <t>aph(3'')-Ib=COMPLETE,aph(6)-Id=COMPLETE,aph(6)-Id=PARTIAL_END_OF_CONTIG,glpT_E448K=POINT,pmrB_Y358N=POINT,sul2=COMPLETE,sul2=PARTIAL_END_OF_CONTIG,tet(B)=COMPLETE</t>
  </si>
  <si>
    <t>ehxA=COMPLETE,espI=PARTIAL_END_OF_CONTIG,espX1=PARTIAL,fdeC=COMPLETE,iha=COMPLETE,ireA=COMPLETE,iss=COMPLETE,lpfA=COMPLETE,sslE=HMM,stxA1c=COMPLETE,stxA2b=COMPLETE,stxB1c=COMPLETE,stxB2b=COMPLETE,subA=COMPLETE,subB=COMPLETE,ybtP=COMPLETE,ybtQ=COMPLETE</t>
  </si>
  <si>
    <t>acrF=COMPLETE,aph(3'')-Ib=COMPLETE,aph(6)-Id=COMPLETE,aph(6)-Id=PARTIAL_END_OF_CONTIG,blaEC=COMPLETE,glpT_E448K=POINT,mdtM=COMPLETE,pmrB_Y358N=POINT,sul2=COMPLETE,sul2=PARTIAL_END_OF_CONTIG,tet(B)=COMPLETE</t>
  </si>
  <si>
    <t>DAKZXO</t>
  </si>
  <si>
    <t>OLF18098-2</t>
  </si>
  <si>
    <t>CFIAFB20180323</t>
  </si>
  <si>
    <t>2018-SEQ-0642</t>
  </si>
  <si>
    <t>Stx1a_19_AAAAYL020000128.1|Stx2b_110_AATFTC010000164.1</t>
  </si>
  <si>
    <t>SAMN10989116</t>
  </si>
  <si>
    <t>GCA_026889495.1</t>
  </si>
  <si>
    <t>SRS16120053</t>
  </si>
  <si>
    <t>SRR22715126</t>
  </si>
  <si>
    <t>PDT001525421.1</t>
  </si>
  <si>
    <t>DAKZWM000000000.1</t>
  </si>
  <si>
    <t>ehxA=COMPLETE,epeA=COMPLETE,espI=COMPLETE,espX1=PARTIAL,fdeC=COMPLETE,iha=COMPLETE,ireA=COMPLETE,iucA=COMPLETE,iucB=COMPLETE,iucC=COMPLETE,iucD=COMPLETE,iutA=COMPLETE,lpfA=COMPLETE,mchB=COMPLETE,mchF=MISTRANSLATION,senB=COMPLETE,stxA1a=COMPLETE,stxA2b=COMPLETE,stxA2b=PARTIAL_END_OF_CONTIG,stxB1a=COMPLETE,stxB2b=COMPLETE,subA=COMPLETE,subA=PARTIAL,subB=COMPLETE</t>
  </si>
  <si>
    <t>DAKZWM</t>
  </si>
  <si>
    <t>OLF18098-3</t>
  </si>
  <si>
    <t>CFIAFB20180324</t>
  </si>
  <si>
    <t>2018-SEQ-0643</t>
  </si>
  <si>
    <t>SAMN13334817</t>
  </si>
  <si>
    <t>GCA_027232245.1</t>
  </si>
  <si>
    <t>SRS16250817</t>
  </si>
  <si>
    <t>SRR22858733</t>
  </si>
  <si>
    <t>PDT001543070.1</t>
  </si>
  <si>
    <t>DALPDA000000000.1</t>
  </si>
  <si>
    <t>espI=COMPLETE,espX1=PARTIAL,fdeC=COMPLETE,iha=MISTRANSLATION,iha=PARTIAL_END_OF_CONTIG,ireA=COMPLETE,iucA=COMPLETE,iucB=COMPLETE,iucC=COMPLETE,iucD=COMPLETE,iutA=COMPLETE,lpfA=COMPLETE,mchB=COMPLETE,mchF=COMPLETE,senB=COMPLETE,sslE=HMM,stxA1a=COMPLETE,stxA2b=COMPLETE,stxB1a=COMPLETE,stxB2b=COMPLETE,subA=PARTIAL_END_OF_CONTIG,subB=PARTIAL_END_OF_CONTIG</t>
  </si>
  <si>
    <t>DALPDA</t>
  </si>
  <si>
    <t>PDS000129725.1</t>
  </si>
  <si>
    <t>OLF18098-4</t>
  </si>
  <si>
    <t>CFIAFB20180325</t>
  </si>
  <si>
    <t>2018-SEQ-0644</t>
  </si>
  <si>
    <t>SAMN13334818</t>
  </si>
  <si>
    <t>GCA_027230965.1</t>
  </si>
  <si>
    <t>SRS16250816</t>
  </si>
  <si>
    <t>SRR22858734</t>
  </si>
  <si>
    <t>PDT001543071.1</t>
  </si>
  <si>
    <t>DALPAN000000000.1</t>
  </si>
  <si>
    <t>espI=COMPLETE,espX1=PARTIAL,fdeC=COMPLETE,iha=COMPLETE,iha=MISTRANSLATION,ireA=COMPLETE,iucA=COMPLETE,iucB=COMPLETE,iucC=COMPLETE,iucD=COMPLETE,iutA=COMPLETE,lpfA=COMPLETE,mchB=COMPLETE,mchF=COMPLETE,senB=COMPLETE,sslE=HMM,stxA1a=COMPLETE,stxA2b=COMPLETE,stxB1a=COMPLETE,stxB2b=COMPLETE,subA=PARTIAL_END_OF_CONTIG,subB=PARTIAL_END_OF_CONTIG</t>
  </si>
  <si>
    <t>DALPAN</t>
  </si>
  <si>
    <t>OLF18111-1</t>
  </si>
  <si>
    <t>CFIAFB20180346</t>
  </si>
  <si>
    <t>BUR-FI-2018-MI-00547</t>
  </si>
  <si>
    <t>2018-SEQ-0777</t>
  </si>
  <si>
    <t>O104 (99.92):H7 (100.0)</t>
  </si>
  <si>
    <t>10998968 V2</t>
  </si>
  <si>
    <t>SAMN10989006</t>
  </si>
  <si>
    <t>GCA_026888695.1</t>
  </si>
  <si>
    <t>SRS16120057</t>
  </si>
  <si>
    <t>SRR22715122</t>
  </si>
  <si>
    <t>PDT001525417.1</t>
  </si>
  <si>
    <t>DAKZVQ000000000.1</t>
  </si>
  <si>
    <t>DAKZVQ</t>
  </si>
  <si>
    <t>PDS000127707.1</t>
  </si>
  <si>
    <t>OLF18111-2</t>
  </si>
  <si>
    <t>CFIAFB20180347</t>
  </si>
  <si>
    <t>2018-SEQ-0778</t>
  </si>
  <si>
    <t>SAMN10989007</t>
  </si>
  <si>
    <t>GCA_026888815.1</t>
  </si>
  <si>
    <t>SRS16120083</t>
  </si>
  <si>
    <t>SRR22715095</t>
  </si>
  <si>
    <t>PDT001525390.1</t>
  </si>
  <si>
    <t>DAKZVW000000000.1</t>
  </si>
  <si>
    <t>DAKZVW</t>
  </si>
  <si>
    <t>OLF18143-1</t>
  </si>
  <si>
    <t>CFIAFB20180383</t>
  </si>
  <si>
    <t>BUR-FI-2018-MI-00693</t>
  </si>
  <si>
    <t>2019-MER-0224</t>
  </si>
  <si>
    <t>macrolide(mdf(A) (98.86%));</t>
  </si>
  <si>
    <t>SAMN13334835</t>
  </si>
  <si>
    <t>GCA_013684535.1</t>
  </si>
  <si>
    <t>SRS6861749</t>
  </si>
  <si>
    <t>SRR12039817</t>
  </si>
  <si>
    <t>PDT000767997.1</t>
  </si>
  <si>
    <t>2020-06-17T22:14:00Z</t>
  </si>
  <si>
    <t>DABMEZ000000000.1</t>
  </si>
  <si>
    <t>eae=COMPLETE,efa1=COMPLETE,ehxA=COMPLETE,espA=COMPLETE,espB=COMPLETE,espF=PARTIAL,espI=COMPLETE,espJ=COMPLETE,espX1=COMPLETE,etpD=COMPLETE,fdeC=COMPLETE,lpfA=COMPLETE,nleA=COMPLETE,nleA=PARTIAL_END_OF_CONTIG,nleB=COMPLETE,nleC=MISTRANSLATION,nleC=PARTIAL,sslE=HMM,stxA1a=COMPLETE,stxB1a=COMPLETE,tir=COMPLETE</t>
  </si>
  <si>
    <t>DABMEZ</t>
  </si>
  <si>
    <t>PDS000064520.3</t>
  </si>
  <si>
    <t>OLF18143-2</t>
  </si>
  <si>
    <t>CFIAFB20180384</t>
  </si>
  <si>
    <t>2018-MER-0083</t>
  </si>
  <si>
    <t>O103 (100.0):H25 (100.0)</t>
  </si>
  <si>
    <t>SAMN10988985</t>
  </si>
  <si>
    <t>GCA_026897495.1</t>
  </si>
  <si>
    <t>SRS16120045</t>
  </si>
  <si>
    <t>SRR22715134</t>
  </si>
  <si>
    <t>PDT001525429.1</t>
  </si>
  <si>
    <t>DALAIE000000000.1</t>
  </si>
  <si>
    <t>eae=COMPLETE,efa1=COMPLETE,ehxA=COMPLETE,espA=COMPLETE,espB=COMPLETE,espF=COMPLETE,espI=COMPLETE,espJ=COMPLETE,espX1=COMPLETE,etpD=COMPLETE,fdeC=COMPLETE,lpfA=COMPLETE,nleA=COMPLETE,nleA=PARTIAL_END_OF_CONTIG,nleB=COMPLETE,nleC=MISTRANSLATION,nleC=PARTIAL,sslE=HMM,stxA1a=COMPLETE,stxB1a=COMPLETE,tir=COMPLETE</t>
  </si>
  <si>
    <t>DALAIE</t>
  </si>
  <si>
    <t>OLF18143-3</t>
  </si>
  <si>
    <t>CFIAFB20180385</t>
  </si>
  <si>
    <t>2018-MER-0084</t>
  </si>
  <si>
    <t>SAMN13334836</t>
  </si>
  <si>
    <t>GCA_027234865.1</t>
  </si>
  <si>
    <t>SRS16250815</t>
  </si>
  <si>
    <t>SRR22858735</t>
  </si>
  <si>
    <t>PDT001543072.1</t>
  </si>
  <si>
    <t>DALPHX000000000.1</t>
  </si>
  <si>
    <t>eae=COMPLETE,efa1=PARTIAL_END_OF_CONTIG,ehxA=COMPLETE,espA=COMPLETE,espB=COMPLETE,espF=COMPLETE,espI=COMPLETE,espJ=COMPLETE,espX1=COMPLETE,etpD=COMPLETE,fdeC=COMPLETE,lpfA=COMPLETE,nleA=COMPLETE,nleA=PARTIAL_END_OF_CONTIG,nleB=COMPLETE,nleC=MISTRANSLATION,nleC=PARTIAL,sslE=HMM,stxA1a=COMPLETE,stxB1a=COMPLETE,tccP=COMPLETE,tir=COMPLETE</t>
  </si>
  <si>
    <t>DALPHX</t>
  </si>
  <si>
    <t>OLF18143-4</t>
  </si>
  <si>
    <t>CFIAFB20180386</t>
  </si>
  <si>
    <t>2018-MER-0085</t>
  </si>
  <si>
    <t>SAMN10988986</t>
  </si>
  <si>
    <t>GCA_026890035.1</t>
  </si>
  <si>
    <t>SRS16120046</t>
  </si>
  <si>
    <t>SRR22715133</t>
  </si>
  <si>
    <t>PDT001525428.1</t>
  </si>
  <si>
    <t>DAKZXW000000000.1</t>
  </si>
  <si>
    <t>eae=COMPLETE,efa1=COMPLETE,ehxA=COMPLETE,espA=COMPLETE,espB=COMPLETE,espF=COMPLETE,espI=COMPLETE,espJ=COMPLETE,espX1=COMPLETE,etpD=COMPLETE,fdeC=COMPLETE,lpfA=COMPLETE,nleA=COMPLETE,nleA=PARTIAL_END_OF_CONTIG,nleB=COMPLETE,nleC=MISTRANSLATION,nleC=PARTIAL,sslE=HMM,stxA1a=COMPLETE,stxB1a=COMPLETE,tccP=PARTIAL,tir=COMPLETE</t>
  </si>
  <si>
    <t>DAKZXW</t>
  </si>
  <si>
    <t>OLC0455</t>
  </si>
  <si>
    <t>2014-SEQ-0291</t>
  </si>
  <si>
    <t>O111:H11</t>
  </si>
  <si>
    <t>stx1a, eae</t>
  </si>
  <si>
    <t>SAMN04900909</t>
  </si>
  <si>
    <t> </t>
  </si>
  <si>
    <t>PRJNA319494</t>
  </si>
  <si>
    <t>SRS2578972</t>
  </si>
  <si>
    <t>SRR6154949</t>
  </si>
  <si>
    <t>OLC0458</t>
  </si>
  <si>
    <t>2015-SEQ-0187</t>
  </si>
  <si>
    <t>eae;hlyAEc;O111;VT1;uidA</t>
  </si>
  <si>
    <t>SAMN04900912</t>
  </si>
  <si>
    <t>GCF_002531175.1</t>
  </si>
  <si>
    <t>SRS2578971</t>
  </si>
  <si>
    <t>SRR6154950</t>
  </si>
  <si>
    <t>OLC0464</t>
  </si>
  <si>
    <t>2014-SEQ-0292</t>
  </si>
  <si>
    <t>eae;hlyAEc;O26;VT1;uidA</t>
  </si>
  <si>
    <t>SAMN03292332</t>
  </si>
  <si>
    <t>PRJNA273275</t>
  </si>
  <si>
    <t>SRS833792</t>
  </si>
  <si>
    <t>OLC0465</t>
  </si>
  <si>
    <t>2017-MER-0185</t>
  </si>
  <si>
    <t>SAMN26420006</t>
  </si>
  <si>
    <t>SRR28906867</t>
  </si>
  <si>
    <t>SRS12174799</t>
  </si>
  <si>
    <t>SRR18214923</t>
  </si>
  <si>
    <t>OLC0469</t>
  </si>
  <si>
    <t>2014-SEQ-0331</t>
  </si>
  <si>
    <t>terA 100.00%),terB 100.00%),terC 100.00%),terD (99.83%),terE 100.00%),terF (99.68%),terZ 100.00%)</t>
  </si>
  <si>
    <t>stx1a, stx2c,eae</t>
  </si>
  <si>
    <t>SAMN03292333</t>
  </si>
  <si>
    <t>GCF_000948765.1</t>
  </si>
  <si>
    <t>SRS833793</t>
  </si>
  <si>
    <t>OLC0470</t>
  </si>
  <si>
    <t>2016-SEQ-0733</t>
  </si>
  <si>
    <t>stx2c,eae</t>
  </si>
  <si>
    <t>OLC0472</t>
  </si>
  <si>
    <t>2016-SEQ-0735</t>
  </si>
  <si>
    <t>terA 100.00%),terB 100.00%),terC 100.00%),terD 100.00%),terE 100.00%),terF 100.00%),terZ 100.00%)</t>
  </si>
  <si>
    <t>stx1a, stx2a, eae</t>
  </si>
  <si>
    <t>OLC0476</t>
  </si>
  <si>
    <t>2019-MER-0018</t>
  </si>
  <si>
    <t>eae;hlyAEc;O157;uidA</t>
  </si>
  <si>
    <t>eae</t>
  </si>
  <si>
    <t>SAMN38336039</t>
  </si>
  <si>
    <t>PRJNA1038770</t>
  </si>
  <si>
    <t>SRR26893048</t>
  </si>
  <si>
    <t>OLC0611</t>
  </si>
  <si>
    <t>2016-SEQ-0771</t>
  </si>
  <si>
    <t>terA 100.00%),terB 100.00%),terC (99.81%),terD 100.00%),terE 100.00%),terF (99.35%),terZ 100.00%)</t>
  </si>
  <si>
    <t>SAMN40758080</t>
  </si>
  <si>
    <t>SRR28563886</t>
  </si>
  <si>
    <t>SRS20943481</t>
  </si>
  <si>
    <t>OLC0632</t>
  </si>
  <si>
    <t>2016-SEQ-0009</t>
  </si>
  <si>
    <t>terA (95.16%),terB (90.57%),terC (74.26%),terD 100.00%),terE (96.18%),terF 100.00%),terZ 100.00%)</t>
  </si>
  <si>
    <t>O111:NM</t>
  </si>
  <si>
    <t>eae;O111;VT1;VT2;uidA</t>
  </si>
  <si>
    <t>SAMN04900921</t>
  </si>
  <si>
    <t>SRS2578994</t>
  </si>
  <si>
    <t>SRR6154927</t>
  </si>
  <si>
    <t>OLC0635</t>
  </si>
  <si>
    <t>2016-SEQ-0772</t>
  </si>
  <si>
    <t>SAMN26420007</t>
  </si>
  <si>
    <t>SRS12174801</t>
  </si>
  <si>
    <t>SRR18214922</t>
  </si>
  <si>
    <t>OLC0667</t>
  </si>
  <si>
    <t>2018-MER-0043</t>
  </si>
  <si>
    <t>O119:H25</t>
  </si>
  <si>
    <t>OLC0675</t>
  </si>
  <si>
    <t>2014-SEQ-0293</t>
  </si>
  <si>
    <t>terA (99.91%),terB 100.00%),terC (99.90%),terD 100.00%),terE 100.00%),terF (92.23%),terZ (99.83%)</t>
  </si>
  <si>
    <t>O145:NM</t>
  </si>
  <si>
    <t>eae;hlyAEc;O145;VT1;uidA</t>
  </si>
  <si>
    <t>SAMN03292334</t>
  </si>
  <si>
    <t>SRR1783851</t>
  </si>
  <si>
    <t>SRS833794</t>
  </si>
  <si>
    <t>OLC0677</t>
  </si>
  <si>
    <t>2016-SEQ-1056</t>
  </si>
  <si>
    <t>O121:NM</t>
  </si>
  <si>
    <t>stx2a, eae</t>
  </si>
  <si>
    <t>SAMN32677127</t>
  </si>
  <si>
    <t>SRS16422926</t>
  </si>
  <si>
    <t>SRR23049415</t>
  </si>
  <si>
    <t>OLC0679</t>
  </si>
  <si>
    <t>2014-SEQ-0294</t>
  </si>
  <si>
    <t>eae;O103;VT1;uidA</t>
  </si>
  <si>
    <t>SAMN03292335</t>
  </si>
  <si>
    <t>SRS833796</t>
  </si>
  <si>
    <t>OLC0710</t>
  </si>
  <si>
    <t>2014-SEQ-0295</t>
  </si>
  <si>
    <t>SAMN03292338</t>
  </si>
  <si>
    <t>GCF_000948515.1</t>
  </si>
  <si>
    <t>SRS833799</t>
  </si>
  <si>
    <t>OLC0715</t>
  </si>
  <si>
    <t>2014-SEQ-0584</t>
  </si>
  <si>
    <t>SAMN04900926</t>
  </si>
  <si>
    <t>SRR6154931</t>
  </si>
  <si>
    <t>SRS2578990</t>
  </si>
  <si>
    <t>OLC0716</t>
  </si>
  <si>
    <t>2014-SEQ-0296</t>
  </si>
  <si>
    <t>terA (99.91%),terB 100.00%),terC (99.90%),terD 100.00%),terE 100.00%),terF (99.03%),terZ (99.83%)</t>
  </si>
  <si>
    <t>O45:H2</t>
  </si>
  <si>
    <t>eae;hlyAEc;O45;VT1;uidA</t>
  </si>
  <si>
    <t>SAMN03292340</t>
  </si>
  <si>
    <t>SRS833800</t>
  </si>
  <si>
    <t>OLC0797</t>
  </si>
  <si>
    <t>2014-SEQ-0297</t>
  </si>
  <si>
    <t>SAMN03292347</t>
  </si>
  <si>
    <t>GCF_000934865.1</t>
  </si>
  <si>
    <t>SRS833806</t>
  </si>
  <si>
    <t>OLC1475</t>
  </si>
  <si>
    <t>OLC1004</t>
  </si>
  <si>
    <t>2014-SEQ-0634</t>
  </si>
  <si>
    <t>aggR;VT2;uidA</t>
  </si>
  <si>
    <t>stx2a, aggR</t>
  </si>
  <si>
    <t>SAMN40758082</t>
  </si>
  <si>
    <t>SRR28563884</t>
  </si>
  <si>
    <t>SRS20943483</t>
  </si>
  <si>
    <t>OLC1480</t>
  </si>
  <si>
    <t>2014-SEQ-0639</t>
  </si>
  <si>
    <t>terA (99.83%),terB 100.00%),terC (99.81%),terD (99.83%),terE (99.83%),terF (98.71%),terZ 100.00%)</t>
  </si>
  <si>
    <t>O126:H27</t>
  </si>
  <si>
    <t>aggR</t>
  </si>
  <si>
    <t>SAMN40758083</t>
  </si>
  <si>
    <t>SRR28563883</t>
  </si>
  <si>
    <t>SRS20943484</t>
  </si>
  <si>
    <t>OLC0631</t>
  </si>
  <si>
    <t>2016-SEQ-0008</t>
  </si>
  <si>
    <t>terA (99.91%),terB 100.00%),terC (99.90%),terD 100.00%),terE 100.00%),terF 100.00%),terZ (96.22%)</t>
  </si>
  <si>
    <t>SAMN04900920</t>
  </si>
  <si>
    <t>SRR6154928</t>
  </si>
  <si>
    <t>SRS2578993</t>
  </si>
  <si>
    <t>OLC0669</t>
  </si>
  <si>
    <t>2018-MER-0044</t>
  </si>
  <si>
    <t>stx1d</t>
  </si>
  <si>
    <t>SAMN40758075</t>
  </si>
  <si>
    <t>SRR28563891</t>
  </si>
  <si>
    <t>SRS20943476</t>
  </si>
  <si>
    <t>OLC0686</t>
  </si>
  <si>
    <t>2019-SEQ-0467</t>
  </si>
  <si>
    <t>stx2a, stx2d</t>
  </si>
  <si>
    <t>SAMN40758076</t>
  </si>
  <si>
    <t>SRR28563890</t>
  </si>
  <si>
    <t>SRS20943477</t>
  </si>
  <si>
    <t>OLC0708</t>
  </si>
  <si>
    <t>2015-SEQ-1651</t>
  </si>
  <si>
    <t>O115:H18</t>
  </si>
  <si>
    <t>stx1a, stx2a</t>
  </si>
  <si>
    <t>SAMN40758078</t>
  </si>
  <si>
    <t>SRR28563888</t>
  </si>
  <si>
    <t>SRS20943479</t>
  </si>
  <si>
    <t>OLC1056</t>
  </si>
  <si>
    <t>CFIAFB20120266</t>
  </si>
  <si>
    <t>BUR-FI-2012-M1-00405-O3</t>
  </si>
  <si>
    <t>2016-SEQ-0252</t>
  </si>
  <si>
    <t>bean sprouts</t>
  </si>
  <si>
    <t>O177:NM</t>
  </si>
  <si>
    <t>stx2h</t>
  </si>
  <si>
    <t>SAMN19011646</t>
  </si>
  <si>
    <t>GCF_018986815.1</t>
  </si>
  <si>
    <t>Not in NCBI pathogens sheet?</t>
  </si>
  <si>
    <t>SRS9149411</t>
  </si>
  <si>
    <t>OLC1478</t>
  </si>
  <si>
    <t>2014-SEQ-0637</t>
  </si>
  <si>
    <t>O111:H16</t>
  </si>
  <si>
    <t>aggR;O111;uidA</t>
  </si>
  <si>
    <t>SAMN04900931</t>
  </si>
  <si>
    <t>GCF_002353035.1</t>
  </si>
  <si>
    <t>OLC2279</t>
  </si>
  <si>
    <t>2015-SEQ-1539</t>
  </si>
  <si>
    <t>SAMN40758079</t>
  </si>
  <si>
    <t>SRR28563887</t>
  </si>
  <si>
    <t>SRS20943480</t>
  </si>
  <si>
    <t>OLF16013-3</t>
  </si>
  <si>
    <t>CFIAFB20160173</t>
  </si>
  <si>
    <t>2017-MER-0036</t>
  </si>
  <si>
    <t>Not done</t>
  </si>
  <si>
    <t>VT1;VT2;eae</t>
  </si>
  <si>
    <t>vtx1a;vtx2a (interrupted)</t>
  </si>
  <si>
    <t>SAMN19011643</t>
  </si>
  <si>
    <t>GCA_018966965.1</t>
  </si>
  <si>
    <t>OLC1685</t>
  </si>
  <si>
    <t>CFIAFB20140388</t>
  </si>
  <si>
    <t>CAL-FD-2014-MI-0453-P6-6</t>
  </si>
  <si>
    <t>2014-SEQ-0349</t>
  </si>
  <si>
    <t>red leaf lettuce</t>
  </si>
  <si>
    <t>OUT:H23</t>
  </si>
  <si>
    <t>vtx2j</t>
  </si>
  <si>
    <t>SAMN19011647</t>
  </si>
  <si>
    <t>GCA_018986795.1</t>
  </si>
  <si>
    <t>x_axis</t>
  </si>
  <si>
    <t>gene</t>
  </si>
  <si>
    <t>radius</t>
  </si>
  <si>
    <t>number</t>
  </si>
  <si>
    <t>Total</t>
  </si>
  <si>
    <t>y_axis</t>
  </si>
  <si>
    <t>Serogroup</t>
  </si>
  <si>
    <t>serogroup_number</t>
  </si>
  <si>
    <t>serogroup_encodes</t>
  </si>
  <si>
    <t>value</t>
  </si>
  <si>
    <t>Cell</t>
  </si>
  <si>
    <t>Facet</t>
  </si>
  <si>
    <t>O157H7</t>
  </si>
  <si>
    <t>A</t>
  </si>
  <si>
    <t>Including O157</t>
  </si>
  <si>
    <t>terZABCDE</t>
  </si>
  <si>
    <t>O26</t>
  </si>
  <si>
    <t>B</t>
  </si>
  <si>
    <t>O103</t>
  </si>
  <si>
    <t>C</t>
  </si>
  <si>
    <t>O111</t>
  </si>
  <si>
    <t>D</t>
  </si>
  <si>
    <t>O121</t>
  </si>
  <si>
    <t>E</t>
  </si>
  <si>
    <t>O145</t>
  </si>
  <si>
    <t>F</t>
  </si>
  <si>
    <t>Other</t>
  </si>
  <si>
    <t>G</t>
  </si>
  <si>
    <t>Excluding O157</t>
  </si>
  <si>
    <t>Meat</t>
  </si>
  <si>
    <t>Source1</t>
  </si>
  <si>
    <t>Dairy</t>
  </si>
  <si>
    <t>Vegetable</t>
  </si>
  <si>
    <t>Nuts/Seeds</t>
  </si>
  <si>
    <t>Environment</t>
  </si>
  <si>
    <t>Source2</t>
  </si>
  <si>
    <t>Lamb</t>
  </si>
  <si>
    <t>Row Labels</t>
  </si>
  <si>
    <t>(blank)</t>
  </si>
  <si>
    <t>Grand Total</t>
  </si>
  <si>
    <t>Count of Vtx</t>
  </si>
  <si>
    <t>Column Labels</t>
  </si>
  <si>
    <t>#N/A</t>
  </si>
  <si>
    <t>O157</t>
  </si>
  <si>
    <t>TOTAL</t>
  </si>
  <si>
    <t>ALL</t>
  </si>
  <si>
    <t>Serotype</t>
  </si>
  <si>
    <t>vtx2k</t>
  </si>
  <si>
    <t>vtx1a, eae</t>
  </si>
  <si>
    <t>vtx2a, aggR</t>
  </si>
  <si>
    <t>vtx1a, vtx2a, eae</t>
  </si>
  <si>
    <t>vtx2a, vtx2d</t>
  </si>
  <si>
    <t>vtx1a, vtx2a</t>
  </si>
  <si>
    <t>vtx2a, eae</t>
  </si>
  <si>
    <t>vtx1a, vtx2c,eae</t>
  </si>
  <si>
    <t>vtx2c,eae</t>
  </si>
  <si>
    <t>vtx2h</t>
  </si>
  <si>
    <t>Updated_StxDB</t>
  </si>
  <si>
    <t>StxOp1089_Stx2a_1 | StxOp3_Stx1a_9</t>
  </si>
  <si>
    <t>StxOp1339_Stx2b_109 | StxOp4754_Stx1c_708</t>
  </si>
  <si>
    <t>StxOp3673_Stx2b_508 | StxOp399_Stx1c_12</t>
  </si>
  <si>
    <t>StxOp1036_Stx1c_12</t>
  </si>
  <si>
    <t>StxOp933_Stx2i_43</t>
  </si>
  <si>
    <t>StxOp677_Stx2b_120 | StxOp1037_Stx1c_26</t>
  </si>
  <si>
    <t>StxOp1348_Stx2b_110 | StxOp4754_Stx1c_708</t>
  </si>
  <si>
    <t>StxOp4754_Stx1c_708</t>
  </si>
  <si>
    <t>StxOp1344_Stx2b_109</t>
  </si>
  <si>
    <t>StxOp841_Stx2d_100</t>
  </si>
  <si>
    <t>StxOp1364_Stx2c_7</t>
  </si>
  <si>
    <t>StxOp923_Stx2g_26</t>
  </si>
  <si>
    <t>StxOp1336_Stx2b_109 | StxOp13_Stx1a_19</t>
  </si>
  <si>
    <t>StxOp1577_Stx1a_9</t>
  </si>
  <si>
    <t>StxOp1580_Stx1a_9</t>
  </si>
  <si>
    <t>StxOp1157_Stx2a_6 | StxOp4_Stx1a_9</t>
  </si>
  <si>
    <t>StxOp675_Stx2b_116 | StxOp13_Stx1a_19</t>
  </si>
  <si>
    <t>StxOp3_Stx1a_9 | StxOp1089_Stx2a_1</t>
  </si>
  <si>
    <t>StxOp840_Stx2d_99 | StxOp4_Stx1a_9</t>
  </si>
  <si>
    <t>StxOp3320_Stx2b_101 | StxOp4754_Stx1c_708</t>
  </si>
  <si>
    <t>StxOp1348_Stx2b_110 | StxOp399_Stx1c_12</t>
  </si>
  <si>
    <t>StxOp1336_Stx2b_109 | StxOp399_Stx1c_12</t>
  </si>
  <si>
    <t>StxOp1348_Stx2b_110 | StxOp402_Stx1c_25</t>
  </si>
  <si>
    <t>StxOp4754_Stx1c_708 | StxOp1348_Stx2b_110</t>
  </si>
  <si>
    <t>StxOp671_Stx2b_110 | StxOp4754_Stx1c_708</t>
  </si>
  <si>
    <t>StxOp3298_Stx2b_23</t>
  </si>
  <si>
    <t>StxOp1089_Stx2a_1</t>
  </si>
  <si>
    <t>StxOp1365_Stx2c_7</t>
  </si>
  <si>
    <t>StxOp1168_Stx2a_16 | StxOp1645_Stx1a_9</t>
  </si>
  <si>
    <t>StxOp1594_Stx1a_9</t>
  </si>
  <si>
    <t>StxOp1448_Stx2c_152 | StxOp3298_Stx2b_23</t>
  </si>
  <si>
    <t>StxOp9_Stx1a_15</t>
  </si>
  <si>
    <t>StxOp1339_Stx2b_109</t>
  </si>
  <si>
    <t>StxOp1037_Stx1c_26</t>
  </si>
  <si>
    <t>StxOp1339_Stx2b_109 | StxOp1037_Stx1c_26</t>
  </si>
  <si>
    <t>StxOp675_Stx2b_116 | StxOp1593_Stx1a_9</t>
  </si>
  <si>
    <t>StxOp675_Stx2b_116</t>
  </si>
  <si>
    <t>StxOp419_Stx2a_1</t>
  </si>
  <si>
    <t>O104</t>
  </si>
  <si>
    <t>O108</t>
  </si>
  <si>
    <t>O109</t>
  </si>
  <si>
    <t>O113</t>
  </si>
  <si>
    <t>O115</t>
  </si>
  <si>
    <t>O116</t>
  </si>
  <si>
    <t>O118</t>
  </si>
  <si>
    <t>O119</t>
  </si>
  <si>
    <t>O123/O186</t>
  </si>
  <si>
    <t>O123</t>
  </si>
  <si>
    <t>O124</t>
  </si>
  <si>
    <t>O126</t>
  </si>
  <si>
    <t>O128</t>
  </si>
  <si>
    <t>O132</t>
  </si>
  <si>
    <t>O139</t>
  </si>
  <si>
    <t>O142</t>
  </si>
  <si>
    <t>O146</t>
  </si>
  <si>
    <t>O15</t>
  </si>
  <si>
    <t>O153</t>
  </si>
  <si>
    <t>O154</t>
  </si>
  <si>
    <t>O159</t>
  </si>
  <si>
    <t>O163</t>
  </si>
  <si>
    <t>O166</t>
  </si>
  <si>
    <t>O168</t>
  </si>
  <si>
    <t>O17/O77</t>
  </si>
  <si>
    <t>O17</t>
  </si>
  <si>
    <t>O171</t>
  </si>
  <si>
    <t>O174</t>
  </si>
  <si>
    <t>O176</t>
  </si>
  <si>
    <t>O177</t>
  </si>
  <si>
    <t>O178</t>
  </si>
  <si>
    <t>O181</t>
  </si>
  <si>
    <t>O183</t>
  </si>
  <si>
    <t>O185</t>
  </si>
  <si>
    <t>O187</t>
  </si>
  <si>
    <t>O2</t>
  </si>
  <si>
    <t>O22</t>
  </si>
  <si>
    <t>O3</t>
  </si>
  <si>
    <t>O36</t>
  </si>
  <si>
    <t>O38</t>
  </si>
  <si>
    <t>O45</t>
  </si>
  <si>
    <t>O48</t>
  </si>
  <si>
    <t>O5</t>
  </si>
  <si>
    <t>O55</t>
  </si>
  <si>
    <t>O6</t>
  </si>
  <si>
    <t>O63</t>
  </si>
  <si>
    <t>O75</t>
  </si>
  <si>
    <t>O76</t>
  </si>
  <si>
    <t>O78</t>
  </si>
  <si>
    <t>O8</t>
  </si>
  <si>
    <t>O86</t>
  </si>
  <si>
    <t>O87</t>
  </si>
  <si>
    <t>O88</t>
  </si>
  <si>
    <t>O9</t>
  </si>
  <si>
    <t>O91</t>
  </si>
  <si>
    <t>O98</t>
  </si>
  <si>
    <t>OUT</t>
  </si>
  <si>
    <t>Count</t>
  </si>
  <si>
    <t>Top 7</t>
  </si>
  <si>
    <t>Top 7 Serogroups</t>
  </si>
  <si>
    <t>StxOp1038_Stx1d_4</t>
  </si>
  <si>
    <t>StxOp1043_Stx2a_1</t>
  </si>
  <si>
    <t>StxOp1081_Stx2a_1 | StxOp3_Stx1a_9</t>
  </si>
  <si>
    <t>StxOp1096_Stx2a_6 | StxOp16_Stx1a_24</t>
  </si>
  <si>
    <t>StxOp1168_Stx2a_16 | StxOp966_Stx1a_18</t>
  </si>
  <si>
    <t>StxOp1173_Stx2a_16</t>
  </si>
  <si>
    <t>StxOp1173_Stx2a_16 | StxOp1348_Stx2b_110 | StxOp400_Stx1c_22</t>
  </si>
  <si>
    <t>StxOp1173_Stx2a_16 | StxOp969_Stx1a_19</t>
  </si>
  <si>
    <t>StxOp1250_Stx2a_127 | StxOp4_Stx1a_9</t>
  </si>
  <si>
    <t>StxOp1287_Stx2a_183</t>
  </si>
  <si>
    <t>StxOp1329_Stx2b_101 | StxOp13_Stx1a_19</t>
  </si>
  <si>
    <t>StxOp1339_Stx2b_109 | StxOp399_Stx1c_12</t>
  </si>
  <si>
    <t>StxOp1339_Stx2b_109 | StxOp401_Stx1c_23</t>
  </si>
  <si>
    <t>StxOp1346_Stx2b_110 | StxOp13_Stx1a_19</t>
  </si>
  <si>
    <t>StxOp1346_Stx2b_110 | StxOp399_Stx1c_12</t>
  </si>
  <si>
    <t>StxOp1348_Stx2b_110 | StxOp1037_Stx1c_26</t>
  </si>
  <si>
    <t>StxOp1348_Stx2b_110 | StxOp13_Stx1a_19</t>
  </si>
  <si>
    <t>StxOp1348_Stx2b_110 | StxOp2167_Stx1c_500</t>
  </si>
  <si>
    <t>StxOp1348_Stx2b_110 | StxOp400_Stx1c_22</t>
  </si>
  <si>
    <t>StxOp1352_Stx2b_116 | StxOp13_Stx1a_19</t>
  </si>
  <si>
    <t>StxOp1448_Stx2c_152</t>
  </si>
  <si>
    <t>StxOp1450_Stx2c_152</t>
  </si>
  <si>
    <t>StxOp1486_Stx2d_112</t>
  </si>
  <si>
    <t>StxOp15_Stx1a_21</t>
  </si>
  <si>
    <t>StxOp1568_Stx2e_36</t>
  </si>
  <si>
    <t>StxOp1571_Stx2e_146</t>
  </si>
  <si>
    <t>StxOp1577_Stx1a_9 | StxOp419_Stx2a_1</t>
  </si>
  <si>
    <t>StxOp1577_Stx1a_9 | StxOp702_Stx2c_17</t>
  </si>
  <si>
    <t>StxOp16_Stx1a_24 | StxOp1096_Stx2a_6</t>
  </si>
  <si>
    <t>StxOp1687_Stx1a_9 | StxOp702_Stx2c_17</t>
  </si>
  <si>
    <t>StxOp2108_Stx1c_27</t>
  </si>
  <si>
    <t>StxOp3_Stx1a_9 | StxOp702_Stx2c_17</t>
  </si>
  <si>
    <t>StxOp3231_Stx2a_1126 | StxOp3_Stx1a_9</t>
  </si>
  <si>
    <t>StxOp3564_Stx2b_118 | StxOp1339_Stx2b_109</t>
  </si>
  <si>
    <t>StxOp399_Stx1c_12</t>
  </si>
  <si>
    <t>StxOp4_Stx1a_9</t>
  </si>
  <si>
    <t>StxOp4081_Stx2c_106</t>
  </si>
  <si>
    <t>StxOp4081_Stx2c_106 | StxOp3_Stx1a_9</t>
  </si>
  <si>
    <t>StxOp4303_Stx2c_1247</t>
  </si>
  <si>
    <t>StxOp432_Stx2a_30</t>
  </si>
  <si>
    <t>StxOp439_Stx2a_107</t>
  </si>
  <si>
    <t>StxOp4587_Stx2e_25</t>
  </si>
  <si>
    <t>StxOp594_Stx2a_567</t>
  </si>
  <si>
    <t>StxOp653_Stx2b_23 | StxOp399_Stx1c_12</t>
  </si>
  <si>
    <t>StxOp669_Stx2b_105</t>
  </si>
  <si>
    <t>StxOp675_Stx2b_116 | StxOp399_Stx1c_12</t>
  </si>
  <si>
    <t>StxOp678_Stx2b_122 | StxOp13_Stx1a_19</t>
  </si>
  <si>
    <t>StxOp702_Stx2c_17</t>
  </si>
  <si>
    <t>StxOp702_Stx2c_17 | StxOp1577_Stx1a_9</t>
  </si>
  <si>
    <t>StxOp702_Stx2c_17 | StxOp3_Stx1a_9</t>
  </si>
  <si>
    <t>StxOp716_Stx2c_106</t>
  </si>
  <si>
    <t>StxOp826_Stx2d_9</t>
  </si>
  <si>
    <t>StxOp827_Stx2d_10</t>
  </si>
  <si>
    <t>StxOp829_Stx2d_27</t>
  </si>
  <si>
    <t>StxOp840_Stx2d_99</t>
  </si>
  <si>
    <t>StxOp898_Stx2e_25</t>
  </si>
  <si>
    <t>StxOp927_Stx2g_147</t>
  </si>
  <si>
    <t>StxOp943_Stx2k_40 | StxOp432_Stx2a_30</t>
  </si>
  <si>
    <t>StxOp966_Stx1a_18 | StxOp1168_Stx2a_16</t>
  </si>
  <si>
    <t>Total from Serogroup</t>
  </si>
  <si>
    <t>Total from Source</t>
  </si>
  <si>
    <t>Stx1a</t>
  </si>
  <si>
    <t>Stx2a</t>
  </si>
  <si>
    <t>Stx2d</t>
  </si>
  <si>
    <t>Stx2c</t>
  </si>
  <si>
    <t>Stx1c</t>
  </si>
  <si>
    <t>Stx2b</t>
  </si>
  <si>
    <t>Stx2k</t>
  </si>
  <si>
    <t>Stx2e</t>
  </si>
  <si>
    <t>Stx2g</t>
  </si>
  <si>
    <t>Stx2i</t>
  </si>
  <si>
    <t>Stx1d</t>
  </si>
  <si>
    <t>Protein Allele</t>
  </si>
  <si>
    <t>Count of Updated_StxDB</t>
  </si>
  <si>
    <t>countifs (to count number of rows</t>
  </si>
  <si>
    <t>number_seqs</t>
  </si>
  <si>
    <t>protein_y_name</t>
  </si>
  <si>
    <t>total_protein</t>
  </si>
  <si>
    <t>Source</t>
  </si>
  <si>
    <t>total_source</t>
  </si>
  <si>
    <t>NO O157</t>
  </si>
  <si>
    <t>x_axis2</t>
  </si>
  <si>
    <t>radius2</t>
  </si>
  <si>
    <t>Virulence Profile</t>
  </si>
  <si>
    <t>Shiga Toxin Gene(s)</t>
  </si>
  <si>
    <t>Stx2b_23</t>
  </si>
  <si>
    <t>Stx1c_12</t>
  </si>
  <si>
    <t>Stx1c_27</t>
  </si>
  <si>
    <t>Stx2b_110,Stx1c_708</t>
  </si>
  <si>
    <t>Stx2c_152,Stx2b_23</t>
  </si>
  <si>
    <t>Stx2b_116,Stx1a_19</t>
  </si>
  <si>
    <t>Stx2a_1</t>
  </si>
  <si>
    <t>Stx2b_110,Stx1a_19</t>
  </si>
  <si>
    <t>Stx1a_9</t>
  </si>
  <si>
    <t>Stx2b_110,Stx1c_22</t>
  </si>
  <si>
    <t>Stx1a_9,Stx2a_1</t>
  </si>
  <si>
    <t>Stx2c_152</t>
  </si>
  <si>
    <t>Stx2b_109,Stx1c_26</t>
  </si>
  <si>
    <t>Stx2a_1,Stx1a_9</t>
  </si>
  <si>
    <t>Stx2d_100</t>
  </si>
  <si>
    <t>Stx2c_7</t>
  </si>
  <si>
    <t>Stx2b_122,Stx1a_19</t>
  </si>
  <si>
    <t>Stx2a_1126,Stx1a_9</t>
  </si>
  <si>
    <t>Stx2c_17,Stx1a_9</t>
  </si>
  <si>
    <t>Stx2a_30</t>
  </si>
  <si>
    <t>Stx2b_109,Stx1c_12</t>
  </si>
  <si>
    <t>Stx2c_17</t>
  </si>
  <si>
    <t>Stx2b_109,Stx1c_23</t>
  </si>
  <si>
    <t>Stx2b_110,Stx1c_25</t>
  </si>
  <si>
    <t>Stx1a_15</t>
  </si>
  <si>
    <t>Stx2e_25</t>
  </si>
  <si>
    <t>Stx2b_101,Stx1a_19</t>
  </si>
  <si>
    <t>Stx2b_116</t>
  </si>
  <si>
    <t>Stx2a_16,Stx1a_18</t>
  </si>
  <si>
    <t>Stx1c_708,Stx2b_110</t>
  </si>
  <si>
    <t>Stx2g_147</t>
  </si>
  <si>
    <t>Stx2b_110,Stx1c_12</t>
  </si>
  <si>
    <t>Stx1c_26</t>
  </si>
  <si>
    <t>Stx2b_116,Stx1a_9</t>
  </si>
  <si>
    <t>Stx2d_27</t>
  </si>
  <si>
    <t>Stx2i_43</t>
  </si>
  <si>
    <t>Stx2d_99,Stx1a_9</t>
  </si>
  <si>
    <t>Stx1a_24,Stx2a_6</t>
  </si>
  <si>
    <t>Stx1a_18,Stx2a_16</t>
  </si>
  <si>
    <t>Stx1a_9,Stx2c_17</t>
  </si>
  <si>
    <t>Stx2b_110,Stx1c_500</t>
  </si>
  <si>
    <t>Stx2d_99</t>
  </si>
  <si>
    <t>Stx2c_106</t>
  </si>
  <si>
    <t>Stx2c_106,Stx1a_9</t>
  </si>
  <si>
    <t>Stx2b_109,Stx1a_19</t>
  </si>
  <si>
    <t>Stx2d_9</t>
  </si>
  <si>
    <t>Stx2b_109,Stx1c_708</t>
  </si>
  <si>
    <t>Stx2d_10</t>
  </si>
  <si>
    <t>Stx2e_146</t>
  </si>
  <si>
    <t>Stx2b_109</t>
  </si>
  <si>
    <t>Stx2a_16,Stx2b_110,Stx1c_22</t>
  </si>
  <si>
    <t>Stx1c_708</t>
  </si>
  <si>
    <t>Stx2g_26</t>
  </si>
  <si>
    <t>Stx2b_508,Stx1c_12</t>
  </si>
  <si>
    <t>Stx2e_36</t>
  </si>
  <si>
    <t>Stx2b_120,Stx1c_26</t>
  </si>
  <si>
    <t>Stx2b_116,Stx1c_12</t>
  </si>
  <si>
    <t>Stx2a_16</t>
  </si>
  <si>
    <t>Stx2a_6,Stx1a_24</t>
  </si>
  <si>
    <t>Stx2a_127,Stx1a_9</t>
  </si>
  <si>
    <t>Stx2a_567</t>
  </si>
  <si>
    <t>Stx2a_6,Stx1a_9</t>
  </si>
  <si>
    <t>Stx2a_107</t>
  </si>
  <si>
    <t>Stx2b_105</t>
  </si>
  <si>
    <t>Stx2b_110,Stx1c_26</t>
  </si>
  <si>
    <t>Stx2a_183</t>
  </si>
  <si>
    <t>Stx2b_23,Stx1c_12</t>
  </si>
  <si>
    <t>Stx2b_101,Stx1c_708</t>
  </si>
  <si>
    <t>Stx2c_1247</t>
  </si>
  <si>
    <t>Stx2a_16,Stx1a_19</t>
  </si>
  <si>
    <t>Stx2k_40,Stx2a_30</t>
  </si>
  <si>
    <t>Stx2d_112</t>
  </si>
  <si>
    <t>Stx1d_4</t>
  </si>
  <si>
    <t>Stx2a_16,Stx1a_9</t>
  </si>
  <si>
    <t>Stx1a_21</t>
  </si>
  <si>
    <t>Stx2b_118,Stx2b_109</t>
  </si>
  <si>
    <t>SRR14750046</t>
  </si>
  <si>
    <t>StxOp932_Stx2h_49</t>
  </si>
  <si>
    <t>Stx2h_49</t>
  </si>
  <si>
    <t>SRR14750047</t>
  </si>
  <si>
    <t>StxOp936_Stx2j_104</t>
  </si>
  <si>
    <t>Stx2j_104</t>
  </si>
  <si>
    <t>SRR14750051</t>
  </si>
  <si>
    <t>Stx2b,Stx1c</t>
  </si>
  <si>
    <t>Stx2c,Stx2b</t>
  </si>
  <si>
    <t>Stx2b,Stx1a</t>
  </si>
  <si>
    <t>Stx1a,Stx2a</t>
  </si>
  <si>
    <t>Stx2a,Stx1a</t>
  </si>
  <si>
    <t>Stx2c,Stx1a</t>
  </si>
  <si>
    <t>Stx1c,Stx2b</t>
  </si>
  <si>
    <t>Stx2d,Stx1a</t>
  </si>
  <si>
    <t>Stx1a,Stx2c</t>
  </si>
  <si>
    <t>Stx2k,Stx2a</t>
  </si>
  <si>
    <t>Stx2b,Stx2b</t>
  </si>
  <si>
    <t>Stx2h</t>
  </si>
  <si>
    <t>Stx2j</t>
  </si>
  <si>
    <t>STX</t>
  </si>
  <si>
    <t>Stx2a,Stx2b,Stx1c</t>
  </si>
  <si>
    <t>Count of Source1</t>
  </si>
  <si>
    <t>Stx1a_18</t>
  </si>
  <si>
    <t>Stx1a_24</t>
  </si>
  <si>
    <t>Stx2a_6</t>
  </si>
  <si>
    <t>Stx2b_110</t>
  </si>
  <si>
    <t>Stx2a_1126</t>
  </si>
  <si>
    <t>Stx2a_127</t>
  </si>
  <si>
    <t>Stx1a_19</t>
  </si>
  <si>
    <t>Stx1c_22</t>
  </si>
  <si>
    <t>Stx2b_101</t>
  </si>
  <si>
    <t>Stx1c_23</t>
  </si>
  <si>
    <t>Stx1c_25</t>
  </si>
  <si>
    <t>Stx1c_500</t>
  </si>
  <si>
    <t>Stx2b_118</t>
  </si>
  <si>
    <t>Stx2b_120</t>
  </si>
  <si>
    <t>Stx2b_122</t>
  </si>
  <si>
    <t>Stx2b_508</t>
  </si>
  <si>
    <t>Stx2k_40</t>
  </si>
  <si>
    <t>stx</t>
  </si>
  <si>
    <t>Total_w_StxAllele</t>
  </si>
  <si>
    <t>Stx Protein</t>
  </si>
  <si>
    <t>H29</t>
  </si>
  <si>
    <t>H7</t>
  </si>
  <si>
    <t>H21</t>
  </si>
  <si>
    <t>H2</t>
  </si>
  <si>
    <t>H14</t>
  </si>
  <si>
    <t>H23</t>
  </si>
  <si>
    <t>H8</t>
  </si>
  <si>
    <t>H4</t>
  </si>
  <si>
    <t>H19</t>
  </si>
  <si>
    <t>H10</t>
  </si>
  <si>
    <t>H9</t>
  </si>
  <si>
    <t>H32</t>
  </si>
  <si>
    <t>H25</t>
  </si>
  <si>
    <t>HUT</t>
  </si>
  <si>
    <t>H18</t>
  </si>
  <si>
    <t>H16</t>
  </si>
  <si>
    <t>H5</t>
  </si>
  <si>
    <t>H38</t>
  </si>
  <si>
    <t>H30</t>
  </si>
  <si>
    <t>H12</t>
  </si>
  <si>
    <t>H52</t>
  </si>
  <si>
    <t>H26</t>
  </si>
  <si>
    <t>H28</t>
  </si>
  <si>
    <t>H11</t>
  </si>
  <si>
    <t>H20</t>
  </si>
  <si>
    <t>NM</t>
  </si>
  <si>
    <t>Otype</t>
  </si>
  <si>
    <t>Htype</t>
  </si>
  <si>
    <r>
      <t>Other</t>
    </r>
    <r>
      <rPr>
        <vertAlign val="superscript"/>
        <sz val="11"/>
        <color rgb="FF000000"/>
        <rFont val="Calibri"/>
        <family val="2"/>
      </rPr>
      <t>b</t>
    </r>
  </si>
  <si>
    <t>Otherb</t>
  </si>
  <si>
    <t>O117</t>
  </si>
  <si>
    <t>other serogroups</t>
  </si>
  <si>
    <t>Stx_variant</t>
  </si>
  <si>
    <t>Total_w_StxVariant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</si>
</sst>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222222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2" fillId="0" borderId="0" xfId="1" applyFill="1"/>
    <xf numFmtId="0" fontId="0" fillId="0" borderId="1" xfId="0" applyBorder="1"/>
    <xf numFmtId="0" fontId="2" fillId="0" borderId="0" xfId="1" applyFill="1" applyAlignment="1">
      <alignment horizontal="center" vertical="center"/>
    </xf>
    <xf numFmtId="0" fontId="8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2"/>
    <xf numFmtId="0" fontId="9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3" borderId="3" xfId="0" applyFont="1" applyFill="1" applyBorder="1"/>
    <xf numFmtId="0" fontId="0" fillId="0" borderId="0" xfId="0" applyAlignment="1">
      <alignment horizontal="left" indent="1"/>
    </xf>
    <xf numFmtId="2" fontId="0" fillId="0" borderId="0" xfId="0" applyNumberFormat="1"/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3" borderId="4" xfId="0" applyFont="1" applyFill="1" applyBorder="1" applyAlignment="1">
      <alignment horizontal="left"/>
    </xf>
    <xf numFmtId="0" fontId="3" fillId="3" borderId="4" xfId="0" applyFont="1" applyFill="1" applyBorder="1"/>
    <xf numFmtId="0" fontId="0" fillId="4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5" borderId="0" xfId="0" applyFill="1"/>
    <xf numFmtId="0" fontId="10" fillId="0" borderId="0" xfId="0" applyFont="1"/>
    <xf numFmtId="0" fontId="3" fillId="3" borderId="0" xfId="0" applyFont="1" applyFill="1"/>
    <xf numFmtId="0" fontId="0" fillId="6" borderId="0" xfId="0" applyFill="1" applyAlignment="1">
      <alignment horizontal="left"/>
    </xf>
    <xf numFmtId="1" fontId="0" fillId="0" borderId="0" xfId="0" applyNumberFormat="1"/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5" borderId="0" xfId="0" applyFont="1" applyFill="1"/>
    <xf numFmtId="0" fontId="5" fillId="0" borderId="0" xfId="0" applyFont="1" applyAlignment="1">
      <alignment horizontal="center"/>
    </xf>
    <xf numFmtId="0" fontId="11" fillId="8" borderId="1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3">
    <cellStyle name="Bad" xfId="1" builtinId="27"/>
    <cellStyle name="Hyperlink" xfId="2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oper, Ashley (CFIA/ACIA)" id="{335A0075-2EEF-44FA-B06D-B347B77DC1C4}" userId="S::ashley.cooper@inspection.gc.ca::30becf40-442e-4957-a8b1-bec83176d11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per, Ashley (CFIA/ACIA)" refreshedDate="46094.647560532409" createdVersion="8" refreshedVersion="8" minRefreshableVersion="3" recordCount="590" xr:uid="{1CA21761-6C24-4567-85FC-06625DC270BD}">
  <cacheSource type="worksheet">
    <worksheetSource ref="N1:R1048576" sheet="alldata"/>
  </cacheSource>
  <cacheFields count="5">
    <cacheField name="Source2" numFmtId="0">
      <sharedItems containsBlank="1" count="8">
        <s v="Flour"/>
        <s v="Meat"/>
        <s v="Other"/>
        <s v="Lamb"/>
        <s v="Dairy"/>
        <s v="Nuts/Seeds"/>
        <s v="Vegetable"/>
        <m/>
      </sharedItems>
    </cacheField>
    <cacheField name="Serotype_HC list" numFmtId="0">
      <sharedItems containsBlank="1"/>
    </cacheField>
    <cacheField name="Serotype details" numFmtId="0">
      <sharedItems containsBlank="1" containsMixedTypes="1" containsNumber="1" containsInteger="1" minValue="0" maxValue="0"/>
    </cacheField>
    <cacheField name="GenSeekR" numFmtId="0">
      <sharedItems containsBlank="1"/>
    </cacheField>
    <cacheField name="Vtx" numFmtId="0">
      <sharedItems containsBlank="1" count="44">
        <s v="vtx2a"/>
        <s v="vtx1a;vtx2a"/>
        <s v="vtx1c"/>
        <s v="vtx1a;vtx2b"/>
        <s v="vtx1a"/>
        <s v="vtx2c"/>
        <s v="vtx2d"/>
        <s v="vtx2i"/>
        <s v="vtx1c;vtx2b"/>
        <s v="vtx1a;vtx2c"/>
        <e v="#N/A"/>
        <s v="ND"/>
        <s v="vtx1a;vtx1c;vtx2b"/>
        <s v="vtx1a;vtx2d"/>
        <s v="vtx1c;vtx2a;vtx2b"/>
        <s v="vtx2a;vtx2k"/>
        <s v="vtx2g"/>
        <s v="vtx1c,vtx2b"/>
        <s v="vtx2b"/>
        <s v="vtx2b;vtx2c"/>
        <s v="vtx2f"/>
        <s v="vtx1a,vtx2c"/>
        <s v="vtx2b;vtx2c;vtx2d"/>
        <s v="vtx2e"/>
        <s v="vtx1d"/>
        <s v="vtx1c;vtx2a"/>
        <s v="vtx2a;vtx2c"/>
        <s v="vtx2b;vtx2d"/>
        <s v="vtx1a,vtx2b"/>
        <s v="stx1a, eae"/>
        <s v="stx1a, stx2c,eae"/>
        <s v="stx2c,eae"/>
        <s v="stx1a, stx2a, eae"/>
        <s v="eae"/>
        <s v="stx2a, eae"/>
        <s v="stx2a, aggR"/>
        <s v="aggR"/>
        <s v="stx1d"/>
        <s v="stx2a, stx2d"/>
        <s v="stx1a, stx2a"/>
        <s v="stx2h"/>
        <s v="vtx1a;vtx2a (interrupted)"/>
        <s v="vtx2j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per, Ashley (CFIA/ACIA)" refreshedDate="46094.876008449071" createdVersion="8" refreshedVersion="8" minRefreshableVersion="3" recordCount="587" xr:uid="{50FB0E52-E3DC-4792-9535-C8D770B69FF7}">
  <cacheSource type="worksheet">
    <worksheetSource ref="K1:Q1048576" sheet="alldata_newdb"/>
  </cacheSource>
  <cacheFields count="7">
    <cacheField name="Source1" numFmtId="0">
      <sharedItems containsBlank="1" count="8">
        <s v="Flour"/>
        <s v="Meat"/>
        <s v="Nuts/Seeds"/>
        <s v="Dairy"/>
        <s v="Environment"/>
        <s v="Vegetable"/>
        <s v="Other"/>
        <m/>
      </sharedItems>
    </cacheField>
    <cacheField name="Source2" numFmtId="0">
      <sharedItems containsBlank="1"/>
    </cacheField>
    <cacheField name="Serotype_HC list" numFmtId="0">
      <sharedItems containsBlank="1" count="105">
        <s v="O103:H25"/>
        <s v="OUT:H19"/>
        <s v="OUT:H2"/>
        <s v="O159:H19"/>
        <s v="O8:H19"/>
        <s v="O8:H25"/>
        <s v="O5:H19"/>
        <s v="O176:H4"/>
        <s v="O9:H30"/>
        <s v="O55:H12"/>
        <s v="O118:H2"/>
        <s v="O178:H19"/>
        <s v="O157:H7"/>
        <s v="O128:H2"/>
        <s v="OUT:H20"/>
        <s v="OUT:H10"/>
        <s v="OUT:H29"/>
        <s v="O75:H8"/>
        <s v="OUT:H21"/>
        <s v="O91:H14"/>
        <s v="O113:H21"/>
        <s v="O113:H4"/>
        <s v="O142:H38"/>
        <s v="OUT:H11"/>
        <s v="O76:H19"/>
        <s v="O109:H5"/>
        <s v="O185:H7"/>
        <s v="O174:H21"/>
        <s v="O171:H2"/>
        <s v="O104:H7"/>
        <s v="O103:H2"/>
        <s v="O78:H16"/>
        <s v="O91:H21"/>
        <s v="O87:H16"/>
        <s v="O8:H2"/>
        <s v="O116:H16"/>
        <s v="O26:H32"/>
        <s v="O121:H19"/>
        <s v="O8:H9"/>
        <s v="O17/O77:H18"/>
        <s v="O132:H18"/>
        <s v="OUT:H16"/>
        <s v="O108:H21"/>
        <s v="O146:H8"/>
        <s v="O123/O186:H10"/>
        <s v="O178:H7"/>
        <s v="OUT:H18"/>
        <s v="O146:H32"/>
        <s v="O121:H10"/>
        <s v="O115:H10"/>
        <s v="O168:H8"/>
        <s v="OUT:H8"/>
        <s v="O22:H8"/>
        <s v="O145:H34"/>
        <s v="OUT:H26"/>
        <s v="O181:H16"/>
        <s v="O139:H1"/>
        <s v="O154:H31"/>
        <s v="O146:H21"/>
        <s v="O48:H21"/>
        <s v="O118:H12"/>
        <s v="O17:H18"/>
        <s v="O2:H25"/>
        <s v="O123:H10"/>
        <s v="O174:H8"/>
        <s v="OUT:H15"/>
        <s v="O111:H8"/>
        <s v="O124:H30"/>
        <s v="O26:H11"/>
        <s v="O78:H11"/>
        <s v="O104:H4"/>
        <s v="O166:H15"/>
        <s v="O177:H25"/>
        <s v="O38:H26"/>
        <s v="OUT:H14"/>
        <s v="OUT:H7"/>
        <s v="O78:H2"/>
        <s v="O8:H10"/>
        <s v="O3:H21"/>
        <s v="O63:H6"/>
        <s v="O15:H16"/>
        <s v="O98:H25"/>
        <s v="O8:H23"/>
        <s v="O88:H25"/>
        <s v="O183:H18"/>
        <s v="O5:H9"/>
        <s v="O153:H25"/>
        <s v="O6:H10"/>
        <s v="O187:H52"/>
        <s v="O8:H28"/>
        <s v="O86:H32"/>
        <s v="O163:H19"/>
        <s v="O36:HUT"/>
        <s v="OUT:H38"/>
        <s v="O111:H11"/>
        <s v="O111:NM"/>
        <s v="O119:H25"/>
        <s v="O145:NM"/>
        <s v="O121:NM"/>
        <s v="O45:H2"/>
        <s v="O126:H27"/>
        <s v="O115:H18"/>
        <s v="O177:NM"/>
        <s v="O111:H16"/>
        <m/>
      </sharedItems>
    </cacheField>
    <cacheField name="Serotype details" numFmtId="0">
      <sharedItems containsBlank="1" containsMixedTypes="1" containsNumber="1" containsInteger="1" minValue="0" maxValue="0"/>
    </cacheField>
    <cacheField name="GenSeekR" numFmtId="0">
      <sharedItems containsBlank="1"/>
    </cacheField>
    <cacheField name="Vtx" numFmtId="0">
      <sharedItems containsBlank="1"/>
    </cacheField>
    <cacheField name="Updated_StxDB" numFmtId="0">
      <sharedItems containsBlank="1" count="100">
        <s v="StxOp4_Stx1a_9"/>
        <s v="StxOp432_Stx2a_30"/>
        <s v="StxOp1450_Stx2c_152"/>
        <s v="StxOp933_Stx2i_43"/>
        <s v="StxOp3320_Stx2b_101 | StxOp4754_Stx1c_708"/>
        <s v="StxOp1339_Stx2b_109 | StxOp1037_Stx1c_26"/>
        <s v="StxOp1037_Stx1c_26"/>
        <s v="StxOp1580_Stx1a_9"/>
        <s v="StxOp1577_Stx1a_9"/>
        <s v="StxOp1250_Stx2a_127 | StxOp4_Stx1a_9"/>
        <s v="StxOp1089_Stx2a_1 | StxOp3_Stx1a_9"/>
        <s v="StxOp1348_Stx2b_110 | StxOp399_Stx1c_12"/>
        <s v="StxOp1173_Stx2a_16 | StxOp969_Stx1a_19"/>
        <s v="StxOp1089_Stx2a_1"/>
        <s v="StxOp826_Stx2d_9"/>
        <s v="StxOp1486_Stx2d_112"/>
        <s v="StxOp1339_Stx2b_109 | StxOp4754_Stx1c_708"/>
        <s v="StxOp675_Stx2b_116 | StxOp13_Stx1a_19"/>
        <s v="StxOp702_Stx2c_17 | StxOp3_Stx1a_9"/>
        <s v="StxOp3_Stx1a_9 | StxOp1089_Stx2a_1"/>
        <s v="StxOp827_Stx2d_10"/>
        <s v="StxOp840_Stx2d_99 | StxOp4_Stx1a_9"/>
        <s v="StxOp840_Stx2d_99"/>
        <s v="StxOp1038_Stx1d_4"/>
        <s v="StxOp1173_Stx2a_16"/>
        <s v="StxOp1577_Stx1a_9 | StxOp702_Stx2c_17"/>
        <s v="StxOp702_Stx2c_17 | StxOp1577_Stx1a_9"/>
        <s v="StxOp4754_Stx1c_708"/>
        <s v="StxOp1594_Stx1a_9"/>
        <s v="StxOp716_Stx2c_106"/>
        <s v="StxOp1365_Stx2c_7"/>
        <s v="StxOp15_Stx1a_21"/>
        <s v="StxOp841_Stx2d_100"/>
        <s v="StxOp1036_Stx1c_12"/>
        <s v="ND"/>
        <s v="StxOp1096_Stx2a_6 | StxOp16_Stx1a_24"/>
        <s v="StxOp3298_Stx2b_23"/>
        <s v="StxOp669_Stx2b_105"/>
        <s v="StxOp16_Stx1a_24 | StxOp1096_Stx2a_6"/>
        <s v="StxOp702_Stx2c_17"/>
        <s v="StxOp419_Stx2a_1"/>
        <s v="StxOp1346_Stx2b_110 | StxOp13_Stx1a_19"/>
        <s v="StxOp927_Stx2g_147"/>
        <s v="StxOp1348_Stx2b_110 | StxOp1037_Stx1c_26"/>
        <s v="StxOp439_Stx2a_107"/>
        <s v="StxOp653_Stx2b_23 | StxOp399_Stx1c_12"/>
        <s v="StxOp1287_Stx2a_183"/>
        <s v="StxOp1687_Stx1a_9 | StxOp702_Stx2c_17"/>
        <s v="StxOp1346_Stx2b_110 | StxOp399_Stx1c_12"/>
        <s v="StxOp1571_Stx2e_146"/>
        <s v="StxOp1348_Stx2b_110 | StxOp400_Stx1c_22"/>
        <s v="StxOp1448_Stx2c_152"/>
        <s v="StxOp678_Stx2b_122 | StxOp13_Stx1a_19"/>
        <s v="StxOp829_Stx2d_27"/>
        <s v="StxOp1348_Stx2b_110 | StxOp4754_Stx1c_708"/>
        <s v="StxOp1329_Stx2b_101 | StxOp13_Stx1a_19"/>
        <s v="StxOp675_Stx2b_116 | StxOp399_Stx1c_12"/>
        <s v="StxOp1339_Stx2b_109 | StxOp399_Stx1c_12"/>
        <s v="StxOp1336_Stx2b_109 | StxOp399_Stx1c_12"/>
        <s v="StxOp399_Stx1c_12"/>
        <s v="StxOp3_Stx1a_9 | StxOp702_Stx2c_17"/>
        <s v="StxOp1168_Stx2a_16 | StxOp966_Stx1a_18"/>
        <s v="StxOp1043_Stx2a_1"/>
        <s v="StxOp4081_Stx2c_106"/>
        <s v="StxOp4303_Stx2c_1247"/>
        <s v="StxOp4081_Stx2c_106 | StxOp3_Stx1a_9"/>
        <s v="StxOp594_Stx2a_567"/>
        <s v="StxOp4587_Stx2e_25"/>
        <s v="StxOp3231_Stx2a_1126 | StxOp3_Stx1a_9"/>
        <s v="StxOp1081_Stx2a_1 | StxOp3_Stx1a_9"/>
        <s v="StxOp1364_Stx2c_7"/>
        <s v="StxOp966_Stx1a_18 | StxOp1168_Stx2a_16"/>
        <s v="StxOp1577_Stx1a_9 | StxOp419_Stx2a_1"/>
        <s v="StxOp3673_Stx2b_508 | StxOp399_Stx1c_12"/>
        <s v="StxOp2108_Stx1c_27"/>
        <s v="StxOp1339_Stx2b_109 | StxOp401_Stx1c_23"/>
        <s v="StxOp677_Stx2b_120 | StxOp1037_Stx1c_26"/>
        <s v="StxOp1344_Stx2b_109"/>
        <s v="StxOp3564_Stx2b_118 | StxOp1339_Stx2b_109"/>
        <s v="StxOp943_Stx2k_40 | StxOp432_Stx2a_30"/>
        <s v="StxOp923_Stx2g_26"/>
        <s v="StxOp1336_Stx2b_109 | StxOp13_Stx1a_19"/>
        <s v="StxOp1157_Stx2a_6 | StxOp4_Stx1a_9"/>
        <s v="StxOp1348_Stx2b_110 | StxOp402_Stx1c_25"/>
        <s v="StxOp4754_Stx1c_708 | StxOp1348_Stx2b_110"/>
        <s v="StxOp671_Stx2b_110 | StxOp4754_Stx1c_708"/>
        <s v="StxOp1168_Stx2a_16 | StxOp1645_Stx1a_9"/>
        <s v="StxOp1448_Stx2c_152 | StxOp3298_Stx2b_23"/>
        <s v="StxOp9_Stx1a_15"/>
        <s v="StxOp1339_Stx2b_109"/>
        <s v="StxOp675_Stx2b_116 | StxOp1593_Stx1a_9"/>
        <s v="StxOp1348_Stx2b_110 | StxOp2167_Stx1c_500"/>
        <s v="StxOp675_Stx2b_116"/>
        <s v="StxOp1173_Stx2a_16 | StxOp1348_Stx2b_110 | StxOp400_Stx1c_22"/>
        <s v="StxOp1348_Stx2b_110 | StxOp13_Stx1a_19"/>
        <s v="StxOp1352_Stx2b_116 | StxOp13_Stx1a_19"/>
        <s v="StxOp1568_Stx2e_36"/>
        <s v="StxOp898_Stx2e_25"/>
        <m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per, Ashley (CFIA/ACIA)" refreshedDate="46219.373720717595" createdVersion="8" refreshedVersion="8" minRefreshableVersion="3" recordCount="498" xr:uid="{28AA6887-EEBC-46B6-896B-A4C03A119C9D}">
  <cacheSource type="worksheet">
    <worksheetSource ref="N1:O1048576" sheet="prjna454819"/>
  </cacheSource>
  <cacheFields count="2">
    <cacheField name="Source1" numFmtId="0">
      <sharedItems containsBlank="1" count="8">
        <s v="Meat"/>
        <s v="Flour"/>
        <s v="Nuts/Seeds"/>
        <s v="Dairy"/>
        <s v="Environment"/>
        <s v="Vegetable"/>
        <s v="Other"/>
        <m/>
      </sharedItems>
    </cacheField>
    <cacheField name="STX" numFmtId="0">
      <sharedItems containsBlank="1" count="26">
        <s v="Stx2b"/>
        <s v="ND"/>
        <s v="Stx1c"/>
        <s v="Stx2b,Stx1c"/>
        <s v="Stx2c,Stx2b"/>
        <s v="Stx2b,Stx1a"/>
        <s v="Stx2a"/>
        <s v="Stx1a"/>
        <s v="Stx1a,Stx2a"/>
        <s v="Stx2c"/>
        <s v="Stx2a,Stx1a"/>
        <s v="Stx2d"/>
        <s v="Stx2c,Stx1a"/>
        <s v="Stx2e"/>
        <s v="Stx1c,Stx2b"/>
        <s v="Stx2g"/>
        <s v="Stx2i"/>
        <s v="Stx2d,Stx1a"/>
        <s v="Stx1a,Stx2c"/>
        <s v="Stx2a,Stx2b,Stx1c"/>
        <s v="Stx2k,Stx2a"/>
        <s v="Stx1d"/>
        <s v="Stx2b,Stx2b"/>
        <s v="Stx2h"/>
        <s v="Stx2j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per, Ashley (CFIA/ACIA)" refreshedDate="46219.457110300929" createdVersion="8" refreshedVersion="8" minRefreshableVersion="3" recordCount="498" xr:uid="{9EFA59EA-201E-4768-9751-8B81B2415EEF}">
  <cacheSource type="worksheet">
    <worksheetSource ref="L1:N1048576" sheet="prjna454819"/>
  </cacheSource>
  <cacheFields count="3">
    <cacheField name="Shiga Toxin Gene(s)" numFmtId="0">
      <sharedItems containsBlank="1" count="80">
        <s v="Stx2b_23"/>
        <s v="ND"/>
        <s v="Stx1c_12"/>
        <s v="Stx1c_27"/>
        <s v="Stx2b_110,Stx1c_708"/>
        <s v="Stx2c_152,Stx2b_23"/>
        <s v="Stx2b_116,Stx1a_19"/>
        <s v="Stx2a_1"/>
        <s v="Stx2b_110,Stx1a_19"/>
        <s v="Stx1a_9"/>
        <s v="Stx2b_110,Stx1c_22"/>
        <s v="Stx1a_9,Stx2a_1"/>
        <s v="Stx2c_152"/>
        <s v="Stx2b_109,Stx1c_26"/>
        <s v="Stx2a_1,Stx1a_9"/>
        <s v="Stx2d_100"/>
        <s v="Stx2c_7"/>
        <s v="Stx2b_122,Stx1a_19"/>
        <s v="Stx2a_1126,Stx1a_9"/>
        <s v="Stx2c_17,Stx1a_9"/>
        <s v="Stx2a_30"/>
        <s v="Stx2b_109,Stx1c_12"/>
        <s v="Stx2c_17"/>
        <s v="Stx2b_109,Stx1c_23"/>
        <s v="Stx2b_110,Stx1c_25"/>
        <s v="Stx1a_15"/>
        <s v="Stx2e_25"/>
        <s v="Stx2b_101,Stx1a_19"/>
        <s v="Stx2b_116"/>
        <s v="Stx2a_16,Stx1a_18"/>
        <s v="Stx1c_708,Stx2b_110"/>
        <s v="Stx2g_147"/>
        <s v="Stx2b_110,Stx1c_12"/>
        <s v="Stx1c_26"/>
        <s v="Stx2b_116,Stx1a_9"/>
        <s v="Stx2d_27"/>
        <s v="Stx2i_43"/>
        <s v="Stx2d_99,Stx1a_9"/>
        <s v="Stx1a_24,Stx2a_6"/>
        <s v="Stx1a_18,Stx2a_16"/>
        <s v="Stx1a_9,Stx2c_17"/>
        <s v="Stx2b_110,Stx1c_500"/>
        <s v="Stx2d_99"/>
        <s v="Stx2c_106"/>
        <s v="Stx2c_106,Stx1a_9"/>
        <s v="Stx2b_109,Stx1a_19"/>
        <s v="Stx2d_9"/>
        <s v="Stx2b_109,Stx1c_708"/>
        <s v="Stx2d_10"/>
        <s v="Stx2e_146"/>
        <s v="Stx2b_109"/>
        <s v="Stx2a_16,Stx2b_110,Stx1c_22"/>
        <s v="Stx1c_708"/>
        <s v="Stx2g_26"/>
        <s v="Stx2b_508,Stx1c_12"/>
        <s v="Stx2e_36"/>
        <s v="Stx2b_120,Stx1c_26"/>
        <s v="Stx2b_116,Stx1c_12"/>
        <s v="Stx2a_16"/>
        <s v="Stx2a_6,Stx1a_24"/>
        <s v="Stx2a_127,Stx1a_9"/>
        <s v="Stx2a_567"/>
        <s v="Stx2a_6,Stx1a_9"/>
        <s v="Stx2a_107"/>
        <s v="Stx2b_105"/>
        <s v="Stx2b_110,Stx1c_26"/>
        <s v="Stx2a_183"/>
        <s v="Stx2b_23,Stx1c_12"/>
        <s v="Stx2b_101,Stx1c_708"/>
        <s v="Stx2c_1247"/>
        <s v="Stx2a_16,Stx1a_19"/>
        <s v="Stx2k_40,Stx2a_30"/>
        <s v="Stx2d_112"/>
        <s v="Stx1d_4"/>
        <s v="Stx2a_16,Stx1a_9"/>
        <s v="Stx1a_21"/>
        <s v="Stx2b_118,Stx2b_109"/>
        <s v="Stx2h_49"/>
        <s v="Stx2j_104"/>
        <m/>
      </sharedItems>
    </cacheField>
    <cacheField name="Source2" numFmtId="0">
      <sharedItems containsBlank="1" count="9">
        <s v="Meat"/>
        <s v="Lamb"/>
        <s v="Flour"/>
        <s v="Nuts/Seeds"/>
        <s v="Dairy"/>
        <s v="Environment"/>
        <s v="Vegetable"/>
        <s v="Other"/>
        <m/>
      </sharedItems>
    </cacheField>
    <cacheField name="Source1" numFmtId="0">
      <sharedItems containsBlank="1" count="8">
        <s v="Meat"/>
        <s v="Flour"/>
        <s v="Nuts/Seeds"/>
        <s v="Dairy"/>
        <s v="Environment"/>
        <s v="Vegetable"/>
        <s v="Oth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per, Ashley (CFIA/ACIA)" refreshedDate="46220.551527777781" createdVersion="8" refreshedVersion="8" minRefreshableVersion="3" recordCount="498" xr:uid="{EEB98F09-46D4-4ED8-8066-096232480CF3}">
  <cacheSource type="worksheet">
    <worksheetSource ref="H1:N1048576" sheet="prjna454819"/>
  </cacheSource>
  <cacheFields count="7">
    <cacheField name="Otype" numFmtId="0">
      <sharedItems containsBlank="1" count="50">
        <s v="OUT"/>
        <s v="O157"/>
        <s v="O108"/>
        <s v="O128"/>
        <s v="O91"/>
        <s v="O8"/>
        <s v="O176"/>
        <s v="O174"/>
        <s v="O5"/>
        <s v="O86"/>
        <s v="O98"/>
        <s v="O36"/>
        <s v="O116"/>
        <s v="O75"/>
        <s v="O103"/>
        <s v="O104"/>
        <s v="O121"/>
        <s v="O6"/>
        <s v="O109"/>
        <s v="O17/O77"/>
        <s v="O146"/>
        <s v="O113"/>
        <s v="O123/O186"/>
        <s v="O3"/>
        <s v="O132"/>
        <s v="O163"/>
        <s v="O9"/>
        <s v="O123"/>
        <s v="O55"/>
        <s v="O153"/>
        <s v="O187"/>
        <s v="O171"/>
        <s v="O76"/>
        <s v="O15"/>
        <s v="O181"/>
        <s v="O178"/>
        <s v="O168"/>
        <s v="O38"/>
        <s v="O88"/>
        <s v="O159"/>
        <s v="O118"/>
        <s v="O185"/>
        <s v="O26"/>
        <s v="O115"/>
        <s v="O142"/>
        <s v="O183"/>
        <s v="O87"/>
        <s v="O78"/>
        <s v="O177"/>
        <m/>
      </sharedItems>
    </cacheField>
    <cacheField name="Htype" numFmtId="0">
      <sharedItems containsBlank="1"/>
    </cacheField>
    <cacheField name="Virulence Profile" numFmtId="0">
      <sharedItems containsNonDate="0" containsString="0" containsBlank="1"/>
    </cacheField>
    <cacheField name="Shiga Toxin Gene(s)" numFmtId="0">
      <sharedItems containsBlank="1"/>
    </cacheField>
    <cacheField name="Shiga Toxin Gene(s)2" numFmtId="0">
      <sharedItems containsBlank="1"/>
    </cacheField>
    <cacheField name="Source2" numFmtId="0">
      <sharedItems containsBlank="1"/>
    </cacheField>
    <cacheField name="Source1" numFmtId="0">
      <sharedItems containsBlank="1" count="8">
        <s v="Meat"/>
        <s v="Flour"/>
        <s v="Nuts/Seeds"/>
        <s v="Dairy"/>
        <s v="Environment"/>
        <s v="Vegetable"/>
        <s v="Oth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">
  <r>
    <x v="0"/>
    <s v="O121:H19"/>
    <s v="O121 (100.0):H19 (98.31)"/>
    <s v="eae;hlyAEc;O121;VT2;uidA"/>
    <x v="0"/>
  </r>
  <r>
    <x v="0"/>
    <s v="O8:H28"/>
    <s v="O8 (99.59):H28 (99.54)"/>
    <s v="VT2;hlyAEc;uidA"/>
    <x v="0"/>
  </r>
  <r>
    <x v="0"/>
    <s v="O8:H28"/>
    <s v="O8 (99.59):H28 (99.54)"/>
    <s v="VT2;hlyAEc;uidA"/>
    <x v="0"/>
  </r>
  <r>
    <x v="0"/>
    <s v="O88:H25"/>
    <s v="O88 (100.0):H25 (99.92)ND"/>
    <s v="VT1;VT2;uidA"/>
    <x v="1"/>
  </r>
  <r>
    <x v="1"/>
    <s v="O171:H2"/>
    <s v="O171 (99.91):H2 (100.0)"/>
    <s v="VT2;uidA"/>
    <x v="0"/>
  </r>
  <r>
    <x v="1"/>
    <s v="O187:H52"/>
    <s v="O187 (100.0):H52 (100.0)"/>
    <s v="VT1;uidA"/>
    <x v="2"/>
  </r>
  <r>
    <x v="1"/>
    <s v="O91:H14"/>
    <s v="O91 (100.0):H14 (98.85)"/>
    <s v="VT1;VT2;uidA"/>
    <x v="3"/>
  </r>
  <r>
    <x v="1"/>
    <s v="O8:H28"/>
    <s v="O8 (99.59):H28 (99.54)ND"/>
    <s v="VT2;hlyAEc;uidA"/>
    <x v="0"/>
  </r>
  <r>
    <x v="1"/>
    <s v="O76:H19"/>
    <s v="O76 (99.6):H19 (99.89)"/>
    <s v="VT1;uidA"/>
    <x v="2"/>
  </r>
  <r>
    <x v="1"/>
    <s v="O8:H28"/>
    <s v="O8 (99.59):H28 (99.54"/>
    <s v="VT2;hlyAEc;uidA"/>
    <x v="0"/>
  </r>
  <r>
    <x v="1"/>
    <s v="O76:H19"/>
    <s v="O76 (99.6):H19 (99.89)"/>
    <s v="hlyAEc;VT1;uidA"/>
    <x v="2"/>
  </r>
  <r>
    <x v="1"/>
    <s v="O78:H16"/>
    <s v="O78 (100.0):H16 (99.94)"/>
    <s v="VT1;uidA"/>
    <x v="4"/>
  </r>
  <r>
    <x v="1"/>
    <s v="O174:H21"/>
    <s v="O174 (98.25):H21 (98.64)"/>
    <s v="VT2;uidA"/>
    <x v="5"/>
  </r>
  <r>
    <x v="1"/>
    <s v="O174:H21"/>
    <s v="O174 (98.25):H21 (98.64)"/>
    <s v="VT2;uidA"/>
    <x v="5"/>
  </r>
  <r>
    <x v="2"/>
    <s v="O174:H21"/>
    <s v="O174 (98.25):H21 (98.64)"/>
    <s v="VT2;uidA"/>
    <x v="5"/>
  </r>
  <r>
    <x v="2"/>
    <s v="O17/O77:H18"/>
    <s v="O17/O77 (100.0):H18 (100.0)ND"/>
    <s v="VT2;uidA"/>
    <x v="6"/>
  </r>
  <r>
    <x v="1"/>
    <s v="O17/O77:H18"/>
    <s v="O17/O77 (100.0):H18 (100.0)ND"/>
    <s v="VT2;uidA"/>
    <x v="6"/>
  </r>
  <r>
    <x v="1"/>
    <s v="O17/O77:H18"/>
    <s v="O17/O77 (100.0):H18 (100.0)ND"/>
    <s v="VT2;uidA"/>
    <x v="6"/>
  </r>
  <r>
    <x v="3"/>
    <s v="OUT:H21"/>
    <s v="O-untypeable:H21 (98.64)"/>
    <s v="VT2;uidA"/>
    <x v="7"/>
  </r>
  <r>
    <x v="4"/>
    <s v="O108:H21"/>
    <s v="O-untypeable:H21 (98.64)"/>
    <s v="VT1(cc)"/>
    <x v="2"/>
  </r>
  <r>
    <x v="2"/>
    <s v="O146:H8"/>
    <s v="O146 (99.94):H8 (99.86)"/>
    <s v="uidA;VT1"/>
    <x v="2"/>
  </r>
  <r>
    <x v="4"/>
    <s v="O146:H8"/>
    <s v="O146 (100.0):H8 (99.86)"/>
    <s v="VT1;uidA"/>
    <x v="2"/>
  </r>
  <r>
    <x v="2"/>
    <s v="O146:H8"/>
    <s v="O146 (100.0):H8 (99.86)"/>
    <s v="VT1;uidA"/>
    <x v="2"/>
  </r>
  <r>
    <x v="2"/>
    <s v="O123/O186:H10"/>
    <s v="O123/O186 (100.0):H10 (99.37)"/>
    <s v="uidA;hylA;VT1;VT2"/>
    <x v="8"/>
  </r>
  <r>
    <x v="2"/>
    <s v="O128:H2"/>
    <s v="O128ab;O128ac (100.0):H2 (100.0)"/>
    <s v="uidA;VT1;VT2;hylA"/>
    <x v="8"/>
  </r>
  <r>
    <x v="2"/>
    <s v="O75:H8"/>
    <s v="O-untypeable:H8 (100.0)"/>
    <s v="uidA;VT1;VT2"/>
    <x v="8"/>
  </r>
  <r>
    <x v="2"/>
    <s v="O178:H7"/>
    <s v="O153/O178 (100.0):H7 (99.94)"/>
    <s v="VT1;uidA"/>
    <x v="2"/>
  </r>
  <r>
    <x v="2"/>
    <s v="O178:H7"/>
    <s v="O153/O178 (100.0):H7 (99.94)"/>
    <s v="VT1;uidA"/>
    <x v="2"/>
  </r>
  <r>
    <x v="2"/>
    <s v="O178:H7"/>
    <s v="O153/O178 (100.0):H7 (99.94)"/>
    <s v="VT1;uidA"/>
    <x v="2"/>
  </r>
  <r>
    <x v="2"/>
    <s v="O178:H7"/>
    <s v="O153/O178 (100.0):H7 (99.94)"/>
    <s v="VT1;uidA"/>
    <x v="2"/>
  </r>
  <r>
    <x v="2"/>
    <s v="O91:H14"/>
    <s v="O91 (100.0):H14 (98.85)"/>
    <s v="VT1;VT2;uidA"/>
    <x v="3"/>
  </r>
  <r>
    <x v="1"/>
    <s v="O91:H14"/>
    <s v="O91 (99.92):H14 (98.85)"/>
    <s v="VT1;VT2;uidA"/>
    <x v="3"/>
  </r>
  <r>
    <x v="1"/>
    <s v="O91:H14"/>
    <s v="O91 (100.0):H14 (98.85)"/>
    <s v="VT1;VT2;uidA"/>
    <x v="3"/>
  </r>
  <r>
    <x v="1"/>
    <s v="O128:H2"/>
    <s v="O128ac;O128ab (100.0):H2 (99.93)ND"/>
    <s v="VT1;VT2;uidA"/>
    <x v="8"/>
  </r>
  <r>
    <x v="1"/>
    <s v="O128:H2"/>
    <s v="O128ac;O128ab (100.0):H2 (99.93)ND"/>
    <s v="VT1;VT2;uidA"/>
    <x v="8"/>
  </r>
  <r>
    <x v="2"/>
    <s v="O128:H2"/>
    <s v="O128ab (100.0):H2 (100.0)ND"/>
    <s v="VT1;VT2;uidA"/>
    <x v="8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"/>
    <s v="eae;hlyAEc;O157;VT1;VT2;uidA"/>
    <x v="1"/>
  </r>
  <r>
    <x v="2"/>
    <s v="O157:H7"/>
    <s v="O157 (100.0):H7 (100.0)"/>
    <s v="eae;hlyAEc;O157;VT1;VT2;uidA"/>
    <x v="1"/>
  </r>
  <r>
    <x v="2"/>
    <s v="O157:H7"/>
    <s v="O157 (100.0):H7 (100.0)"/>
    <s v="eae;hlyAEc;O157;VT2;uidA"/>
    <x v="0"/>
  </r>
  <r>
    <x v="2"/>
    <s v="O157:H7"/>
    <s v="O157 (100.0):H7 (100.0)ND"/>
    <s v="eae;O157;VT1;VT2;uidA"/>
    <x v="1"/>
  </r>
  <r>
    <x v="2"/>
    <s v="O157:H7"/>
    <s v="O157 (100.0):H7 (100.0)"/>
    <s v="eae;hlyAEc;O157;VT2;uidA"/>
    <x v="5"/>
  </r>
  <r>
    <x v="2"/>
    <s v="O157:H7"/>
    <s v="O157 (100.0):H7 (100.0)"/>
    <s v="eae;hlyAEc;O157;VT2;uidA"/>
    <x v="0"/>
  </r>
  <r>
    <x v="2"/>
    <s v="O157:H7"/>
    <s v="O157 (100.0):H7 (100.0)"/>
    <s v="eae;hlyAEc;O157;VT1;VT2;uidA"/>
    <x v="1"/>
  </r>
  <r>
    <x v="2"/>
    <s v="O157:H7"/>
    <s v="O157 (100.0):H7 (100.0)"/>
    <s v="eae;hlyAEc;O157;VT1;VT2;uidA"/>
    <x v="1"/>
  </r>
  <r>
    <x v="2"/>
    <s v="O157:H7"/>
    <s v="O157 (100.0):H7 (100.0)"/>
    <s v="eae;hlyAEc;O157;VT1;uidA"/>
    <x v="4"/>
  </r>
  <r>
    <x v="2"/>
    <s v="O157:H7"/>
    <s v="O157 (100.0):H7 (100.0)"/>
    <s v="eae;hlyAEc;O157;VT1;VT2;uidA"/>
    <x v="1"/>
  </r>
  <r>
    <x v="2"/>
    <s v="O157:H7"/>
    <s v="O157 (100.0):H7 (100.0)"/>
    <s v="eae;hlyAEc;O157;VT2;uidA"/>
    <x v="0"/>
  </r>
  <r>
    <x v="2"/>
    <s v="O157:H7"/>
    <s v="O157 (100.0):H7 (100.0)"/>
    <s v="eae;hlyAEc;O157;VT2;uidA"/>
    <x v="0"/>
  </r>
  <r>
    <x v="2"/>
    <s v="O157:H7"/>
    <s v="O157 (100.0):H7 (100.0)"/>
    <s v="eae;hlyAEc;O157;VT1;VT2;uidA"/>
    <x v="1"/>
  </r>
  <r>
    <x v="2"/>
    <s v="O157:H7"/>
    <s v="O157 (100.0):H7 (100.0)"/>
    <s v="eae;hlyAEc;O157;VT1;VT2;uidA"/>
    <x v="1"/>
  </r>
  <r>
    <x v="2"/>
    <s v="O157:H7"/>
    <s v="O157 (100.0):H7 (100.0)"/>
    <s v="eae;hlyAEc;O157;VT1;VT2;uidA"/>
    <x v="9"/>
  </r>
  <r>
    <x v="5"/>
    <s v="O157:H7"/>
    <s v="O157 (100.0):H7 (100.0)"/>
    <s v="eae;hlyAEc;O157;VT1;VT2;uidA"/>
    <x v="1"/>
  </r>
  <r>
    <x v="5"/>
    <s v="O157:H7"/>
    <s v="O157 (100.0):H7 (100.0)"/>
    <s v="eae;hlyAEc;O157;VT1;VT2;uidA"/>
    <x v="1"/>
  </r>
  <r>
    <x v="2"/>
    <s v="O157:H7"/>
    <s v="O157 (100.0):H7 (100.0)"/>
    <s v="eae;O157;VT1;VT2;uidA"/>
    <x v="1"/>
  </r>
  <r>
    <x v="5"/>
    <s v="O157:H7"/>
    <s v="O157 (100.0):H7 (100.0)"/>
    <s v="eae;O157;VT2;uidA"/>
    <x v="5"/>
  </r>
  <r>
    <x v="5"/>
    <s v="O157:H7"/>
    <s v="O157 (100.0):H7 (100.0)ND"/>
    <s v="eae;O157;VT1;VT2;uidA"/>
    <x v="1"/>
  </r>
  <r>
    <x v="5"/>
    <s v="O157:H7"/>
    <s v="O157 (100.0):H7 (100.0)ND"/>
    <s v="eae;O157;VT1;VT2;uidA"/>
    <x v="1"/>
  </r>
  <r>
    <x v="5"/>
    <s v="O157:H7"/>
    <s v="O157 (100.0):H7 (100.0)"/>
    <s v="eae;hlyAEc;O157;VT1;VT2;uidA"/>
    <x v="1"/>
  </r>
  <r>
    <x v="5"/>
    <s v="O157:H7"/>
    <s v="O157 (100.0):H7 (100.0)"/>
    <s v="eae;hlyAEc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2;uidA"/>
    <x v="0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2;uidA"/>
    <x v="0"/>
  </r>
  <r>
    <x v="2"/>
    <s v="O157:H7"/>
    <s v="O157 (100.0):H7 (100.0)"/>
    <s v="eae;hlyAEc;O157;VT1;VT2;uidA"/>
    <x v="1"/>
  </r>
  <r>
    <x v="2"/>
    <s v="O157:H7"/>
    <s v="O157 (100.0):H7 (100.0)ND"/>
    <s v="eae;O157;VT1;VT2;uidA"/>
    <x v="1"/>
  </r>
  <r>
    <x v="2"/>
    <s v="O157:H7"/>
    <s v="O157 (100.0):H7 (100.0)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1;VT2;uidA"/>
    <x v="1"/>
  </r>
  <r>
    <x v="2"/>
    <s v="O157:H7"/>
    <s v="O157 (100.0):H7 (100.0)ND"/>
    <s v="eae;O157;VT2;uidA"/>
    <x v="5"/>
  </r>
  <r>
    <x v="2"/>
    <s v="O157:H7"/>
    <s v="O157 (100.0):H7 (100.0)ND"/>
    <s v="eae;O157;VT2;uidA"/>
    <x v="5"/>
  </r>
  <r>
    <x v="2"/>
    <s v="O157:H7"/>
    <s v="O157 (100.0):H7 (100.0)"/>
    <s v="eae;O157;VT1;VT2;uidA"/>
    <x v="1"/>
  </r>
  <r>
    <x v="2"/>
    <s v="O157:H7"/>
    <s v="O157 (100.0):H7 (100.0)ND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5"/>
    <s v="O157:H7"/>
    <s v="O157 (100.0):H7 (100.0)"/>
    <s v="eae;O157;VT1;VT2;uidA"/>
    <x v="1"/>
  </r>
  <r>
    <x v="2"/>
    <s v="O157:H7"/>
    <s v="O157 (100.0):H7 (100.0)"/>
    <s v="eae;O157;VT1;VT2;uidA"/>
    <x v="1"/>
  </r>
  <r>
    <x v="5"/>
    <s v="O157:H7"/>
    <s v="O157 (100.0):H7 (100.0)"/>
    <s v="eae;O157;VT1;VT2;uidA"/>
    <x v="1"/>
  </r>
  <r>
    <x v="1"/>
    <s v="O157:H7"/>
    <s v="O157 (100.0):H7 (100.0)ND"/>
    <s v="eae;O157;VT2;uidA"/>
    <x v="5"/>
  </r>
  <r>
    <x v="1"/>
    <s v="O157:H7"/>
    <s v="O157 (100.0):H7 (100.0)"/>
    <s v="eae;O157;VT2;uidA"/>
    <x v="5"/>
  </r>
  <r>
    <x v="6"/>
    <s v="O157:H7"/>
    <s v="O157 (100.0):H7 (100.0)"/>
    <s v="eae;O157;VT2;uidA"/>
    <x v="0"/>
  </r>
  <r>
    <x v="6"/>
    <s v="O157:H7"/>
    <s v="O157 (100.0):H7 (100.0)"/>
    <s v="eae;hlyAEc;O157;VT2;uidA"/>
    <x v="0"/>
  </r>
  <r>
    <x v="2"/>
    <s v="O157:H7"/>
    <s v="O157 (100.0):H7 (100.0)"/>
    <s v="eae;O157;VT2;uidA"/>
    <x v="0"/>
  </r>
  <r>
    <x v="2"/>
    <s v="O157:H7"/>
    <s v="O157 (100.0):H7 (100.0)"/>
    <s v="eae;O157;VT1;VT2;uidA"/>
    <x v="9"/>
  </r>
  <r>
    <x v="2"/>
    <s v="O157:H7"/>
    <s v="O157 (100.0):H7 (100.0)"/>
    <s v="eae;O157;VT1;VT2;uidA"/>
    <x v="1"/>
  </r>
  <r>
    <x v="2"/>
    <s v="O157:H7"/>
    <e v="#N/A"/>
    <e v="#N/A"/>
    <x v="10"/>
  </r>
  <r>
    <x v="2"/>
    <s v="O157:H7"/>
    <e v="#N/A"/>
    <e v="#N/A"/>
    <x v="10"/>
  </r>
  <r>
    <x v="2"/>
    <s v="O157:H7"/>
    <e v="#N/A"/>
    <e v="#N/A"/>
    <x v="10"/>
  </r>
  <r>
    <x v="2"/>
    <s v="O157:H7"/>
    <e v="#N/A"/>
    <e v="#N/A"/>
    <x v="10"/>
  </r>
  <r>
    <x v="2"/>
    <s v="O157:H7"/>
    <s v="O157 (100.0):H7 (100.0)"/>
    <s v="eae;O157;VT1;VT2;uidA"/>
    <x v="1"/>
  </r>
  <r>
    <x v="2"/>
    <s v="O157:H7"/>
    <e v="#N/A"/>
    <e v="#N/A"/>
    <x v="10"/>
  </r>
  <r>
    <x v="5"/>
    <s v="O157:H7"/>
    <e v="#N/A"/>
    <e v="#N/A"/>
    <x v="10"/>
  </r>
  <r>
    <x v="5"/>
    <s v="O157:H7"/>
    <e v="#N/A"/>
    <e v="#N/A"/>
    <x v="10"/>
  </r>
  <r>
    <x v="5"/>
    <s v="O157:H7"/>
    <s v="O157 (100.0):H7 (100.0)"/>
    <s v="eae;O157;VT1;VT2;uidA"/>
    <x v="1"/>
  </r>
  <r>
    <x v="5"/>
    <s v="O157:H7"/>
    <e v="#N/A"/>
    <e v="#N/A"/>
    <x v="10"/>
  </r>
  <r>
    <x v="5"/>
    <s v="O157:H7"/>
    <e v="#N/A"/>
    <e v="#N/A"/>
    <x v="10"/>
  </r>
  <r>
    <x v="1"/>
    <s v="O157:H7"/>
    <s v="O157 (100.0):H7 (100.0)"/>
    <s v="eae;hlyAEc;O157;VT2;uidA"/>
    <x v="0"/>
  </r>
  <r>
    <x v="1"/>
    <s v="O157:H7"/>
    <e v="#N/A"/>
    <e v="#N/A"/>
    <x v="10"/>
  </r>
  <r>
    <x v="1"/>
    <s v="O157:H7"/>
    <s v="O157 (100.0):H7 (100.0)"/>
    <s v="eae;O157;VT1;VT2;uidA"/>
    <x v="1"/>
  </r>
  <r>
    <x v="1"/>
    <s v="O157:H7"/>
    <s v="O157 (100.0):H7 (100.0)ND"/>
    <s v="eae;O157;VT2;uidA"/>
    <x v="5"/>
  </r>
  <r>
    <x v="1"/>
    <s v="O157:H7"/>
    <s v="O157 (100.0):H7 (100.0)ND"/>
    <s v="eae;O157;VT2;uidA"/>
    <x v="0"/>
  </r>
  <r>
    <x v="1"/>
    <s v="O157:H7"/>
    <s v="O157 (100.0):H7 (100.0)ND"/>
    <s v="eae;O157;VT2;uidA"/>
    <x v="5"/>
  </r>
  <r>
    <x v="1"/>
    <s v="O157:H7"/>
    <s v="O157 (100.0):H7 (100.0)ND"/>
    <s v="eae;O157;VT2;uidA"/>
    <x v="5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ND"/>
    <s v="eae;O157;VT1;VT2;uidA"/>
    <x v="1"/>
  </r>
  <r>
    <x v="1"/>
    <s v="O157:H7"/>
    <e v="#N/A"/>
    <e v="#N/A"/>
    <x v="10"/>
  </r>
  <r>
    <x v="1"/>
    <s v="O157:H7"/>
    <e v="#N/A"/>
    <e v="#N/A"/>
    <x v="10"/>
  </r>
  <r>
    <x v="1"/>
    <s v="O157:H7"/>
    <s v="O157 (100.0):H7 (100.0)"/>
    <s v="eae;O157;VT2;uidA"/>
    <x v="0"/>
  </r>
  <r>
    <x v="1"/>
    <s v="O157:H7"/>
    <s v="O157 (100.0):H7 (100.0)"/>
    <s v="eae;O157;VT1;VT2;uidA"/>
    <x v="1"/>
  </r>
  <r>
    <x v="1"/>
    <s v="O157:H7"/>
    <e v="#N/A"/>
    <e v="#N/A"/>
    <x v="10"/>
  </r>
  <r>
    <x v="1"/>
    <s v="O157:H7"/>
    <e v="#N/A"/>
    <e v="#N/A"/>
    <x v="10"/>
  </r>
  <r>
    <x v="1"/>
    <s v="O157:H7"/>
    <s v="O157 (100.0):H7 (100.0)"/>
    <s v="eae;O157;VT1;VT2;uidA"/>
    <x v="1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s v="O157 (100.0):H7 (100.0)"/>
    <s v="eae;O157;VT1;VT2;uidA"/>
    <x v="1"/>
  </r>
  <r>
    <x v="1"/>
    <s v="O157:H7"/>
    <e v="#N/A"/>
    <e v="#N/A"/>
    <x v="10"/>
  </r>
  <r>
    <x v="5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5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s v="O157 (100.0):H7 (100.0)"/>
    <s v="eae;O157;VT2;uidA"/>
    <x v="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1"/>
    <s v="O157:H7"/>
    <e v="#N/A"/>
    <e v="#N/A"/>
    <x v="10"/>
  </r>
  <r>
    <x v="0"/>
    <s v="O157:H7"/>
    <e v="#N/A"/>
    <e v="#N/A"/>
    <x v="10"/>
  </r>
  <r>
    <x v="1"/>
    <s v="O157:H7"/>
    <s v="O157 (100.0):H7 (100.0)"/>
    <s v="eae;O157;VT2;uidA"/>
    <x v="0"/>
  </r>
  <r>
    <x v="1"/>
    <s v="O157:H7"/>
    <e v="#N/A"/>
    <e v="#N/A"/>
    <x v="10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n v="0"/>
    <s v="eae;O157;VT1;VT2;uidA"/>
    <x v="1"/>
  </r>
  <r>
    <x v="5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2;uidA"/>
    <x v="5"/>
  </r>
  <r>
    <x v="1"/>
    <s v="O157:H7"/>
    <s v="O157 (100.0):H7 (100.0)"/>
    <s v="eae;O157;VT1;VT2;uidA"/>
    <x v="9"/>
  </r>
  <r>
    <x v="1"/>
    <s v="O157:H7"/>
    <s v="O157 (100.0):H7 (100.0)"/>
    <s v="eae;hlyAEc;O157;VT1;VT2;uidA"/>
    <x v="9"/>
  </r>
  <r>
    <x v="1"/>
    <s v="O157:H7"/>
    <s v="O157 (100.0):H7 (100.0)"/>
    <s v="eae;O157;VT2;uidA"/>
    <x v="5"/>
  </r>
  <r>
    <x v="1"/>
    <s v="O157:H7"/>
    <s v="O157 (100.0):H7 (100.0)"/>
    <s v="eae;O157;VT1;VT2;uidA"/>
    <x v="1"/>
  </r>
  <r>
    <x v="1"/>
    <s v="O157:H7"/>
    <s v="O157 (100.0):H7 (100.0)"/>
    <s v="eae;O157;VT2;uidA"/>
    <x v="5"/>
  </r>
  <r>
    <x v="1"/>
    <s v="O157:H7"/>
    <s v="O157 (100.0):H7 (100.0)"/>
    <s v="eae;O157;VT1;VT2;uidA"/>
    <x v="1"/>
  </r>
  <r>
    <x v="1"/>
    <s v="O157:H7"/>
    <s v="O157 (100.0):H7 (100.0)"/>
    <s v="eae;hlyAEc;O157;VT1;VT2;uidA"/>
    <x v="1"/>
  </r>
  <r>
    <x v="1"/>
    <s v="O157:H7"/>
    <s v="O157 (100.0):H7 (100.0)"/>
    <s v="eae;hlyAEc;O157;VT1;VT2;uidA"/>
    <x v="1"/>
  </r>
  <r>
    <x v="1"/>
    <s v="O157:H7"/>
    <s v="O157 (100.0):H7 (100.0)"/>
    <s v="eae;hlyAEc;O157;VT1;VT2;uidA"/>
    <x v="1"/>
  </r>
  <r>
    <x v="1"/>
    <s v="O157:H7"/>
    <s v="O157 (100.0):H7 (100.0)"/>
    <s v="eae;hlyAEc;O157;VT1;VT2;uidA"/>
    <x v="1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O157;VT1;VT2;uidA"/>
    <x v="1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hlyAEc;O157;VT1;VT2;uidA"/>
    <x v="1"/>
  </r>
  <r>
    <x v="1"/>
    <s v="O157:H7"/>
    <s v="O157 (100.0):H7 (100.0)"/>
    <s v="eae;hlyAEc;O157;VT1;VT2;uidA"/>
    <x v="1"/>
  </r>
  <r>
    <x v="1"/>
    <s v="O157:H7"/>
    <s v="O157 (100.0):H7 (100.0)"/>
    <s v="eae;O157;VT2;uidA"/>
    <x v="5"/>
  </r>
  <r>
    <x v="1"/>
    <s v="O157:H7"/>
    <s v="O157 (100.0):H7 (100.0)"/>
    <s v="eae;hlyAEc;O157;VT2;uidA"/>
    <x v="5"/>
  </r>
  <r>
    <x v="1"/>
    <s v="O157:H7"/>
    <s v="O157 (100.0):H7 (100.0)"/>
    <s v="eae;hlyAEc;O157;VT2;uidA"/>
    <x v="5"/>
  </r>
  <r>
    <x v="0"/>
    <s v="O157:H7"/>
    <s v="O157 (100.0):H7 (100.0)"/>
    <s v="eae;O157;VT2;uidA"/>
    <x v="9"/>
  </r>
  <r>
    <x v="0"/>
    <s v="O157:H7"/>
    <s v="O157 (100.0):H7 (100.0)"/>
    <s v="eae;hlyAEc;O157;VT2;uidA"/>
    <x v="5"/>
  </r>
  <r>
    <x v="0"/>
    <s v="O157:H7"/>
    <s v="O157 (100.0):H7 (100.0)"/>
    <s v="eae;O157;VT2;uidA"/>
    <x v="0"/>
  </r>
  <r>
    <x v="0"/>
    <s v="O157:H7"/>
    <s v="O157 (100.0):H7 (100.0)"/>
    <s v="eae;hlyAEc;O157;VT1;VT2;uidA"/>
    <x v="1"/>
  </r>
  <r>
    <x v="0"/>
    <s v="O157:H7"/>
    <s v="O157 (100.0):H7 (100.0)"/>
    <s v="eae;O157;VT1;VT2;uidA"/>
    <x v="1"/>
  </r>
  <r>
    <x v="0"/>
    <s v="O157:H7"/>
    <s v="O157 (100.0):H7 (100.0)"/>
    <s v="eae;O157;VT2;uidA"/>
    <x v="5"/>
  </r>
  <r>
    <x v="0"/>
    <s v="O157:H7"/>
    <s v="O157 (100.0):H7 (100.0)"/>
    <s v="eae;O157;VT1;VT2;uidA"/>
    <x v="1"/>
  </r>
  <r>
    <x v="0"/>
    <s v="O157:H7"/>
    <s v="O157 (100.0):H7 (100.0)ND"/>
    <s v="eae;O157;VT1;VT2;uidA"/>
    <x v="1"/>
  </r>
  <r>
    <x v="0"/>
    <s v="O157:H7"/>
    <s v="O157 (100.0):H7 (100.0)"/>
    <s v="eae;O157;VT1;VT2;uidA"/>
    <x v="1"/>
  </r>
  <r>
    <x v="0"/>
    <s v="O157:H7"/>
    <s v="O157 (100.0):H7 (99.94)"/>
    <s v="eae;O157;VT2;uidA"/>
    <x v="5"/>
  </r>
  <r>
    <x v="0"/>
    <s v="O157:H7"/>
    <s v="O157 (100.0):H7 (100.0)"/>
    <s v="eae;hlyAEc;O157;VT1;VT2;uidA"/>
    <x v="1"/>
  </r>
  <r>
    <x v="0"/>
    <s v="O157:H7"/>
    <s v="O157 (100.0):H7 (100.0)"/>
    <s v="eae;O157;VT1;VT2;uidA"/>
    <x v="1"/>
  </r>
  <r>
    <x v="0"/>
    <s v="O157:H7"/>
    <s v="O157 (100.0):H7 (100.0)ND"/>
    <s v="eae;O157;VT1;VT2;uidA"/>
    <x v="4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4"/>
  </r>
  <r>
    <x v="1"/>
    <s v="O157:H7"/>
    <s v="O157 (100.0):H7 (100.0)"/>
    <s v="eae;O157;VT1;VT2;uidA"/>
    <x v="4"/>
  </r>
  <r>
    <x v="1"/>
    <s v="O157:H7"/>
    <s v="O157 (100.0):H7 (100.0)"/>
    <s v="eae;O157;VT1;VT2;uidA"/>
    <x v="4"/>
  </r>
  <r>
    <x v="1"/>
    <s v="O157:H7"/>
    <s v="O157:H7"/>
    <s v="eae;hlyAEc;O157;VT1;VT2;uidA"/>
    <x v="4"/>
  </r>
  <r>
    <x v="1"/>
    <s v="O157:H7"/>
    <s v="O157 (100.0):H7 (100.0)"/>
    <s v="eae;O157;VT1;VT2;uidA"/>
    <x v="4"/>
  </r>
  <r>
    <x v="1"/>
    <s v="O157:H7"/>
    <s v="O157 (100.0):H7 (100.0)"/>
    <s v="eae;O157;VT1;VT2;uidA"/>
    <x v="1"/>
  </r>
  <r>
    <x v="0"/>
    <s v="O157:H7"/>
    <s v="O157 (100.0):H7 (100.0)"/>
    <s v="eae;O157;VT1;VT2;uidA"/>
    <x v="1"/>
  </r>
  <r>
    <x v="0"/>
    <s v="O157:H7"/>
    <s v="O157 (100.0):H7 (100.0)"/>
    <s v="eae;O157;VT2;uidA"/>
    <x v="0"/>
  </r>
  <r>
    <x v="0"/>
    <s v="O157:H7"/>
    <s v="O157 (100.0):H7 (100.0)"/>
    <s v="eae;O157;VT2;uidA"/>
    <x v="5"/>
  </r>
  <r>
    <x v="0"/>
    <s v="O157:H7"/>
    <s v="O157 (100.0):H7 (100.0)"/>
    <s v="eae;O157;VT2;uidA"/>
    <x v="5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2;uidA"/>
    <x v="0"/>
  </r>
  <r>
    <x v="2"/>
    <s v="O157:H7"/>
    <s v="O157 (100.0):H7 (100.0)"/>
    <s v="eae;O157;VT1;VT2;uidA"/>
    <x v="9"/>
  </r>
  <r>
    <x v="2"/>
    <s v="O157:H7"/>
    <s v="O157 (100.0):H7 (100.0)"/>
    <s v="eae;O157;VT1;VT2;uidA"/>
    <x v="9"/>
  </r>
  <r>
    <x v="2"/>
    <s v="O157:H7"/>
    <s v="O157 (100.0):H7 (100.0)"/>
    <s v="eae;O157;VT1;VT2;uidA"/>
    <x v="9"/>
  </r>
  <r>
    <x v="2"/>
    <s v="O157:H7"/>
    <s v="O157 (100.0):H7 (100.0)"/>
    <s v="eae;O157;VT1;VT2;uidA"/>
    <x v="9"/>
  </r>
  <r>
    <x v="2"/>
    <s v="O157:H7"/>
    <s v="O157 (100.0):H7 (100.0)"/>
    <s v="eae;O157;VT1;VT2;uidA"/>
    <x v="9"/>
  </r>
  <r>
    <x v="2"/>
    <s v="O157:H7"/>
    <s v="O157 (100.0):H7 (100.0)"/>
    <s v="eae;O157;VT1;VT2;uidA"/>
    <x v="9"/>
  </r>
  <r>
    <x v="2"/>
    <s v="O157:H7"/>
    <s v="O157 (100.0):H7 (100.0)"/>
    <s v="eae;O157;VT2;uidA"/>
    <x v="0"/>
  </r>
  <r>
    <x v="2"/>
    <s v="O157:H7"/>
    <s v="O157 (100.0):H7 (100.0)"/>
    <s v="eae;VT1;VT2;uidA"/>
    <x v="9"/>
  </r>
  <r>
    <x v="2"/>
    <s v="O157:H7"/>
    <s v="O157 (100.0):H7 (100.0)"/>
    <s v="eae;O157;VT1;VT2;uidA"/>
    <x v="9"/>
  </r>
  <r>
    <x v="2"/>
    <s v="O157:H7"/>
    <s v="O-untypeable:H7"/>
    <s v="eae;hlyAEc;O157;VT1;VT2;uidA"/>
    <x v="1"/>
  </r>
  <r>
    <x v="2"/>
    <s v="O157:H7"/>
    <s v="O157 (100.0):H7 (100.0)ND"/>
    <s v="eae;O157;uidA"/>
    <x v="11"/>
  </r>
  <r>
    <x v="2"/>
    <s v="O157:H7"/>
    <s v="O157 (100.0):H7 (100.0)ND"/>
    <s v="eae;O157;uidA"/>
    <x v="1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ND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6"/>
    <s v="O157:H7"/>
    <s v="O157 (100.0):H7 (100.0)"/>
    <s v="eae;O157;VT1;VT2;uidA"/>
    <x v="1"/>
  </r>
  <r>
    <x v="2"/>
    <s v="O157:H7"/>
    <s v="O157 (100.0):H7 (100.0)"/>
    <s v="eae;O157;VT1;VT2;uidA"/>
    <x v="1"/>
  </r>
  <r>
    <x v="2"/>
    <s v="O157:H7"/>
    <s v="O157 (100.0):H7 (100.0)"/>
    <s v="eae;O157;VT1;VT2;uidA"/>
    <x v="1"/>
  </r>
  <r>
    <x v="1"/>
    <s v="O157:H7"/>
    <s v="O157 (100.0):H7 (100.0)"/>
    <s v="eae;O157;VT1;VT2;uidA"/>
    <x v="1"/>
  </r>
  <r>
    <x v="6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O157;VT1;VT2;uidA"/>
    <x v="1"/>
  </r>
  <r>
    <x v="1"/>
    <s v="O157:H7"/>
    <s v="O157 (100.0):H7 (100.0)"/>
    <s v="eae;hlyAEc;O157;VT1;VT2;uidA"/>
    <x v="1"/>
  </r>
  <r>
    <x v="3"/>
    <s v="OUT:H21"/>
    <s v="O-untypeable:H21 (98.64)"/>
    <s v="VT2;uidA"/>
    <x v="7"/>
  </r>
  <r>
    <x v="3"/>
    <s v="OUT:H21"/>
    <s v="O-untypeable:H21 (98.64)"/>
    <s v="VT2;uidA"/>
    <x v="7"/>
  </r>
  <r>
    <x v="3"/>
    <s v="OUT:H21"/>
    <s v="O-untypeable:H21 (98.64)"/>
    <s v="VT2;uidA"/>
    <x v="7"/>
  </r>
  <r>
    <x v="1"/>
    <s v="O108:H21"/>
    <s v="O-untypeable:H21 (98.64)"/>
    <s v="VT1(cc)"/>
    <x v="2"/>
  </r>
  <r>
    <x v="1"/>
    <s v="O75:H8"/>
    <s v="O75:H8"/>
    <s v="hlyAEc;VT1;VT2;uidA"/>
    <x v="12"/>
  </r>
  <r>
    <x v="1"/>
    <s v="O146:H8"/>
    <s v="O146:H8"/>
    <s v="VT1;uidA"/>
    <x v="2"/>
  </r>
  <r>
    <x v="1"/>
    <s v="O91:H14"/>
    <s v="O91:H14"/>
    <s v="hlyAEc;VT1;VT2;uidA"/>
    <x v="3"/>
  </r>
  <r>
    <x v="1"/>
    <s v="O8:H19"/>
    <s v="O8 (99.59):H19 (99.95)"/>
    <s v="uidA;VT2"/>
    <x v="0"/>
  </r>
  <r>
    <x v="1"/>
    <s v="O159:H19"/>
    <s v="O159 (99.86):H19 (99.89)"/>
    <s v="VT2;uidA"/>
    <x v="0"/>
  </r>
  <r>
    <x v="1"/>
    <s v="OUT:H2"/>
    <s v="O-untypeable:H2 (100.0)"/>
    <s v="VT2;uidA"/>
    <x v="5"/>
  </r>
  <r>
    <x v="1"/>
    <s v="OUT:H19"/>
    <s v="O-untypeable:H19 (99.89)"/>
    <s v="VT2;uidA"/>
    <x v="0"/>
  </r>
  <r>
    <x v="1"/>
    <s v="O104:H7"/>
    <s v="O104 (100.0):H7 (100.0)"/>
    <s v="VT1;uidA"/>
    <x v="2"/>
  </r>
  <r>
    <x v="1"/>
    <s v="O132:H18"/>
    <s v="O132 (99.92):H18 (97.54)"/>
    <s v="VT2;uidA"/>
    <x v="0"/>
  </r>
  <r>
    <x v="1"/>
    <s v="O76:H19"/>
    <s v="O76 (99.6):H19 (99.89)"/>
    <s v="hlyAEc;VT1;uidA"/>
    <x v="2"/>
  </r>
  <r>
    <x v="1"/>
    <s v="O128:H2"/>
    <s v="O128ab (100.0):H2 (100.0)"/>
    <s v="hlyAEc;VT1;VT2;uidA"/>
    <x v="8"/>
  </r>
  <r>
    <x v="1"/>
    <s v="O113:H4"/>
    <s v="O113 (99.83):H4 (100.0)"/>
    <s v="VT1;VT2;uidA"/>
    <x v="13"/>
  </r>
  <r>
    <x v="1"/>
    <s v="O91:H14"/>
    <s v="O-untypeable:H14 (98.85)"/>
    <s v="VT1;VT2;uidA"/>
    <x v="3"/>
  </r>
  <r>
    <x v="1"/>
    <s v="O88:H25"/>
    <s v="O88 (100.0):H25 (100.0)"/>
    <s v="hlyAEc;VT1;VT2;uidA"/>
    <x v="1"/>
  </r>
  <r>
    <x v="1"/>
    <s v="O157:H7"/>
    <s v="O157 (100.0):H7 (100.0)"/>
    <s v="eae;hlyAEc;O157;VT2;uidA"/>
    <x v="0"/>
  </r>
  <r>
    <x v="1"/>
    <s v="O91:H14"/>
    <s v="O91 (100.0):H14 (98.85)"/>
    <s v="VT1;VT2;uidA"/>
    <x v="3"/>
  </r>
  <r>
    <x v="1"/>
    <s v="O183:H18"/>
    <s v="O-untypeable:H18 (98.32)"/>
    <s v="hlyAEc;VT1;VT2;uidA"/>
    <x v="1"/>
  </r>
  <r>
    <x v="1"/>
    <s v="O128:H2"/>
    <s v="O128ac (100.0):H2 (100.0)"/>
    <s v="VT1;VT2;uidA"/>
    <x v="14"/>
  </r>
  <r>
    <x v="3"/>
    <s v="O8:H19"/>
    <s v="O8:H19"/>
    <s v="VT2;uidA"/>
    <x v="7"/>
  </r>
  <r>
    <x v="1"/>
    <s v="OUT:H2"/>
    <s v="O-untypeable:H2"/>
    <s v="hlyAEc;VT1;VT2;uidA"/>
    <x v="8"/>
  </r>
  <r>
    <x v="1"/>
    <s v="O176:H4"/>
    <s v="O176:H4"/>
    <s v="hlyAEc;VT1;uidA"/>
    <x v="2"/>
  </r>
  <r>
    <x v="1"/>
    <s v="O91:H14"/>
    <s v="O91:H14"/>
    <s v="VT1;VT2;uidA"/>
    <x v="3"/>
  </r>
  <r>
    <x v="1"/>
    <s v="O128:H2"/>
    <s v="O128:H2"/>
    <s v="VT1;VT2;uidA"/>
    <x v="8"/>
  </r>
  <r>
    <x v="1"/>
    <s v="O159:H19"/>
    <s v="O159:H19"/>
    <s v="VT2;uidA"/>
    <x v="15"/>
  </r>
  <r>
    <x v="1"/>
    <s v="OUT:H19"/>
    <s v="O-untypeable:H19"/>
    <s v="hlyAEc;VT1;VT2;uidA"/>
    <x v="8"/>
  </r>
  <r>
    <x v="1"/>
    <s v="O38:H26"/>
    <s v="O38:H26"/>
    <s v="hlyAEc;VT1;VT2;uidA"/>
    <x v="8"/>
  </r>
  <r>
    <x v="1"/>
    <s v="O15:H16"/>
    <s v="O15:H16"/>
    <s v="VT2;uidA"/>
    <x v="16"/>
  </r>
  <r>
    <x v="1"/>
    <s v="O128:H2"/>
    <s v="O128:H2"/>
    <s v="VT1;VT2;uidA"/>
    <x v="17"/>
  </r>
  <r>
    <x v="1"/>
    <s v="O91:H14"/>
    <s v="O91:H14"/>
    <s v="VT1;VT2;uidA"/>
    <x v="3"/>
  </r>
  <r>
    <x v="1"/>
    <s v="O6:H10"/>
    <s v="O6:H10"/>
    <s v="VT1;uidA"/>
    <x v="2"/>
  </r>
  <r>
    <x v="1"/>
    <s v="O98:H25"/>
    <s v="O98:H25"/>
    <s v="eae;hlyAEc;VT1;uidA"/>
    <x v="4"/>
  </r>
  <r>
    <x v="1"/>
    <s v="OUT:H2"/>
    <s v="O-untypeable:H2"/>
    <s v="VT2;uidA"/>
    <x v="5"/>
  </r>
  <r>
    <x v="1"/>
    <s v="O91:H14"/>
    <s v="O91:H14"/>
    <s v="VT1;VT2;uidA"/>
    <x v="3"/>
  </r>
  <r>
    <x v="1"/>
    <s v="O38:H26"/>
    <s v="O38:H26"/>
    <s v="hlyAEc;VT1;VT2;uidA"/>
    <x v="8"/>
  </r>
  <r>
    <x v="1"/>
    <s v="O157:H7"/>
    <s v="O157 (95.11):H7 (100.0)"/>
    <s v="eae;O157;VT2;uidA"/>
    <x v="0"/>
  </r>
  <r>
    <x v="3"/>
    <s v="OUT:H21"/>
    <s v="O-untypeable:H21"/>
    <s v="VT2;uidA"/>
    <x v="7"/>
  </r>
  <r>
    <x v="1"/>
    <s v="O98:H25"/>
    <s v="O98:H25"/>
    <s v="eae;hlyAEc;VT1;uidA"/>
    <x v="4"/>
  </r>
  <r>
    <x v="1"/>
    <s v="O8:H23"/>
    <s v="O8:H23"/>
    <s v="VT1;uidA"/>
    <x v="4"/>
  </r>
  <r>
    <x v="1"/>
    <s v="O128:H2"/>
    <s v="O128:H2"/>
    <s v="hlyAEc;VT1;VT2;uidA"/>
    <x v="8"/>
  </r>
  <r>
    <x v="1"/>
    <s v="O5:H19"/>
    <s v="O5:H19"/>
    <s v="hlyAEc;VT1;uidA"/>
    <x v="2"/>
  </r>
  <r>
    <x v="1"/>
    <s v="OUT:H29"/>
    <s v="O-untypeable:H29"/>
    <s v="VT2;uidA"/>
    <x v="18"/>
  </r>
  <r>
    <x v="1"/>
    <s v="O38:H26"/>
    <s v="O38:H26"/>
    <s v="hlyAEc;VT1;VT2;uidA"/>
    <x v="8"/>
  </r>
  <r>
    <x v="1"/>
    <s v="O91:H14"/>
    <s v="O91:H14"/>
    <s v="hlyAEc;VT2;uidA"/>
    <x v="18"/>
  </r>
  <r>
    <x v="1"/>
    <s v="O146:H8"/>
    <s v="O146:H8"/>
    <s v="VT1;uidA"/>
    <x v="2"/>
  </r>
  <r>
    <x v="1"/>
    <s v="OUT:H8"/>
    <s v="O-untypeable:H8"/>
    <s v="VT1;VT2;uidA"/>
    <x v="8"/>
  </r>
  <r>
    <x v="1"/>
    <s v="O91:H14"/>
    <s v="O91:H14"/>
    <s v="hlyAEc;VT1;VT2;uidA"/>
    <x v="3"/>
  </r>
  <r>
    <x v="1"/>
    <s v="O128:H2"/>
    <s v="O128:H2"/>
    <s v="hlyAEc;VT1;VT2;uidA"/>
    <x v="8"/>
  </r>
  <r>
    <x v="1"/>
    <s v="O181:H16"/>
    <s v="O181:H16"/>
    <s v="hlyAEc;VT1;VT2;uidA"/>
    <x v="8"/>
  </r>
  <r>
    <x v="1"/>
    <s v="O91:H14"/>
    <s v="O91:H14"/>
    <s v="VT1;VT2;uidA"/>
    <x v="3"/>
  </r>
  <r>
    <x v="1"/>
    <s v="O91:H14"/>
    <s v="O91:H14"/>
    <s v="VT1;VT2;uidA"/>
    <x v="3"/>
  </r>
  <r>
    <x v="1"/>
    <s v="O91:H14"/>
    <s v="O91:H14"/>
    <s v="VT1;VT2;uidA"/>
    <x v="3"/>
  </r>
  <r>
    <x v="1"/>
    <s v="O91:H14"/>
    <s v="O91:H14"/>
    <s v="hlyAEc;VT2;uidA"/>
    <x v="18"/>
  </r>
  <r>
    <x v="1"/>
    <s v="O176:H4"/>
    <s v="O176:H4"/>
    <s v="hlyAEc;VT1;VT2;uidA"/>
    <x v="8"/>
  </r>
  <r>
    <x v="1"/>
    <s v="O5:H19"/>
    <s v="O5:H19"/>
    <s v="hlyAEc;VT1;VT2;uidA"/>
    <x v="8"/>
  </r>
  <r>
    <x v="1"/>
    <s v="O153:H25"/>
    <s v="O153:H25"/>
    <s v="VT2;uidA"/>
    <x v="18"/>
  </r>
  <r>
    <x v="1"/>
    <s v="OUT:H8"/>
    <s v="O-untypeable:H8"/>
    <s v="VT1;uidA"/>
    <x v="2"/>
  </r>
  <r>
    <x v="1"/>
    <s v="OUT:H10"/>
    <s v="O-untypeable:H10"/>
    <s v="hlyAEc;VT1;VT2;uidA"/>
    <x v="8"/>
  </r>
  <r>
    <x v="1"/>
    <s v="O123:H10"/>
    <s v="O123:H10"/>
    <s v="hlyAEc;VT1;VT2;uidA"/>
    <x v="8"/>
  </r>
  <r>
    <x v="1"/>
    <s v="O91:H14"/>
    <s v="O91:H14"/>
    <s v="hlyAEc;VT1;VT2;uidA"/>
    <x v="3"/>
  </r>
  <r>
    <x v="1"/>
    <s v="O104:H7"/>
    <s v="O-untypeable:H7"/>
    <s v="VT1;uidA"/>
    <x v="2"/>
  </r>
  <r>
    <x v="1"/>
    <s v="O55:H12"/>
    <s v="O55:H12"/>
    <s v="VT1;uidA"/>
    <x v="4"/>
  </r>
  <r>
    <x v="1"/>
    <s v="O87:H16"/>
    <s v="O87:H16"/>
    <s v="VT2;uidA"/>
    <x v="18"/>
  </r>
  <r>
    <x v="1"/>
    <s v="O76:H19"/>
    <s v="O76:H19"/>
    <s v="hlyAEc;VT2;uidA"/>
    <x v="18"/>
  </r>
  <r>
    <x v="1"/>
    <s v="O128:H2"/>
    <s v="O128:H2"/>
    <s v="VT1;VT2;uidA"/>
    <x v="8"/>
  </r>
  <r>
    <x v="1"/>
    <s v="O171:H2"/>
    <s v="O171:H2"/>
    <s v="VT2;uidA"/>
    <x v="6"/>
  </r>
  <r>
    <x v="1"/>
    <s v="O128:H2"/>
    <s v="O128:H2"/>
    <s v="hlyAEc;VT1;VT2;uidA"/>
    <x v="8"/>
  </r>
  <r>
    <x v="1"/>
    <s v="O5:H9"/>
    <s v="O5:H9"/>
    <s v="eae;hlyAEc;VT1;uidA"/>
    <x v="4"/>
  </r>
  <r>
    <x v="1"/>
    <s v="O157:H7"/>
    <s v="O157 (100.0):H7 (100.0)"/>
    <s v="eae;hlyAEc;O157;VT2;uidA"/>
    <x v="0"/>
  </r>
  <r>
    <x v="1"/>
    <s v="O128:H2"/>
    <s v="O128:H2"/>
    <s v="hlyAEc;VT1;VT2;uidA"/>
    <x v="8"/>
  </r>
  <r>
    <x v="1"/>
    <s v="O128:H2"/>
    <s v="O128:H2"/>
    <s v="VT1;VT2;uidA"/>
    <x v="8"/>
  </r>
  <r>
    <x v="3"/>
    <s v="O9:H30"/>
    <s v="O9:H30"/>
    <s v="VT2;uidA"/>
    <x v="7"/>
  </r>
  <r>
    <x v="3"/>
    <s v="OUT:H8"/>
    <s v="O-untypeable:H8"/>
    <s v="VT1;uidA"/>
    <x v="2"/>
  </r>
  <r>
    <x v="1"/>
    <s v="O157:H7"/>
    <s v="O157 (100.0):H7 (100.0)"/>
    <s v="eae;O157;VT2;uidA"/>
    <x v="0"/>
  </r>
  <r>
    <x v="1"/>
    <s v="O157:H7"/>
    <s v="O157 (100.0):H7 (100.0)"/>
    <s v="eae;O157;VT2;uidA"/>
    <x v="0"/>
  </r>
  <r>
    <x v="1"/>
    <s v="O174:H21"/>
    <s v="O-untypeable:H21"/>
    <s v="VT2;uidA"/>
    <x v="5"/>
  </r>
  <r>
    <x v="1"/>
    <s v="O157:H7"/>
    <s v="ND"/>
    <s v="eae;O157;VT2;uidA"/>
    <x v="0"/>
  </r>
  <r>
    <x v="1"/>
    <s v="OUT:H2"/>
    <s v="O-untypeable:H2"/>
    <s v="VT2;uidA"/>
    <x v="6"/>
  </r>
  <r>
    <x v="1"/>
    <s v="O157:H7"/>
    <s v="O157 (100.0):H7 (100.0)"/>
    <s v="eae;O157;VT2;uidA"/>
    <x v="0"/>
  </r>
  <r>
    <x v="1"/>
    <s v="O157:H7"/>
    <s v="O157 (100.0):H7 (100.0)"/>
    <s v="eae;O157;VT2;uidA"/>
    <x v="0"/>
  </r>
  <r>
    <x v="3"/>
    <s v="O91:H14"/>
    <s v="O-untypeable:H14"/>
    <s v="VT1;VT2;uidA"/>
    <x v="3"/>
  </r>
  <r>
    <x v="1"/>
    <s v="O157:H7"/>
    <s v="O157 (100.0):H7 (100.0)"/>
    <s v="eae;O157;VT2;uidA"/>
    <x v="0"/>
  </r>
  <r>
    <x v="1"/>
    <s v="O157:H7"/>
    <s v="O157 (100.0):H7 (100.0)"/>
    <s v="eae;O157;VT2;uidA"/>
    <x v="0"/>
  </r>
  <r>
    <x v="1"/>
    <s v="OUT:H29"/>
    <s v="O-untypeable:H29"/>
    <s v="VT2;uidA"/>
    <x v="19"/>
  </r>
  <r>
    <x v="3"/>
    <s v="O146:H8"/>
    <s v="O146:H8"/>
    <s v="VT1;uidA"/>
    <x v="2"/>
  </r>
  <r>
    <x v="2"/>
    <s v="O22:H8"/>
    <s v="O22 (98.06):H8 (100.0)"/>
    <s v="VT1;VT2;uidA"/>
    <x v="8"/>
  </r>
  <r>
    <x v="2"/>
    <s v="O145:H34"/>
    <s v="O145 (99.84):H34 (98.9)"/>
    <s v="eae;O145;VT2;VT2f;uidA"/>
    <x v="20"/>
  </r>
  <r>
    <x v="1"/>
    <s v="O157:H7"/>
    <s v="O157 (100.0):H7 (100.0)"/>
    <s v="eae;O157;VT2;uidA"/>
    <x v="0"/>
  </r>
  <r>
    <x v="1"/>
    <s v="O157:H7"/>
    <s v="O157 (100.0):H7 (100.0)"/>
    <s v="eae;O157;VT2;uidA"/>
    <x v="0"/>
  </r>
  <r>
    <x v="1"/>
    <s v="O157:H7"/>
    <s v="O157 (100.0):H7 (100.0)"/>
    <s v="eae,O157,VT1,VT2,uidA"/>
    <x v="21"/>
  </r>
  <r>
    <x v="4"/>
    <s v="O157:H7"/>
    <s v="O157 (100.0):H7 (100.0)"/>
    <s v="eae;hlyAEc;O157;VT2;uidA"/>
    <x v="0"/>
  </r>
  <r>
    <x v="2"/>
    <s v="O91:H21"/>
    <s v="O91 (100.0):H21 (98.64)"/>
    <s v="VT2;uidA"/>
    <x v="6"/>
  </r>
  <r>
    <x v="4"/>
    <s v="O157:H7"/>
    <s v="O157 (100.0):H7 (100.0)"/>
    <s v="eae;hlyAEc;O157;VT2;uidA"/>
    <x v="0"/>
  </r>
  <r>
    <x v="2"/>
    <s v="O171:H2"/>
    <s v="O171 (99.91):H2 (100.0)"/>
    <s v="VT2;uidA"/>
    <x v="22"/>
  </r>
  <r>
    <x v="2"/>
    <s v="O139:H1"/>
    <s v="O139 (100.0):H1 (98.27)"/>
    <s v="VT2;uidA"/>
    <x v="23"/>
  </r>
  <r>
    <x v="2"/>
    <s v="O154:H31"/>
    <s v="- (-):H31 (99.04)"/>
    <s v="VT1;uidA"/>
    <x v="24"/>
  </r>
  <r>
    <x v="2"/>
    <s v="O146:H21"/>
    <s v="O146 (100.0):H21 (98.64)ND"/>
    <s v="VT1;VT2;uidA"/>
    <x v="25"/>
  </r>
  <r>
    <x v="2"/>
    <s v="O48:H21"/>
    <s v="O48 (99.91):H21 (98.64)"/>
    <s v="VT1"/>
    <x v="1"/>
  </r>
  <r>
    <x v="2"/>
    <s v="OUT:H21"/>
    <s v="O-untypeable:H21 (98.64)"/>
    <s v="VT2;uidA"/>
    <x v="18"/>
  </r>
  <r>
    <x v="2"/>
    <s v="O118:H12"/>
    <s v="O118/O151;O151 (100.0):H12 (99.94)"/>
    <s v="VT2;uidA"/>
    <x v="18"/>
  </r>
  <r>
    <x v="2"/>
    <s v="O17:H18"/>
    <s v="O17/O44 (100.0):H18 (100.0)"/>
    <s v="VT2"/>
    <x v="6"/>
  </r>
  <r>
    <x v="2"/>
    <s v="O2:H25"/>
    <s v="O2 (98.55):H25 (97.37)"/>
    <s v="VT2;uidA"/>
    <x v="16"/>
  </r>
  <r>
    <x v="1"/>
    <s v="O157:H7"/>
    <s v="O157:H7"/>
    <s v="eae;hlyAEc;O157;VT1;VT2;uidA"/>
    <x v="1"/>
  </r>
  <r>
    <x v="1"/>
    <s v="O157:H7"/>
    <s v="O157:H7"/>
    <s v="eae;hlyAEc;O157;VT1;VT2;uidA"/>
    <x v="1"/>
  </r>
  <r>
    <x v="1"/>
    <s v="O157:H7"/>
    <s v="O157:H7"/>
    <s v="eae;hlyAEc;O157;VT2;uidA"/>
    <x v="0"/>
  </r>
  <r>
    <x v="1"/>
    <s v="O157:H7"/>
    <s v="O157:H7"/>
    <s v="eae;hlyAEc;O157;VT2;uidA"/>
    <x v="0"/>
  </r>
  <r>
    <x v="2"/>
    <s v="O157:H7"/>
    <s v="O157 (100.0):H7 (100.0)"/>
    <s v="eae;O157;VT1;VT2;uidA"/>
    <x v="1"/>
  </r>
  <r>
    <x v="2"/>
    <s v="O8:H19"/>
    <s v="O8 (99.59):H19 (98.58)"/>
    <s v="VT1(cc)"/>
    <x v="24"/>
  </r>
  <r>
    <x v="2"/>
    <s v="O128:H2"/>
    <s v="O128ab (100.0):H2 (100.0)"/>
    <s v="eae;VT2f"/>
    <x v="20"/>
  </r>
  <r>
    <x v="2"/>
    <s v="O174:H8"/>
    <s v="O174 (98.25):H8 (100.0)"/>
    <s v="VT1(cc);VT2(cc)"/>
    <x v="8"/>
  </r>
  <r>
    <x v="2"/>
    <s v="O139:H1"/>
    <s v="O139 (100.0):H1 (98.27)"/>
    <s v="VT2(cc)"/>
    <x v="23"/>
  </r>
  <r>
    <x v="2"/>
    <s v="OUT:H15"/>
    <s v="O166 (99.6):H15 (100.0)ND"/>
    <s v="VT2;uidA"/>
    <x v="6"/>
  </r>
  <r>
    <x v="2"/>
    <s v="O128:H2"/>
    <s v="O128ac;O128ab (100.0):H2 (100.0)"/>
    <s v="VT1;uidA"/>
    <x v="2"/>
  </r>
  <r>
    <x v="2"/>
    <s v="O103:H2"/>
    <s v="O103 (100.0):H2 (100.0)"/>
    <s v="eae;VT1;uidA"/>
    <x v="4"/>
  </r>
  <r>
    <x v="2"/>
    <s v="OUT:H26"/>
    <s v="O-untypeable:H26 (98.45)ND"/>
    <s v="VT1;uidA"/>
    <x v="24"/>
  </r>
  <r>
    <x v="2"/>
    <s v="O111:H8"/>
    <s v="O111 (100.0):H8 (100.0)"/>
    <s v="eae;O111;VT1;uidA"/>
    <x v="4"/>
  </r>
  <r>
    <x v="2"/>
    <s v="O146:H21"/>
    <s v="O146 (100.0):H21 (98.64)ND"/>
    <s v="VT2;uidA"/>
    <x v="6"/>
  </r>
  <r>
    <x v="2"/>
    <s v="O124:H30"/>
    <s v="O124 (100.0):H30 (100.0)"/>
    <s v="uidA"/>
    <x v="11"/>
  </r>
  <r>
    <x v="2"/>
    <s v="O26:H11"/>
    <s v="O26 (100.0):H11 (99.39)"/>
    <s v="eae;O26;VT2;uidA"/>
    <x v="0"/>
  </r>
  <r>
    <x v="2"/>
    <s v="O121:H19"/>
    <s v="O121 (100.0):H19 (98.31)ND"/>
    <s v="eae;O121;VT2;uidA"/>
    <x v="0"/>
  </r>
  <r>
    <x v="2"/>
    <s v="O78:H11"/>
    <s v="O78 (99.93):H11 (99.45)ND"/>
    <s v="uidA"/>
    <x v="11"/>
  </r>
  <r>
    <x v="2"/>
    <s v="O104:H4"/>
    <s v="O104 (100.0):H4 (100.0)"/>
    <s v="aggR;uidA"/>
    <x v="11"/>
  </r>
  <r>
    <x v="2"/>
    <s v="O166:H15"/>
    <s v="O166 (99.6):H15 (100.0)"/>
    <s v="VT2;uidA"/>
    <x v="6"/>
  </r>
  <r>
    <x v="2"/>
    <s v="O177:H25"/>
    <s v="O177 (100.0):H25 (96.7)ND"/>
    <s v="eae;uidA"/>
    <x v="11"/>
  </r>
  <r>
    <x v="2"/>
    <s v="O113:H4"/>
    <s v="O113 (99.83):H4 (100.0)"/>
    <s v="VT1;VT2;uidA"/>
    <x v="8"/>
  </r>
  <r>
    <x v="5"/>
    <s v="OUT:H18"/>
    <s v="ND"/>
    <s v="VT1;VT2;uidA"/>
    <x v="1"/>
  </r>
  <r>
    <x v="5"/>
    <s v="OUT:H18"/>
    <s v="- (-):H18 (98.38)"/>
    <s v="VT1;VT2;uidA"/>
    <x v="1"/>
  </r>
  <r>
    <x v="2"/>
    <s v="O157:H7"/>
    <s v="O157 (100.0):H7 (100.0)ND"/>
    <s v="eae;O157;VT2;uidA"/>
    <x v="5"/>
  </r>
  <r>
    <x v="5"/>
    <s v="OUT:H18"/>
    <s v="- (-):H18 (98.38)"/>
    <s v="VT1;VT2;uidA"/>
    <x v="1"/>
  </r>
  <r>
    <x v="5"/>
    <s v="OUT:H18"/>
    <s v="- (-):H18 (98.38)"/>
    <s v="VT1;VT2;uidA"/>
    <x v="1"/>
  </r>
  <r>
    <x v="5"/>
    <s v="O174:H21"/>
    <s v="O174 (98.25):H21 (98.64)"/>
    <s v="VT2"/>
    <x v="5"/>
  </r>
  <r>
    <x v="5"/>
    <s v="O168:H8"/>
    <s v="O168 (100.0):H8 (100.0)"/>
    <s v="VT2"/>
    <x v="0"/>
  </r>
  <r>
    <x v="5"/>
    <s v="O168:H8"/>
    <s v="O168 (100.0):H8 (100.0)ND"/>
    <s v="VT2;uidA"/>
    <x v="0"/>
  </r>
  <r>
    <x v="2"/>
    <s v="O111:H8"/>
    <s v="O111 (100.0):H8 (100.0)ND"/>
    <s v="eae;O111;VT1;uidA"/>
    <x v="4"/>
  </r>
  <r>
    <x v="2"/>
    <s v="OUT:H14"/>
    <s v="O91 (99.92):H14 (98.85)ND"/>
    <s v="VT2;uidA"/>
    <x v="18"/>
  </r>
  <r>
    <x v="2"/>
    <s v="O121:H19"/>
    <s v="O121 (100.0):H19 (98.31)ND"/>
    <s v="eae;O121;VT2;uidA"/>
    <x v="0"/>
  </r>
  <r>
    <x v="2"/>
    <s v="O166:H15"/>
    <s v="O166 (99.6):H15 (100.0)"/>
    <s v="VT2;uidA"/>
    <x v="6"/>
  </r>
  <r>
    <x v="2"/>
    <s v="O103:H2"/>
    <s v="O103 (100.0):H2 (100.0)"/>
    <s v="eae;VT1;uidA"/>
    <x v="4"/>
  </r>
  <r>
    <x v="2"/>
    <s v="O157:H7"/>
    <s v="O157 (100.0):H7 (100.0)"/>
    <s v="eae;O157;VT2;uidA"/>
    <x v="0"/>
  </r>
  <r>
    <x v="2"/>
    <s v="OUT:H7"/>
    <s v="O55 (100.0):H7 (100.0)"/>
    <s v="eae;VT1;uidA"/>
    <x v="4"/>
  </r>
  <r>
    <x v="2"/>
    <s v="O26:H11"/>
    <s v="ND"/>
    <s v="eae;O26;VT1;uidA"/>
    <x v="4"/>
  </r>
  <r>
    <x v="2"/>
    <s v="O145:H34"/>
    <s v="O145 (99.84):H34 (98.9)"/>
    <s v="eae;O145;VT2;VT2f;uidA"/>
    <x v="20"/>
  </r>
  <r>
    <x v="2"/>
    <s v="O78:H2"/>
    <s v="O78 (100.0):H2 (99.2)"/>
    <s v="aggR;uidA"/>
    <x v="11"/>
  </r>
  <r>
    <x v="2"/>
    <s v="O111:H8"/>
    <s v="O111 (100.0):H8 (100.0)"/>
    <s v="eae;O111;VT1;uidA"/>
    <x v="4"/>
  </r>
  <r>
    <x v="2"/>
    <s v="OUT:H11"/>
    <s v="O26 (100.0):H11 (99.39)"/>
    <s v="eae;O26;VT2;uidA"/>
    <x v="0"/>
  </r>
  <r>
    <x v="2"/>
    <s v="OUT:H21"/>
    <s v="O-untypeable:H21 (98.64)"/>
    <s v="VT2;uidA"/>
    <x v="18"/>
  </r>
  <r>
    <x v="2"/>
    <s v="O22:H8"/>
    <s v="O22 (98.06):H8 (100.0)"/>
    <s v="VT1;VT2;uidA"/>
    <x v="8"/>
  </r>
  <r>
    <x v="2"/>
    <s v="O8:H10"/>
    <s v="O8 (99.5):H10 (99.84)"/>
    <s v="VT2;uidA"/>
    <x v="23"/>
  </r>
  <r>
    <x v="2"/>
    <s v="O157:H7"/>
    <s v="O157 (100.0):H7 (100.0)"/>
    <s v="eae;O157;VT2;uidA"/>
    <x v="5"/>
  </r>
  <r>
    <x v="2"/>
    <s v="O157:H7"/>
    <s v="O157 (100.0):H7 (100.0)"/>
    <s v="eae;O157;VT2;uidA"/>
    <x v="0"/>
  </r>
  <r>
    <x v="2"/>
    <s v="O157:H7"/>
    <s v="O157 (100.0):H7 (100.0)ND"/>
    <s v="eae;O157;VT2;uidA"/>
    <x v="0"/>
  </r>
  <r>
    <x v="2"/>
    <s v="O157:H7"/>
    <s v="O157 (100.0):H7 (100.0)"/>
    <s v="eae;O157;VT2;uidA"/>
    <x v="0"/>
  </r>
  <r>
    <x v="2"/>
    <s v="OUT:H2"/>
    <s v="O128ab;O128ac (100.0):H2 (100.0)"/>
    <s v="eae;VT2;VT2f;uidA"/>
    <x v="20"/>
  </r>
  <r>
    <x v="2"/>
    <s v="O2:H25"/>
    <s v="O2 (98.55):H25 (97.37)"/>
    <s v="VT2;uidA"/>
    <x v="16"/>
  </r>
  <r>
    <x v="5"/>
    <s v="O185:H7"/>
    <s v="O185 (98.91):H7 (100.0)"/>
    <s v="VT2;uidA"/>
    <x v="5"/>
  </r>
  <r>
    <x v="2"/>
    <s v="O157:H7"/>
    <s v="O157 (100.0):H7 (100.0)ND"/>
    <s v="eae;O157;VT2;uidA"/>
    <x v="26"/>
  </r>
  <r>
    <x v="5"/>
    <s v="O185:H7"/>
    <s v="O185 (98.91):H7 (100.0)"/>
    <s v="VT2;uidA"/>
    <x v="5"/>
  </r>
  <r>
    <x v="1"/>
    <s v="O113:H21"/>
    <s v="O113 (100.0):H21 (98.64)"/>
    <s v="VT2;uidA"/>
    <x v="6"/>
  </r>
  <r>
    <x v="1"/>
    <s v="O113:H21"/>
    <s v="O113 (100.0):H21 (98.64)"/>
    <s v="VT2;uidA"/>
    <x v="6"/>
  </r>
  <r>
    <x v="6"/>
    <s v="O146:H32"/>
    <s v="O146 (99.35):H32 (100.0)ND"/>
    <s v="VT2;uidA"/>
    <x v="0"/>
  </r>
  <r>
    <x v="6"/>
    <s v="O146:H32"/>
    <s v="O146 (99.66):H32 (100.0)ND"/>
    <s v="VT2;uidA"/>
    <x v="0"/>
  </r>
  <r>
    <x v="2"/>
    <s v="O157:H7"/>
    <s v="O157 (100.0):H7 (100.0)"/>
    <s v="eae;O157;VT1;VT2;uidA"/>
    <x v="1"/>
  </r>
  <r>
    <x v="2"/>
    <s v="O166:H15"/>
    <s v="O166 (99.6):H15 (100.0)"/>
    <s v="VT2;uidA"/>
    <x v="6"/>
  </r>
  <r>
    <x v="2"/>
    <s v="O104:H7"/>
    <s v="O104 (100.0):H7 (100.0)ND"/>
    <s v="VT1;uidA"/>
    <x v="2"/>
  </r>
  <r>
    <x v="2"/>
    <s v="O111:H8"/>
    <s v="O111 (100.0):H8 (100.0)"/>
    <s v="eae;O111;VT1;uidA"/>
    <x v="4"/>
  </r>
  <r>
    <x v="2"/>
    <s v="O121:H19"/>
    <s v="O121 (100.0):H19 (98.31)"/>
    <s v="eae;O121;VT2;uidA"/>
    <x v="0"/>
  </r>
  <r>
    <x v="2"/>
    <s v="O26:H11"/>
    <s v="O26 (100.0):H11 (99.39)"/>
    <s v="eae;O26;VT2;uidA"/>
    <x v="0"/>
  </r>
  <r>
    <x v="2"/>
    <s v="O63:H6"/>
    <s v="O63 (99.92):H6 (99.82)"/>
    <s v="eae;VT2;VT2f;uidA"/>
    <x v="20"/>
  </r>
  <r>
    <x v="2"/>
    <s v="OUT:H21"/>
    <s v="O-untypeable:H21 (98.64)"/>
    <s v="VT2;uidA"/>
    <x v="18"/>
  </r>
  <r>
    <x v="2"/>
    <s v="OUT:H26"/>
    <s v="O-untypeable:H26 (98.45)"/>
    <s v="VT1;uidA"/>
    <x v="24"/>
  </r>
  <r>
    <x v="5"/>
    <s v="O159:H19"/>
    <s v="O159 (99.86):H19 (99.89)ND"/>
    <s v="VT2;uidA"/>
    <x v="0"/>
  </r>
  <r>
    <x v="5"/>
    <s v="O159:H19"/>
    <s v="O159 (99.86):H19 (99.89)ND"/>
    <s v="VT2;uidA"/>
    <x v="0"/>
  </r>
  <r>
    <x v="5"/>
    <s v="O159:H19"/>
    <s v="O159 (99.86):H19 (99.89)ND"/>
    <s v="VT2;uidA"/>
    <x v="0"/>
  </r>
  <r>
    <x v="5"/>
    <s v="O159:H19"/>
    <s v="O159 (99.86):H19 (99.89)ND"/>
    <s v="VT2;uidA"/>
    <x v="0"/>
  </r>
  <r>
    <x v="5"/>
    <s v="O159:H19"/>
    <s v="O159 (99.86):H19 (99.89)ND"/>
    <s v="VT2;uidA"/>
    <x v="0"/>
  </r>
  <r>
    <x v="1"/>
    <s v="OUT:H26"/>
    <s v="- (-):H26 (100.0)"/>
    <s v="VT2;uidA"/>
    <x v="23"/>
  </r>
  <r>
    <x v="1"/>
    <s v="O121:H10"/>
    <s v="O121 (100.0):H10 (99.13)"/>
    <s v="O121;VT2;uidA"/>
    <x v="23"/>
  </r>
  <r>
    <x v="1"/>
    <s v="O121:H10"/>
    <s v="O121 (100.0):H10 (99.13)"/>
    <s v="O121;VT2;uidA"/>
    <x v="23"/>
  </r>
  <r>
    <x v="1"/>
    <s v="O121:H10"/>
    <s v="O121 (100.0):H10 (99.13)"/>
    <s v="O121;VT2;uidA"/>
    <x v="23"/>
  </r>
  <r>
    <x v="1"/>
    <s v="O36:HUT"/>
    <s v="O36 (99.68):H-untypeable"/>
    <s v="VT2;uidA"/>
    <x v="23"/>
  </r>
  <r>
    <x v="1"/>
    <s v="OUT:H38"/>
    <s v="O-untypeable:H38 (99.93)"/>
    <s v="VT2;uidA"/>
    <x v="23"/>
  </r>
  <r>
    <x v="1"/>
    <s v="O91:H14"/>
    <s v="O91 (100.0):H14 (98.85)"/>
    <s v="VT1;uidA"/>
    <x v="4"/>
  </r>
  <r>
    <x v="1"/>
    <s v="O91:H14"/>
    <s v="O91 (99.92):H14 (98.85)"/>
    <s v="VT1;uidA"/>
    <x v="4"/>
  </r>
  <r>
    <x v="1"/>
    <s v="O91:H14"/>
    <s v="O91 (99.92):H14 (98.85)"/>
    <s v="VT1;uidA"/>
    <x v="4"/>
  </r>
  <r>
    <x v="1"/>
    <s v="O91:H14"/>
    <s v="O91 (99.92):H14 (98.85)"/>
    <s v="VT1;uidA"/>
    <x v="4"/>
  </r>
  <r>
    <x v="1"/>
    <s v="O91:H14"/>
    <s v="O91 (99.92):H14 (98.85)"/>
    <s v="VT1;uidA"/>
    <x v="4"/>
  </r>
  <r>
    <x v="1"/>
    <s v="O91:H14"/>
    <s v="O91 (99.92):H14 (98.85)"/>
    <s v="VT1;uidA"/>
    <x v="4"/>
  </r>
  <r>
    <x v="1"/>
    <s v="O163:H19"/>
    <s v="O163 (100.0):H19 (99.89)ND"/>
    <s v="VT1;uidA"/>
    <x v="4"/>
  </r>
  <r>
    <x v="1"/>
    <s v="O86:H32"/>
    <s v="O86 (100.0):H32 (99.82)ND"/>
    <s v="VT2;uidA"/>
    <x v="23"/>
  </r>
  <r>
    <x v="1"/>
    <s v="O91:H14"/>
    <s v="O91 (100.0):H14 (98.85)"/>
    <s v="VT1;uidA"/>
    <x v="4"/>
  </r>
  <r>
    <x v="1"/>
    <s v="O132:H18"/>
    <s v="O132 (99.92):H18 (97.54)"/>
    <s v="VT2;uidA"/>
    <x v="0"/>
  </r>
  <r>
    <x v="1"/>
    <s v="O132:H18"/>
    <s v="O132 (99.92):H18 (97.54)"/>
    <s v="VT2;uidA"/>
    <x v="0"/>
  </r>
  <r>
    <x v="1"/>
    <s v="O132:H18"/>
    <s v="O132 (99.92):H18 (97.54)"/>
    <s v="VT2;uidA"/>
    <x v="0"/>
  </r>
  <r>
    <x v="1"/>
    <s v="O91:H14"/>
    <s v="O91 (100.0):H14 (98.85)"/>
    <s v="VT1;uidA"/>
    <x v="4"/>
  </r>
  <r>
    <x v="1"/>
    <s v="O163:H19"/>
    <s v="O163 (100.0):H19 (99.89)"/>
    <s v="VT1;uidA"/>
    <x v="4"/>
  </r>
  <r>
    <x v="1"/>
    <s v="O115:H10"/>
    <s v="O115 (100.0):H10 (99.37)"/>
    <s v="VT1;uidA"/>
    <x v="4"/>
  </r>
  <r>
    <x v="1"/>
    <s v="O113:H21"/>
    <s v="O113 (100.0):H21 (98.64)"/>
    <s v="VT2"/>
    <x v="6"/>
  </r>
  <r>
    <x v="1"/>
    <s v="O176:H4"/>
    <s v="O176 (100.0):H4 (99.9)"/>
    <s v="VT1(cc)"/>
    <x v="2"/>
  </r>
  <r>
    <x v="1"/>
    <s v="O87:H16"/>
    <s v="O87 (100.0):H16 (99.94)"/>
    <s v="VT2"/>
    <x v="18"/>
  </r>
  <r>
    <x v="1"/>
    <s v="O113:H21"/>
    <s v="O113 (100.0):H21 (98.64)"/>
    <s v="VT2"/>
    <x v="6"/>
  </r>
  <r>
    <x v="1"/>
    <s v="O113:H4"/>
    <s v="O113 (93.04):H4 (100.0)"/>
    <s v="VT2;uidA"/>
    <x v="6"/>
  </r>
  <r>
    <x v="5"/>
    <s v="O132:H18"/>
    <s v="ND"/>
    <s v="VT2"/>
    <x v="0"/>
  </r>
  <r>
    <x v="1"/>
    <s v="O178:H19"/>
    <s v="O153/O178 (100.0):H19 (99.95)"/>
    <s v="VT1;VT2;uidA"/>
    <x v="1"/>
  </r>
  <r>
    <x v="1"/>
    <s v="O178:H19"/>
    <s v="O-untypeable:H19 (99.89)"/>
    <s v="VT1;VT2;uidA"/>
    <x v="1"/>
  </r>
  <r>
    <x v="5"/>
    <s v="O142:H38"/>
    <s v="O142 (99.92):H38 (99.78)"/>
    <s v="VT1(cc);uidA"/>
    <x v="24"/>
  </r>
  <r>
    <x v="1"/>
    <s v="O109:H5"/>
    <s v="O109 (99.78):H5 (100.0)ND"/>
    <s v="VT1;uidA"/>
    <x v="4"/>
  </r>
  <r>
    <x v="1"/>
    <s v="O8:H2"/>
    <s v="O8 (99.59):H2 (100.0)"/>
    <s v="VT2;uidA"/>
    <x v="18"/>
  </r>
  <r>
    <x v="1"/>
    <s v="O8:H2"/>
    <s v="O8 (99.59):H2 (100.0)"/>
    <s v="VT2;uidA"/>
    <x v="18"/>
  </r>
  <r>
    <x v="1"/>
    <s v="O8:H2"/>
    <s v="O8 (99.59):H2 (100.0)"/>
    <s v="VT2;uidA"/>
    <x v="18"/>
  </r>
  <r>
    <x v="1"/>
    <s v="O8:H2"/>
    <s v="O8 (99.59):H2 (100.0)"/>
    <s v="VT2;uidA;IGS"/>
    <x v="18"/>
  </r>
  <r>
    <x v="1"/>
    <s v="O8:H2"/>
    <s v="O8 (99.59):H2 (100.0)"/>
    <s v="VT2;uidA"/>
    <x v="18"/>
  </r>
  <r>
    <x v="1"/>
    <s v="O55:H12"/>
    <s v="O55 (100.0):H12 (99.89)ND"/>
    <s v="VT1;uidA"/>
    <x v="4"/>
  </r>
  <r>
    <x v="1"/>
    <s v="O116:H16"/>
    <s v="O116 (99.86):H16 (99.94)ND"/>
    <s v="VT2;uidA"/>
    <x v="16"/>
  </r>
  <r>
    <x v="0"/>
    <s v="O8:H28"/>
    <s v="O8 (99.59):H28 (99.54)"/>
    <s v="VT2;hlyAEc;uidA"/>
    <x v="0"/>
  </r>
  <r>
    <x v="1"/>
    <s v="OUT:H29"/>
    <s v="- (-):H29 (100.0)"/>
    <s v="VT2;uidA"/>
    <x v="27"/>
  </r>
  <r>
    <x v="1"/>
    <s v="OUT:H29"/>
    <s v="- (-):H29 (100.0)"/>
    <s v="VT2;uidA"/>
    <x v="27"/>
  </r>
  <r>
    <x v="1"/>
    <s v="O118:H2"/>
    <s v="O118/O151 (100.0):H2 (100.0)"/>
    <s v="eae;VT1;uidA"/>
    <x v="4"/>
  </r>
  <r>
    <x v="1"/>
    <s v="O55:H12"/>
    <s v="O55 (100.0):H12 (99.94)"/>
    <s v="VT1;uidA"/>
    <x v="4"/>
  </r>
  <r>
    <x v="1"/>
    <s v="O55:H12"/>
    <s v="O-untypeable:H12 (99.94)"/>
    <s v="VT1;uidA"/>
    <x v="4"/>
  </r>
  <r>
    <x v="1"/>
    <s v="O55:H12"/>
    <s v="O55 (100.0):H12 (99.94)ND"/>
    <s v="VT1;uidA"/>
    <x v="4"/>
  </r>
  <r>
    <x v="1"/>
    <s v="O55:H12"/>
    <s v="O55 (100.0):H12 (99.94)ND"/>
    <s v="VT1;uidA"/>
    <x v="4"/>
  </r>
  <r>
    <x v="1"/>
    <s v="O55:H12"/>
    <s v="O55 (100.0):H12 (99.94)ND"/>
    <s v="VT1;uidA"/>
    <x v="4"/>
  </r>
  <r>
    <x v="5"/>
    <s v="O8:H19"/>
    <s v="O8 (99.59):H19 (99.89)ND"/>
    <s v="VT2;uidA"/>
    <x v="0"/>
  </r>
  <r>
    <x v="1"/>
    <s v="OUT:H20"/>
    <s v="O-untypeable:H20 (98.04)ND"/>
    <s v="VT1;VT2;uidA"/>
    <x v="1"/>
  </r>
  <r>
    <x v="1"/>
    <s v="O78:H16"/>
    <s v="O78 (100.0):H16 (99.94)ND"/>
    <s v="VT1;uidA"/>
    <x v="4"/>
  </r>
  <r>
    <x v="1"/>
    <s v="O91:H21"/>
    <s v="O91 (99.92):H21 (98.64)"/>
    <s v="hlyAEc;VT1;VT2;uidA"/>
    <x v="1"/>
  </r>
  <r>
    <x v="1"/>
    <s v="O113:H21"/>
    <s v="O113 (100.0):H21 (98.64)"/>
    <s v="VT2;uidA"/>
    <x v="6"/>
  </r>
  <r>
    <x v="1"/>
    <s v="O91:H21"/>
    <s v="O91 (100.0):H21 (98.64)"/>
    <s v="hlyAEc;VT1;VT2;uidA"/>
    <x v="1"/>
  </r>
  <r>
    <x v="1"/>
    <s v="O171:H2"/>
    <s v="O171 (99.76):H2 (100.0)ND"/>
    <s v="VT2;uidA"/>
    <x v="5"/>
  </r>
  <r>
    <x v="1"/>
    <s v="O113:H4"/>
    <s v="O113 (99.83):H4 (99.9)ND"/>
    <s v="VT1;VT2;uidA"/>
    <x v="13"/>
  </r>
  <r>
    <x v="1"/>
    <s v="O113:H21"/>
    <s v="ND"/>
    <s v="VT2"/>
    <x v="0"/>
  </r>
  <r>
    <x v="1"/>
    <s v="OUT:H11"/>
    <s v="O-untypeable:H11 (99.32)"/>
    <s v="VT2;uidA"/>
    <x v="0"/>
  </r>
  <r>
    <x v="1"/>
    <s v="OUT:H11"/>
    <s v="O-untypeable:H11 (99.32)"/>
    <s v="VT2;uidA"/>
    <x v="0"/>
  </r>
  <r>
    <x v="1"/>
    <s v="O5:H19"/>
    <s v="ND"/>
    <s v="VT1;VT2;uidA"/>
    <x v="8"/>
  </r>
  <r>
    <x v="1"/>
    <s v="O128:H2"/>
    <s v="O128ac;O128ab (100.0):H2 (100.0)"/>
    <s v="hlyAEc;VT1;VT2;uidA"/>
    <x v="8"/>
  </r>
  <r>
    <x v="1"/>
    <s v="O109:H5"/>
    <s v="O109 (99.78):H5 (100.0)"/>
    <s v="VT1;uidA"/>
    <x v="4"/>
  </r>
  <r>
    <x v="1"/>
    <s v="O113:H21"/>
    <s v="O113 (100.0):H21 (98.64)"/>
    <s v="VT2;uidA"/>
    <x v="6"/>
  </r>
  <r>
    <x v="1"/>
    <s v="O55:H12"/>
    <s v="O55 (100.0):H12 (99.89)"/>
    <s v="VT1;uidA"/>
    <x v="4"/>
  </r>
  <r>
    <x v="1"/>
    <s v="O91:H14"/>
    <s v="O91 (100.0):H14 (98.85)"/>
    <s v="VT1;uidA"/>
    <x v="4"/>
  </r>
  <r>
    <x v="1"/>
    <s v="O76:H19"/>
    <s v="O76 (99.6):H19 (99.89)"/>
    <s v="VT1;uidA"/>
    <x v="2"/>
  </r>
  <r>
    <x v="1"/>
    <s v="O185:H7"/>
    <s v="O185 (98.91):H7 (100.0)"/>
    <s v="VT2;uidA"/>
    <x v="5"/>
  </r>
  <r>
    <x v="1"/>
    <s v="O185:H7"/>
    <s v="O185 (98.91):H7 (100.0)"/>
    <s v="VT2;uidA"/>
    <x v="5"/>
  </r>
  <r>
    <x v="1"/>
    <s v="O91:H14"/>
    <s v="O91 (100.0):H14 (98.85)"/>
    <s v="VT1"/>
    <x v="3"/>
  </r>
  <r>
    <x v="1"/>
    <s v="OUT:H10"/>
    <s v="O-untypeable:H10 (99.29)"/>
    <s v="VT2;uidA"/>
    <x v="6"/>
  </r>
  <r>
    <x v="3"/>
    <s v="O128:H2"/>
    <s v="O128ab;O128ac (100.0):H2 (100.0)"/>
    <s v="VT1(cc);VT2(cc)"/>
    <x v="8"/>
  </r>
  <r>
    <x v="3"/>
    <s v="O91:H14"/>
    <s v="O91 (99.92):H14 (98.79)"/>
    <s v="hlyAEc;VT1;VT2;uidA"/>
    <x v="3"/>
  </r>
  <r>
    <x v="3"/>
    <s v="O91:H14"/>
    <s v="O91 (99.92):H14 (98.79)"/>
    <s v="hlyAEc;VT1;VT2;uidA"/>
    <x v="3"/>
  </r>
  <r>
    <x v="3"/>
    <s v="O104:H7"/>
    <s v="O-untypeable:H7 (100.0)"/>
    <s v="VT1;uidA"/>
    <x v="2"/>
  </r>
  <r>
    <x v="3"/>
    <s v="O104:H7"/>
    <s v="O-untypeable:H7 (100.0)"/>
    <s v="VT1;uidA"/>
    <x v="2"/>
  </r>
  <r>
    <x v="3"/>
    <s v="O9:H30"/>
    <s v="O9 (99.92):H30 (100.0)"/>
    <s v="VT2;uidA"/>
    <x v="7"/>
  </r>
  <r>
    <x v="3"/>
    <s v="OUT:H21"/>
    <s v="O-untypeable:H21 (98.64)"/>
    <s v="VT2;uidA"/>
    <x v="7"/>
  </r>
  <r>
    <x v="1"/>
    <s v="O174:H21"/>
    <s v="O174 (98.25):H21 (98.64)"/>
    <s v="VT2;uidA"/>
    <x v="5"/>
  </r>
  <r>
    <x v="1"/>
    <s v="O174:H21"/>
    <s v="O-untypeable:H21 (98.64)"/>
    <s v="VT2;uidA"/>
    <x v="5"/>
  </r>
  <r>
    <x v="1"/>
    <s v="O174:H21"/>
    <s v="O-untypeable:H21 (98.64)"/>
    <s v="VT2;uidA"/>
    <x v="5"/>
  </r>
  <r>
    <x v="3"/>
    <s v="OUT:H16"/>
    <s v="O-untypeable:H16 (99.94)"/>
    <s v="VT1;uidA"/>
    <x v="2"/>
  </r>
  <r>
    <x v="3"/>
    <s v="O91:H14"/>
    <s v="O91 (100.0):H14 (98.85)"/>
    <s v="hlyAEc;VT1;VT2;uidA"/>
    <x v="8"/>
  </r>
  <r>
    <x v="3"/>
    <s v="O128:H2"/>
    <s v="O128ab (100.0):H2 (100.0)"/>
    <s v="VT1;VT2;uidA"/>
    <x v="8"/>
  </r>
  <r>
    <x v="1"/>
    <s v="O174:H21"/>
    <s v="O174 (98.25):H21 (98.64)"/>
    <s v="VT2;uidA"/>
    <x v="5"/>
  </r>
  <r>
    <x v="3"/>
    <s v="O8:H9"/>
    <s v="O8 (100.0):H9 (100.0)"/>
    <s v="VT2;uidA"/>
    <x v="23"/>
  </r>
  <r>
    <x v="3"/>
    <s v="O176:H4"/>
    <s v="O176:H4"/>
    <s v="hlyAEc;VT1;VT2;uidA"/>
    <x v="8"/>
  </r>
  <r>
    <x v="3"/>
    <s v="O128:H2"/>
    <s v="O-untypeable:H2 (100.0)"/>
    <s v="hlyAEc;VT1;VT2;uidA"/>
    <x v="8"/>
  </r>
  <r>
    <x v="3"/>
    <s v="O176:H4"/>
    <s v="O176 (99.85):H4 (99.9)"/>
    <s v="hlyAEc;VT1;VT2;uidA"/>
    <x v="8"/>
  </r>
  <r>
    <x v="1"/>
    <s v="O174:H21"/>
    <s v="O-untypeable:H21"/>
    <s v="VT2;uidA"/>
    <x v="5"/>
  </r>
  <r>
    <x v="1"/>
    <s v="OUT:H29"/>
    <s v="O-untypeable:H29 (100.0)"/>
    <s v="VT2;uidA"/>
    <x v="19"/>
  </r>
  <r>
    <x v="3"/>
    <s v="O91:H14"/>
    <s v="O91 (100.0):H14 (98.85)"/>
    <s v="VT1;VT2;uidA"/>
    <x v="3"/>
  </r>
  <r>
    <x v="3"/>
    <s v="O91:H14"/>
    <s v="O91 (99.83):H14 (98.85)"/>
    <s v="VT1;VT2;uidA"/>
    <x v="3"/>
  </r>
  <r>
    <x v="3"/>
    <s v="O5:H19"/>
    <s v="O5 (100.0):H19 (99.78)"/>
    <s v="hlyAEc;VT1;VT2;uidA"/>
    <x v="8"/>
  </r>
  <r>
    <x v="3"/>
    <s v="O128:H2"/>
    <s v="O128ac (99.9):H2 (100.0)"/>
    <s v="hlyAEc;VT1;VT2;uidA"/>
    <x v="8"/>
  </r>
  <r>
    <x v="3"/>
    <s v="O128:H2"/>
    <s v="O-untypeable:H2 (99.93)"/>
    <s v="VT1;uidA"/>
    <x v="2"/>
  </r>
  <r>
    <x v="3"/>
    <s v="O76:H19"/>
    <s v="O76 (99.6):H19 (99.89)"/>
    <s v="hlyAEc;VT1;uidA"/>
    <x v="2"/>
  </r>
  <r>
    <x v="3"/>
    <s v="O3:H21"/>
    <s v="O-untypeable:H21 (99.86)"/>
    <s v="hlyAEc;VT1;VT2;uidA"/>
    <x v="8"/>
  </r>
  <r>
    <x v="3"/>
    <s v="O8:H25"/>
    <s v="O8 (99.75):H25 (100.0)"/>
    <s v="VT2;uidA"/>
    <x v="7"/>
  </r>
  <r>
    <x v="3"/>
    <s v="O146:H8"/>
    <s v="O146:H8"/>
    <s v="VT1;uidA"/>
    <x v="2"/>
  </r>
  <r>
    <x v="3"/>
    <s v="OUT:H8"/>
    <s v="O-untypeable:H8 (99.86)"/>
    <s v="VT1;uidA"/>
    <x v="2"/>
  </r>
  <r>
    <x v="3"/>
    <s v="O128:H2"/>
    <s v="O-untypeable:H2 (100.0)"/>
    <s v="hlyAEc;VT1;VT2;uidA"/>
    <x v="8"/>
  </r>
  <r>
    <x v="3"/>
    <s v="O146:H8"/>
    <s v="O-untypeable:H8 (99.86)"/>
    <s v="VT1;uidA"/>
    <x v="2"/>
  </r>
  <r>
    <x v="3"/>
    <s v="OUT:H2"/>
    <s v="O-untypeable:H2 (100.0)"/>
    <s v="hlyAEc;VT1;VT2;uidA"/>
    <x v="8"/>
  </r>
  <r>
    <x v="3"/>
    <s v="O128:H2"/>
    <s v="O-untypeable:H2 (100.0)"/>
    <s v="VT1;VT2;uidA"/>
    <x v="8"/>
  </r>
  <r>
    <x v="3"/>
    <s v="OUT:H21"/>
    <s v="O-untypeable:H21 (98.64)"/>
    <s v="VT2;uidA"/>
    <x v="7"/>
  </r>
  <r>
    <x v="3"/>
    <s v="OUT:H21"/>
    <s v="O-untypeable:H21 (98.64)"/>
    <s v="VT2;uidA"/>
    <x v="7"/>
  </r>
  <r>
    <x v="3"/>
    <s v="O5:H19"/>
    <s v="O5 (100.0):H19 (99.78)"/>
    <s v="hlyAEc;VT1;uidA"/>
    <x v="2"/>
  </r>
  <r>
    <x v="3"/>
    <s v="O128:H2"/>
    <s v="O128ab;O128ac (100.0):H2 (100.0)"/>
    <s v="VT1;VT2;uidA"/>
    <x v="8"/>
  </r>
  <r>
    <x v="1"/>
    <s v="O109:H5"/>
    <s v="O109 (99.78):H5 (100.0)"/>
    <s v="VT1;uidA"/>
    <x v="4"/>
  </r>
  <r>
    <x v="3"/>
    <s v="OUT:H26"/>
    <s v="O-untypeable:H26 (98.81)"/>
    <s v="hlyAEc;VT1;VT2;uidA"/>
    <x v="8"/>
  </r>
  <r>
    <x v="1"/>
    <s v="O185:H7"/>
    <s v="O157 (100.0):H7 (100.0)ND"/>
    <s v="eae;O157;VT2;uidA"/>
    <x v="5"/>
  </r>
  <r>
    <x v="0"/>
    <s v="O121:H19"/>
    <s v="O121 (100.0):H19 (98.31)"/>
    <s v="eae;hlyAEc;O121;VT2;uidA"/>
    <x v="0"/>
  </r>
  <r>
    <x v="0"/>
    <s v="O8:H28"/>
    <s v="O8 (99.59):H28 (99.54)"/>
    <s v="VT2;hlyAEc;uidA"/>
    <x v="0"/>
  </r>
  <r>
    <x v="0"/>
    <s v="O121:H19"/>
    <s v="ND"/>
    <s v="eae;O121;VT2;uidA"/>
    <x v="0"/>
  </r>
  <r>
    <x v="0"/>
    <s v="O121:H19"/>
    <s v="O121 (100.0):H19 (98.31)"/>
    <s v="eae;hlyAEc;O121;VT2;uidA"/>
    <x v="0"/>
  </r>
  <r>
    <x v="0"/>
    <s v="O8:H28"/>
    <s v="O8 (99.59):H28 (99.54)ND"/>
    <s v="VT2;hlyAEc;uidA"/>
    <x v="0"/>
  </r>
  <r>
    <x v="0"/>
    <s v="O121:H19"/>
    <s v="O121 (100.0):H19 (98.36)"/>
    <s v="eae;hlyAEc;O121;VT2;uidA"/>
    <x v="0"/>
  </r>
  <r>
    <x v="0"/>
    <s v="O8:H28"/>
    <s v="O8 (99.59):H28 (99.54)ND"/>
    <s v="VT2;hlyAEc;uidA"/>
    <x v="0"/>
  </r>
  <r>
    <x v="0"/>
    <s v="O121:H19"/>
    <s v="O121 (100.0):H19 (98.31)"/>
    <s v="eae;hlyAEc;O121;VT2;uidA"/>
    <x v="0"/>
  </r>
  <r>
    <x v="0"/>
    <s v="O121:H19"/>
    <s v="O121 (100.0):H19 (98.25)"/>
    <s v="eae;hlyAEc;O121;VT2;uidA"/>
    <x v="0"/>
  </r>
  <r>
    <x v="0"/>
    <s v="O121:H19"/>
    <s v="O121 (100.0):H19 (98.25)"/>
    <s v="eae;hlyAEc;O121;VT2;uidA"/>
    <x v="0"/>
  </r>
  <r>
    <x v="0"/>
    <s v="O121:H19"/>
    <s v="O121 (100.0):H19 (98.25)"/>
    <s v="eae;hlyAEc;O121;VT2;uidA"/>
    <x v="0"/>
  </r>
  <r>
    <x v="0"/>
    <s v="O159:H19"/>
    <s v="O159 (99.86):H19 (99.89)"/>
    <s v="VT2;uidA"/>
    <x v="0"/>
  </r>
  <r>
    <x v="0"/>
    <s v="O121:H19"/>
    <s v="O121 (100.0):H19 (98.31)"/>
    <s v="eae;hlyAEc;O121;VT2;uidA"/>
    <x v="0"/>
  </r>
  <r>
    <x v="1"/>
    <s v="O91:H14"/>
    <s v="O91 (100.0):H14 (98.85)ND"/>
    <s v="VT1;VT2;uidA"/>
    <x v="3"/>
  </r>
  <r>
    <x v="1"/>
    <s v="O91:H14"/>
    <s v="O91 (100.0):H14 (98.85)ND"/>
    <s v="VT1;VT2;uidA"/>
    <x v="3"/>
  </r>
  <r>
    <x v="1"/>
    <s v="O116:H16"/>
    <s v="O116 (99.86):H16 (99.94)"/>
    <s v="VT2;uidA"/>
    <x v="0"/>
  </r>
  <r>
    <x v="1"/>
    <s v="O103:H2"/>
    <s v="O103 (100.0):H2 (100.0)"/>
    <s v="eae;hlyAEc;VT1;uidA"/>
    <x v="4"/>
  </r>
  <r>
    <x v="1"/>
    <s v="O103:H25"/>
    <s v="O103 (100.0):H25 (100.0)ND"/>
    <s v="eae;VT1;uidA"/>
    <x v="4"/>
  </r>
  <r>
    <x v="1"/>
    <s v="O26:H32"/>
    <s v="O26 (100.0):H32 (100.0)"/>
    <s v="O26,uidA"/>
    <x v="11"/>
  </r>
  <r>
    <x v="1"/>
    <s v="O91:H14"/>
    <s v="O91:H14 (98.85)"/>
    <s v="VT1,VT2,uidA"/>
    <x v="28"/>
  </r>
  <r>
    <x v="1"/>
    <s v="O128:H2"/>
    <s v="O128ab (99.93):H2 (100.0)"/>
    <s v="VT1,VT2,uidA"/>
    <x v="17"/>
  </r>
  <r>
    <x v="3"/>
    <s v="O75:H8"/>
    <s v="O75 (98.32):H8 (100.0)"/>
    <s v="VT1(cc);VT2(cc)"/>
    <x v="8"/>
  </r>
  <r>
    <x v="3"/>
    <s v="O91:H14"/>
    <s v="O91 (100.0):H14 (98.85)"/>
    <s v="VT1;VT2;uidA"/>
    <x v="3"/>
  </r>
  <r>
    <x v="3"/>
    <s v="O91:H14"/>
    <s v="O91 (99.92):H14 (98.85)"/>
    <s v="VT1;VT2;uidA"/>
    <x v="3"/>
  </r>
  <r>
    <x v="3"/>
    <s v="O91:H14"/>
    <s v="O91 (100.0):H14 (98.85)"/>
    <s v="VT1;VT2;uidA"/>
    <x v="3"/>
  </r>
  <r>
    <x v="3"/>
    <s v="O104:H7"/>
    <s v="O104 (99.92):H7 (100.0)"/>
    <s v="VT1(cc)"/>
    <x v="2"/>
  </r>
  <r>
    <x v="3"/>
    <s v="O104:H7"/>
    <s v="O104 (99.92):H7 (100.0)"/>
    <s v="VT1(cc)"/>
    <x v="2"/>
  </r>
  <r>
    <x v="0"/>
    <s v="O103:H25"/>
    <s v="O103:H25"/>
    <s v="eae;hlyAEc;VT1;uidA"/>
    <x v="4"/>
  </r>
  <r>
    <x v="0"/>
    <s v="O103:H25"/>
    <s v="O103 (100.0):H25 (100.0)"/>
    <s v="eae;VT1;uidA"/>
    <x v="4"/>
  </r>
  <r>
    <x v="0"/>
    <s v="O103:H25"/>
    <s v="O103 (100.0):H25 (100.0)"/>
    <s v="eae;VT1;uidA"/>
    <x v="4"/>
  </r>
  <r>
    <x v="0"/>
    <s v="O103:H25"/>
    <s v="O103 (100.0):H25 (100.0)"/>
    <s v="eae;VT1;uidA"/>
    <x v="4"/>
  </r>
  <r>
    <x v="2"/>
    <s v="O111:H11"/>
    <m/>
    <s v="eae;hlyAEc;VT1;uidA"/>
    <x v="29"/>
  </r>
  <r>
    <x v="2"/>
    <s v="O111:H8"/>
    <m/>
    <s v="eae;hlyAEc;O111;VT1;uidA"/>
    <x v="29"/>
  </r>
  <r>
    <x v="2"/>
    <s v="O26:H11"/>
    <m/>
    <s v="eae;hlyAEc;O26;VT1;uidA"/>
    <x v="29"/>
  </r>
  <r>
    <x v="2"/>
    <s v="O26:H11"/>
    <m/>
    <s v="eae;O26;VT1;uidA"/>
    <x v="29"/>
  </r>
  <r>
    <x v="2"/>
    <s v="O157:H7"/>
    <m/>
    <s v="eae;hlyAEc;O157;VT1;VT2;uidA"/>
    <x v="30"/>
  </r>
  <r>
    <x v="2"/>
    <s v="O157:H7"/>
    <m/>
    <s v="eae;hlyAEc;O157;VT2;uidA"/>
    <x v="31"/>
  </r>
  <r>
    <x v="2"/>
    <s v="O157:H7"/>
    <m/>
    <s v="eae;hlyAEc;O157;VT1;VT2;uidA"/>
    <x v="32"/>
  </r>
  <r>
    <x v="2"/>
    <s v="O157:H7"/>
    <m/>
    <s v="eae;hlyAEc;O157;uidA"/>
    <x v="33"/>
  </r>
  <r>
    <x v="2"/>
    <s v="O26:H11"/>
    <m/>
    <s v="eae;hlyAEc;O26;VT1;uidA"/>
    <x v="29"/>
  </r>
  <r>
    <x v="2"/>
    <s v="O111:NM"/>
    <m/>
    <s v="eae;O111;VT1;VT2;uidA"/>
    <x v="32"/>
  </r>
  <r>
    <x v="2"/>
    <s v="O26:H11"/>
    <m/>
    <s v="eae;hlyAEc;O26;VT1;uidA"/>
    <x v="29"/>
  </r>
  <r>
    <x v="2"/>
    <s v="O119:H25"/>
    <m/>
    <s v="eae;hlyAEc;VT1;uidA"/>
    <x v="29"/>
  </r>
  <r>
    <x v="2"/>
    <s v="O145:NM"/>
    <m/>
    <s v="eae;hlyAEc;O145;VT1;uidA"/>
    <x v="29"/>
  </r>
  <r>
    <x v="2"/>
    <s v="O121:NM"/>
    <m/>
    <s v="eae;hlyAEc;O121;VT2;uidA"/>
    <x v="34"/>
  </r>
  <r>
    <x v="2"/>
    <s v="O103:H2"/>
    <m/>
    <s v="eae;O103;VT1;uidA"/>
    <x v="29"/>
  </r>
  <r>
    <x v="2"/>
    <s v="O121:H19"/>
    <m/>
    <s v="eae;hlyAEc;O121;VT2;uidA"/>
    <x v="34"/>
  </r>
  <r>
    <x v="2"/>
    <s v="O111:NM"/>
    <m/>
    <s v="eae;O111;VT1;VT2;uidA"/>
    <x v="32"/>
  </r>
  <r>
    <x v="2"/>
    <s v="O45:H2"/>
    <m/>
    <s v="eae;hlyAEc;O45;VT1;uidA"/>
    <x v="29"/>
  </r>
  <r>
    <x v="2"/>
    <s v="O157:H7"/>
    <m/>
    <s v="eae;hlyAEc;O157;VT1;VT2;uidA"/>
    <x v="32"/>
  </r>
  <r>
    <x v="2"/>
    <s v="O104:H4"/>
    <m/>
    <s v="aggR;VT2;uidA"/>
    <x v="35"/>
  </r>
  <r>
    <x v="2"/>
    <s v="O126:H27"/>
    <m/>
    <s v="aggR;uidA"/>
    <x v="36"/>
  </r>
  <r>
    <x v="2"/>
    <s v="O111:H11"/>
    <m/>
    <s v="eae;hlyAEc;O111;VT1;uidA"/>
    <x v="29"/>
  </r>
  <r>
    <x v="2"/>
    <s v="O76:H19"/>
    <m/>
    <s v="VT1;uidA"/>
    <x v="37"/>
  </r>
  <r>
    <x v="2"/>
    <s v="O113:H21"/>
    <m/>
    <s v="VT2;uidA"/>
    <x v="38"/>
  </r>
  <r>
    <x v="2"/>
    <s v="O115:H18"/>
    <m/>
    <s v="hlyAEc;VT1;VT2;uidA"/>
    <x v="39"/>
  </r>
  <r>
    <x v="6"/>
    <s v="O177:NM"/>
    <m/>
    <s v="VT2;uidA"/>
    <x v="40"/>
  </r>
  <r>
    <x v="2"/>
    <s v="O111:H16"/>
    <m/>
    <s v="aggR;O111;uidA"/>
    <x v="36"/>
  </r>
  <r>
    <x v="2"/>
    <s v="O78:H2"/>
    <m/>
    <s v="aggR;uidA"/>
    <x v="36"/>
  </r>
  <r>
    <x v="1"/>
    <s v="O157:H7"/>
    <s v="O157 (100.0):H7 (100.0)"/>
    <s v="VT1;VT2;eae"/>
    <x v="41"/>
  </r>
  <r>
    <x v="6"/>
    <s v="OUT:H23"/>
    <m/>
    <m/>
    <x v="42"/>
  </r>
  <r>
    <x v="7"/>
    <m/>
    <m/>
    <m/>
    <x v="43"/>
  </r>
  <r>
    <x v="7"/>
    <m/>
    <m/>
    <m/>
    <x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s v="Flour"/>
    <x v="0"/>
    <s v="O103:H25"/>
    <s v="eae;hlyAEc;VT1;uidA"/>
    <s v="vtx1a"/>
    <x v="0"/>
  </r>
  <r>
    <x v="0"/>
    <s v="Flour"/>
    <x v="1"/>
    <s v="O-untypeable:H19 (99.89)"/>
    <s v="VT2;uidA"/>
    <s v="vtx2a"/>
    <x v="1"/>
  </r>
  <r>
    <x v="0"/>
    <s v="Flour"/>
    <x v="2"/>
    <s v="O-untypeable:H2 (100.0)"/>
    <s v="VT2;uidA"/>
    <s v="vtx2c"/>
    <x v="2"/>
  </r>
  <r>
    <x v="0"/>
    <s v="Flour"/>
    <x v="3"/>
    <s v="O159 (99.86):H19 (99.89)"/>
    <s v="VT2;uidA"/>
    <s v="vtx2a"/>
    <x v="1"/>
  </r>
  <r>
    <x v="0"/>
    <s v="Flour"/>
    <x v="4"/>
    <s v="O8 (99.59):H19 (99.95)"/>
    <s v="uidA;VT2"/>
    <s v="vtx2a"/>
    <x v="1"/>
  </r>
  <r>
    <x v="1"/>
    <s v="Lamb"/>
    <x v="5"/>
    <s v="O8 (99.75):H25 (100.0)"/>
    <s v="VT2;uidA"/>
    <s v="vtx2i"/>
    <x v="3"/>
  </r>
  <r>
    <x v="1"/>
    <s v="Lamb"/>
    <x v="6"/>
    <s v="O5 (100.0):H19 (99.78)"/>
    <s v="hlyAEc;VT1;VT2;uidA"/>
    <s v="vtx1c;vtx2b"/>
    <x v="4"/>
  </r>
  <r>
    <x v="1"/>
    <s v="Lamb"/>
    <x v="7"/>
    <s v="O176 (99.85):H4 (99.9)"/>
    <s v="hlyAEc;VT1;VT2;uidA"/>
    <s v="vtx1c;vtx2b"/>
    <x v="5"/>
  </r>
  <r>
    <x v="1"/>
    <s v="Lamb"/>
    <x v="7"/>
    <s v="O176:H4"/>
    <s v="hlyAEc;VT1;VT2;uidA"/>
    <s v="vtx1c;vtx2b"/>
    <x v="5"/>
  </r>
  <r>
    <x v="1"/>
    <s v="Meat"/>
    <x v="7"/>
    <s v="O176 (100.0):H4 (99.9)"/>
    <s v="VT1(cc)"/>
    <s v="vtx1c"/>
    <x v="6"/>
  </r>
  <r>
    <x v="1"/>
    <s v="Lamb"/>
    <x v="8"/>
    <s v="O9 (99.92):H30 (100.0)"/>
    <s v="VT2;uidA"/>
    <s v="vtx2i"/>
    <x v="3"/>
  </r>
  <r>
    <x v="1"/>
    <s v="Meat"/>
    <x v="9"/>
    <s v="O55 (100.0):H12 (99.94)"/>
    <s v="VT1;uidA"/>
    <s v="vtx1a"/>
    <x v="7"/>
  </r>
  <r>
    <x v="1"/>
    <s v="Meat"/>
    <x v="10"/>
    <s v="O118/O151 (100.0):H2 (100.0)"/>
    <s v="eae;VT1;uidA"/>
    <s v="vtx1a"/>
    <x v="8"/>
  </r>
  <r>
    <x v="1"/>
    <s v="Meat"/>
    <x v="11"/>
    <s v="O153/O178 (100.0):H19 (99.95)"/>
    <s v="VT1;VT2;uidA"/>
    <s v="vtx1a;vtx2a"/>
    <x v="9"/>
  </r>
  <r>
    <x v="1"/>
    <s v="Meat"/>
    <x v="12"/>
    <s v="O157 (100.0):H7 (100.0)"/>
    <s v="eae;O157;VT1;VT2;uidA"/>
    <s v="vtx1a;vtx2a"/>
    <x v="10"/>
  </r>
  <r>
    <x v="1"/>
    <s v="Meat"/>
    <x v="13"/>
    <s v="O128ac;O128ab (100.0):H2 (100.0)"/>
    <s v="hlyAEc;VT1;VT2;uidA"/>
    <s v="vtx1c;vtx2b"/>
    <x v="11"/>
  </r>
  <r>
    <x v="1"/>
    <s v="Meat"/>
    <x v="14"/>
    <s v="O-untypeable:H20 (98.04)ND"/>
    <s v="VT1;VT2;uidA"/>
    <s v="vtx1a;vtx2a"/>
    <x v="12"/>
  </r>
  <r>
    <x v="1"/>
    <s v="Meat"/>
    <x v="12"/>
    <s v="ND"/>
    <s v="eae;O157;VT2;uidA"/>
    <s v="vtx2a"/>
    <x v="13"/>
  </r>
  <r>
    <x v="1"/>
    <s v="Meat"/>
    <x v="15"/>
    <s v="O-untypeable:H10 (99.29)"/>
    <s v="VT2;uidA"/>
    <s v="vtx2d"/>
    <x v="14"/>
  </r>
  <r>
    <x v="1"/>
    <s v="Meat"/>
    <x v="11"/>
    <s v="O-untypeable:H19 (99.89)"/>
    <s v="VT1;VT2;uidA"/>
    <s v="vtx1a;vtx2a"/>
    <x v="9"/>
  </r>
  <r>
    <x v="1"/>
    <s v="Meat"/>
    <x v="16"/>
    <s v="- (-):H29 (100.0)"/>
    <s v="VT2;uidA"/>
    <s v="vtx2b;vtx2d"/>
    <x v="15"/>
  </r>
  <r>
    <x v="1"/>
    <s v="Lamb"/>
    <x v="17"/>
    <s v="O75 (98.32):H8 (100.0)"/>
    <s v="VT1(cc);VT2(cc)"/>
    <s v="vtx1c;vtx2b"/>
    <x v="16"/>
  </r>
  <r>
    <x v="1"/>
    <s v="Lamb"/>
    <x v="18"/>
    <s v="O-untypeable:H21 (98.64)"/>
    <s v="VT2;uidA"/>
    <s v="vtx2i"/>
    <x v="3"/>
  </r>
  <r>
    <x v="1"/>
    <s v="Meat"/>
    <x v="12"/>
    <s v="O157 (100.0):H7 (100.0)"/>
    <s v="eae;O157;VT1;VT2;uidA"/>
    <s v="vtx1a;vtx2a"/>
    <x v="10"/>
  </r>
  <r>
    <x v="1"/>
    <s v="Meat"/>
    <x v="19"/>
    <s v="O91 (100.0):H14 (98.85)"/>
    <s v="VT1"/>
    <s v="vtx1a;vtx2b"/>
    <x v="17"/>
  </r>
  <r>
    <x v="1"/>
    <s v="Meat"/>
    <x v="9"/>
    <s v="O55 (100.0):H12 (99.94)ND"/>
    <s v="VT1;uidA"/>
    <s v="vtx1a"/>
    <x v="7"/>
  </r>
  <r>
    <x v="1"/>
    <s v="Meat"/>
    <x v="9"/>
    <s v="O-untypeable:H12 (99.94)"/>
    <s v="VT1;uidA"/>
    <s v="vtx1a"/>
    <x v="7"/>
  </r>
  <r>
    <x v="1"/>
    <s v="Meat"/>
    <x v="12"/>
    <s v="O157 (100.0):H7 (100.0)"/>
    <s v="eae;O157;VT1;VT2;uidA"/>
    <s v="vtx1a;vtx2c"/>
    <x v="18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hlyAEc;O157;VT2;uidA"/>
    <s v="vtx2a"/>
    <x v="13"/>
  </r>
  <r>
    <x v="1"/>
    <s v="Meat"/>
    <x v="12"/>
    <s v="O157 (100.0):H7 (100.0)"/>
    <s v="eae;O157;VT2;uidA"/>
    <s v="vtx2a"/>
    <x v="13"/>
  </r>
  <r>
    <x v="1"/>
    <s v="Meat"/>
    <x v="16"/>
    <s v="- (-):H29 (100.0)"/>
    <s v="VT2;uidA"/>
    <s v="vtx2b;vtx2d"/>
    <x v="15"/>
  </r>
  <r>
    <x v="1"/>
    <s v="Meat"/>
    <x v="20"/>
    <s v="O113 (100.0):H21 (98.64)"/>
    <s v="VT2;uidA"/>
    <s v="vtx2d"/>
    <x v="20"/>
  </r>
  <r>
    <x v="1"/>
    <s v="Meat"/>
    <x v="21"/>
    <s v="O113 (99.83):H4 (99.9)ND"/>
    <s v="VT1;VT2;uidA"/>
    <s v="vtx1a;vtx2d"/>
    <x v="21"/>
  </r>
  <r>
    <x v="1"/>
    <s v="Meat"/>
    <x v="9"/>
    <s v="O55 (100.0):H12 (99.89)ND"/>
    <s v="VT1;uidA"/>
    <s v="vtx1a"/>
    <x v="7"/>
  </r>
  <r>
    <x v="1"/>
    <s v="Meat"/>
    <x v="21"/>
    <s v="O113 (93.04):H4 (100.0)"/>
    <s v="VT2;uidA"/>
    <s v="vtx2d"/>
    <x v="22"/>
  </r>
  <r>
    <x v="2"/>
    <s v="Nuts/Seeds"/>
    <x v="22"/>
    <s v="O142 (99.92):H38 (99.78)"/>
    <s v="VT1(cc);uidA"/>
    <s v="vtx1d"/>
    <x v="23"/>
  </r>
  <r>
    <x v="1"/>
    <s v="Meat"/>
    <x v="23"/>
    <s v="O-untypeable:H11 (99.32)"/>
    <s v="VT2;uidA"/>
    <s v="vtx2a"/>
    <x v="24"/>
  </r>
  <r>
    <x v="1"/>
    <s v="Meat"/>
    <x v="23"/>
    <s v="O-untypeable:H11 (99.32)"/>
    <s v="VT2;uidA"/>
    <s v="vtx2a"/>
    <x v="24"/>
  </r>
  <r>
    <x v="1"/>
    <s v="Meat"/>
    <x v="12"/>
    <s v="O157 (100.0):H7 (100.0)"/>
    <s v="eae;O157;VT2;uidA"/>
    <s v="vtx2a"/>
    <x v="13"/>
  </r>
  <r>
    <x v="1"/>
    <s v="Meat"/>
    <x v="0"/>
    <s v="O103 (100.0):H25 (100.0)ND"/>
    <s v="eae;VT1;uidA"/>
    <s v="vtx1a"/>
    <x v="8"/>
  </r>
  <r>
    <x v="1"/>
    <s v="Meat"/>
    <x v="12"/>
    <s v="O157 (100.0):H7 (100.0)"/>
    <s v="eae;O157;VT1;VT2;uidA"/>
    <s v="vtx1a;vtx2c"/>
    <x v="25"/>
  </r>
  <r>
    <x v="1"/>
    <s v="Meat"/>
    <x v="12"/>
    <s v="O157 (100.0):H7 (100.0)"/>
    <s v="eae;O157;VT1;VT2;uidA"/>
    <s v="vtx1a;vtx2c"/>
    <x v="26"/>
  </r>
  <r>
    <x v="1"/>
    <s v="Meat"/>
    <x v="24"/>
    <s v="O76 (99.6):H19 (99.89)"/>
    <s v="VT1;uidA"/>
    <s v="vtx1c"/>
    <x v="27"/>
  </r>
  <r>
    <x v="1"/>
    <s v="Meat"/>
    <x v="25"/>
    <s v="O109 (99.78):H5 (100.0)"/>
    <s v="VT1;uidA"/>
    <s v="vtx1a"/>
    <x v="28"/>
  </r>
  <r>
    <x v="1"/>
    <s v="Meat"/>
    <x v="26"/>
    <s v="O185 (98.91):H7 (100.0)"/>
    <s v="VT2;uidA"/>
    <s v="vtx2c"/>
    <x v="29"/>
  </r>
  <r>
    <x v="1"/>
    <s v="Meat"/>
    <x v="27"/>
    <s v="O174 (98.25):H21 (98.64)"/>
    <s v="VT2;uidA"/>
    <s v="vtx2c"/>
    <x v="30"/>
  </r>
  <r>
    <x v="1"/>
    <s v="Meat"/>
    <x v="26"/>
    <s v="O185 (98.91):H7 (100.0)"/>
    <s v="VT2;uidA"/>
    <s v="vtx2c"/>
    <x v="29"/>
  </r>
  <r>
    <x v="1"/>
    <s v="Meat"/>
    <x v="25"/>
    <s v="O109 (99.78):H5 (100.0)ND"/>
    <s v="VT1;uidA"/>
    <s v="vtx1a"/>
    <x v="31"/>
  </r>
  <r>
    <x v="1"/>
    <s v="Meat"/>
    <x v="28"/>
    <s v="O171 (99.76):H2 (100.0)ND"/>
    <s v="VT2;uidA"/>
    <s v="vtx2c"/>
    <x v="32"/>
  </r>
  <r>
    <x v="1"/>
    <s v="Meat"/>
    <x v="12"/>
    <s v="O157 (100.0):H7 (100.0)"/>
    <s v="eae;hlyAEc;O157;VT2;uidA"/>
    <s v="vtx2a"/>
    <x v="13"/>
  </r>
  <r>
    <x v="1"/>
    <s v="Meat"/>
    <x v="19"/>
    <s v="O91 (100.0):H14 (98.85)"/>
    <s v="VT1;uidA"/>
    <s v="vtx1a"/>
    <x v="0"/>
  </r>
  <r>
    <x v="1"/>
    <s v="Meat"/>
    <x v="9"/>
    <s v="O55 (100.0):H12 (99.89)"/>
    <s v="VT1;uidA"/>
    <s v="vtx1a"/>
    <x v="7"/>
  </r>
  <r>
    <x v="1"/>
    <s v="Lamb"/>
    <x v="29"/>
    <s v="O-untypeable:H7 (100.0)"/>
    <s v="VT1;uidA"/>
    <s v="vtx1c"/>
    <x v="33"/>
  </r>
  <r>
    <x v="1"/>
    <s v="Meat"/>
    <x v="20"/>
    <s v="O113 (100.0):H21 (98.64)"/>
    <s v="VT2"/>
    <s v="vtx2d"/>
    <x v="20"/>
  </r>
  <r>
    <x v="1"/>
    <s v="Meat"/>
    <x v="20"/>
    <s v="O113 (100.0):H21 (98.64)"/>
    <s v="VT2"/>
    <s v="vtx2d"/>
    <x v="20"/>
  </r>
  <r>
    <x v="1"/>
    <s v="Meat"/>
    <x v="20"/>
    <s v="O113 (100.0):H21 (98.64)"/>
    <s v="VT2;uidA"/>
    <s v="vtx2d"/>
    <x v="20"/>
  </r>
  <r>
    <x v="1"/>
    <s v="Meat"/>
    <x v="12"/>
    <s v="O157 (100.0):H7 (100.0)ND"/>
    <s v="eae;O157;uidA"/>
    <s v="ND"/>
    <x v="34"/>
  </r>
  <r>
    <x v="1"/>
    <s v="Meat"/>
    <x v="12"/>
    <s v="O157 (100.0):H7 (100.0)ND"/>
    <s v="eae;O157;uidA"/>
    <s v="ND"/>
    <x v="34"/>
  </r>
  <r>
    <x v="1"/>
    <s v="Meat"/>
    <x v="12"/>
    <s v="O157 (100.0):H7 (100.0)"/>
    <s v="eae;O157;VT1;VT2;uidA"/>
    <s v="vtx1a;vtx2c"/>
    <x v="26"/>
  </r>
  <r>
    <x v="1"/>
    <s v="Meat"/>
    <x v="12"/>
    <s v="O157 (100.0):H7 (100.0)"/>
    <s v="eae;O157;VT1;VT2;uidA"/>
    <s v="vtx1a;vtx2c"/>
    <x v="26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Lamb"/>
    <x v="29"/>
    <s v="O104 (99.92):H7 (100.0)"/>
    <s v="VT1(cc)"/>
    <s v="vtx1c"/>
    <x v="33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30"/>
    <s v="O103 (100.0):H2 (100.0)"/>
    <s v="eae;hlyAEc;VT1;uidA"/>
    <s v="vtx1a"/>
    <x v="8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ND"/>
    <s v="eae;O157;VT1;VT2;uidA"/>
    <s v="vtx1a;vtx2a"/>
    <x v="19"/>
  </r>
  <r>
    <x v="1"/>
    <s v="Meat"/>
    <x v="9"/>
    <s v="O55 (100.0):H12 (99.94)ND"/>
    <s v="VT1;uidA"/>
    <s v="vtx1a"/>
    <x v="7"/>
  </r>
  <r>
    <x v="1"/>
    <s v="Meat"/>
    <x v="12"/>
    <s v="O157 (100.0):H7 (100.0)"/>
    <s v="eae;O157;VT2;uidA"/>
    <s v="vtx2a"/>
    <x v="13"/>
  </r>
  <r>
    <x v="1"/>
    <s v="Meat"/>
    <x v="31"/>
    <s v="O78 (100.0):H16 (99.94)ND"/>
    <s v="VT1;uidA"/>
    <s v="vtx1a"/>
    <x v="7"/>
  </r>
  <r>
    <x v="2"/>
    <s v="Nuts/Seeds"/>
    <x v="4"/>
    <s v="O8 (99.59):H19 (99.89)ND"/>
    <s v="VT2;uidA"/>
    <s v="vtx2a"/>
    <x v="1"/>
  </r>
  <r>
    <x v="1"/>
    <s v="Meat"/>
    <x v="32"/>
    <s v="O91 (100.0):H21 (98.64)"/>
    <s v="hlyAEc;VT1;VT2;uidA"/>
    <s v="vtx1a;vtx2a"/>
    <x v="35"/>
  </r>
  <r>
    <x v="1"/>
    <s v="Meat"/>
    <x v="33"/>
    <s v="O87 (100.0):H16 (99.94)"/>
    <s v="VT2"/>
    <s v="vtx2b"/>
    <x v="36"/>
  </r>
  <r>
    <x v="1"/>
    <s v="Meat"/>
    <x v="34"/>
    <s v="O8 (99.59):H2 (100.0)"/>
    <s v="VT2;uidA;IGS"/>
    <s v="vtx2b"/>
    <x v="37"/>
  </r>
  <r>
    <x v="1"/>
    <s v="Meat"/>
    <x v="34"/>
    <s v="O8 (99.59):H2 (100.0)"/>
    <s v="VT2;uidA"/>
    <s v="vtx2b"/>
    <x v="37"/>
  </r>
  <r>
    <x v="1"/>
    <s v="Meat"/>
    <x v="34"/>
    <s v="O8 (99.59):H2 (100.0)"/>
    <s v="VT2;uidA"/>
    <s v="vtx2b"/>
    <x v="37"/>
  </r>
  <r>
    <x v="1"/>
    <s v="Meat"/>
    <x v="34"/>
    <s v="O8 (99.59):H2 (100.0)"/>
    <s v="VT2;uidA"/>
    <s v="vtx2b"/>
    <x v="37"/>
  </r>
  <r>
    <x v="1"/>
    <s v="Meat"/>
    <x v="32"/>
    <s v="O91 (99.92):H21 (98.64)"/>
    <s v="hlyAEc;VT1;VT2;uidA"/>
    <s v="vtx1a;vtx2a"/>
    <x v="38"/>
  </r>
  <r>
    <x v="1"/>
    <s v="Meat"/>
    <x v="19"/>
    <s v="O91 (100.0):H14 (98.85)ND"/>
    <s v="VT1;VT2;uidA"/>
    <s v="vtx1a;vtx2b"/>
    <x v="17"/>
  </r>
  <r>
    <x v="1"/>
    <s v="Meat"/>
    <x v="12"/>
    <s v="O157 (100.0):H7 (100.0)"/>
    <s v="eae;O157;VT2;uidA"/>
    <s v="vtx2a"/>
    <x v="13"/>
  </r>
  <r>
    <x v="1"/>
    <s v="Meat"/>
    <x v="19"/>
    <s v="O91 (100.0):H14 (98.85)ND"/>
    <s v="VT1;VT2;uidA"/>
    <s v="vtx1a;vtx2b"/>
    <x v="17"/>
  </r>
  <r>
    <x v="1"/>
    <s v="Meat"/>
    <x v="26"/>
    <s v="O157 (100.0):H7 (100.0)ND"/>
    <s v="eae;O157;VT2;uidA"/>
    <s v="vtx2c"/>
    <x v="39"/>
  </r>
  <r>
    <x v="1"/>
    <s v="Meat"/>
    <x v="12"/>
    <s v="O157 (100.0):H7 (99.94)"/>
    <s v="eae;O157;VT2;uidA"/>
    <s v="vtx2c"/>
    <x v="3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0"/>
  </r>
  <r>
    <x v="1"/>
    <s v="Lamb"/>
    <x v="29"/>
    <s v="O104 (99.92):H7 (100.0)"/>
    <s v="VT1(cc)"/>
    <s v="vtx1c"/>
    <x v="33"/>
  </r>
  <r>
    <x v="1"/>
    <s v="Meat"/>
    <x v="12"/>
    <s v="O157 (100.0):H7 (100.0)"/>
    <s v="eae;O157;VT1;VT2;uidA"/>
    <s v="vtx1a;vtx2a"/>
    <x v="10"/>
  </r>
  <r>
    <x v="1"/>
    <s v="Meat"/>
    <x v="35"/>
    <s v="O116 (99.86):H16 (99.94)"/>
    <s v="VT2;uidA"/>
    <s v="vtx2a"/>
    <x v="40"/>
  </r>
  <r>
    <x v="1"/>
    <s v="Meat"/>
    <x v="12"/>
    <s v="O157 (100.0):H7 (100.0)"/>
    <s v="eae;O157;VT1;VT2;uidA"/>
    <s v="vtx1a;vtx2a"/>
    <x v="10"/>
  </r>
  <r>
    <x v="1"/>
    <s v="Lamb"/>
    <x v="19"/>
    <s v="O91 (100.0):H14 (98.85)"/>
    <s v="VT1;VT2;uidA"/>
    <s v="vtx1a;vtx2b"/>
    <x v="41"/>
  </r>
  <r>
    <x v="1"/>
    <s v="Meat"/>
    <x v="36"/>
    <s v="O26 (100.0):H32 (100.0)"/>
    <s v="O26,uidA"/>
    <s v="ND"/>
    <x v="34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2;uidA"/>
    <s v="vtx2a"/>
    <x v="13"/>
  </r>
  <r>
    <x v="0"/>
    <s v="Flour"/>
    <x v="0"/>
    <s v="O103 (100.0):H25 (100.0)"/>
    <s v="eae;VT1;uidA"/>
    <s v="vtx1a"/>
    <x v="0"/>
  </r>
  <r>
    <x v="0"/>
    <s v="Flour"/>
    <x v="0"/>
    <s v="O103 (100.0):H25 (100.0)"/>
    <s v="eae;VT1;uidA"/>
    <s v="vtx1a"/>
    <x v="0"/>
  </r>
  <r>
    <x v="1"/>
    <s v="Meat"/>
    <x v="12"/>
    <s v="O157 (100.0):H7 (100.0)"/>
    <s v="eae;VT1;VT2;uidA"/>
    <s v="vtx1a;vtx2c"/>
    <x v="18"/>
  </r>
  <r>
    <x v="0"/>
    <s v="Flour"/>
    <x v="37"/>
    <s v="O121 (100.0):H19 (98.25)"/>
    <s v="eae;hlyAEc;O121;VT2;uidA"/>
    <s v="vtx2a"/>
    <x v="40"/>
  </r>
  <r>
    <x v="0"/>
    <s v="Flour"/>
    <x v="37"/>
    <s v="O121 (100.0):H19 (98.25)"/>
    <s v="eae;hlyAEc;O121;VT2;uidA"/>
    <s v="vtx2a"/>
    <x v="40"/>
  </r>
  <r>
    <x v="0"/>
    <s v="Flour"/>
    <x v="37"/>
    <s v="O121 (100.0):H19 (98.25)"/>
    <s v="eae;hlyAEc;O121;VT2;uidA"/>
    <s v="vtx2a"/>
    <x v="40"/>
  </r>
  <r>
    <x v="0"/>
    <s v="Flour"/>
    <x v="37"/>
    <s v="O121 (100.0):H19 (98.31)"/>
    <s v="eae;hlyAEc;O121;VT2;uidA"/>
    <s v="vtx2a"/>
    <x v="40"/>
  </r>
  <r>
    <x v="1"/>
    <s v="Meat"/>
    <x v="34"/>
    <s v="O8 (99.59):H2 (100.0)"/>
    <s v="VT2;uidA"/>
    <s v="vtx2b"/>
    <x v="37"/>
  </r>
  <r>
    <x v="1"/>
    <s v="Meat"/>
    <x v="35"/>
    <s v="O116 (99.86):H16 (99.94)ND"/>
    <s v="VT2;uidA"/>
    <s v="vtx2g"/>
    <x v="42"/>
  </r>
  <r>
    <x v="1"/>
    <s v="Meat"/>
    <x v="13"/>
    <s v="O128ac;O128ab (100.0):H2 (99.93)ND"/>
    <s v="VT1;VT2;uidA"/>
    <s v="vtx1c;vtx2b"/>
    <x v="43"/>
  </r>
  <r>
    <x v="1"/>
    <s v="Meat"/>
    <x v="9"/>
    <s v="O55 (100.0):H12 (99.94)ND"/>
    <s v="VT1;uidA"/>
    <s v="vtx1a"/>
    <x v="7"/>
  </r>
  <r>
    <x v="1"/>
    <s v="Meat"/>
    <x v="20"/>
    <s v="ND"/>
    <s v="VT2"/>
    <s v="vtx2a"/>
    <x v="44"/>
  </r>
  <r>
    <x v="1"/>
    <s v="Meat"/>
    <x v="6"/>
    <s v="ND"/>
    <s v="VT1;VT2;uidA"/>
    <s v="vtx1c;vtx2b"/>
    <x v="45"/>
  </r>
  <r>
    <x v="1"/>
    <s v="Meat"/>
    <x v="28"/>
    <s v="O171 (99.91):H2 (100.0)"/>
    <s v="VT2;uidA"/>
    <s v="vtx2a"/>
    <x v="46"/>
  </r>
  <r>
    <x v="1"/>
    <s v="Meat"/>
    <x v="19"/>
    <s v="O91 (100.0):H14 (98.85)"/>
    <s v="VT1;VT2;uidA"/>
    <s v="vtx1a;vtx2b"/>
    <x v="17"/>
  </r>
  <r>
    <x v="1"/>
    <s v="Meat"/>
    <x v="24"/>
    <s v="O76 (99.6):H19 (99.89)"/>
    <s v="VT1;uidA"/>
    <s v="vtx1c"/>
    <x v="27"/>
  </r>
  <r>
    <x v="1"/>
    <s v="Meat"/>
    <x v="12"/>
    <s v="O157 (100.0):H7 (100.0)"/>
    <s v="eae;hlyAEc;O157;VT1;VT2;uidA"/>
    <s v="vtx1a;vtx2a"/>
    <x v="19"/>
  </r>
  <r>
    <x v="1"/>
    <s v="Meat"/>
    <x v="12"/>
    <s v="O157 (100.0):H7 (100.0)"/>
    <s v="eae,O157,VT1,VT2,uidA"/>
    <s v="vtx1a,vtx2c"/>
    <x v="47"/>
  </r>
  <r>
    <x v="1"/>
    <s v="Lamb"/>
    <x v="19"/>
    <s v="O91 (100.0):H14 (98.85)"/>
    <s v="hlyAEc;VT1;VT2;uidA"/>
    <s v="vtx1c;vtx2b"/>
    <x v="48"/>
  </r>
  <r>
    <x v="1"/>
    <s v="Lamb"/>
    <x v="13"/>
    <s v="O128ab (100.0):H2 (100.0)"/>
    <s v="VT1;VT2;uidA"/>
    <s v="vtx1c;vtx2b"/>
    <x v="11"/>
  </r>
  <r>
    <x v="1"/>
    <s v="Lamb"/>
    <x v="38"/>
    <s v="O8 (100.0):H9 (100.0)"/>
    <s v="VT2;uidA"/>
    <s v="vtx2e"/>
    <x v="49"/>
  </r>
  <r>
    <x v="1"/>
    <s v="Lamb"/>
    <x v="13"/>
    <s v="O-untypeable:H2 (100.0)"/>
    <s v="hlyAEc;VT1;VT2;uidA"/>
    <s v="vtx1c;vtx2b"/>
    <x v="50"/>
  </r>
  <r>
    <x v="1"/>
    <s v="Meat"/>
    <x v="27"/>
    <s v="O-untypeable:H21"/>
    <s v="VT2;uidA"/>
    <s v="vtx2c"/>
    <x v="30"/>
  </r>
  <r>
    <x v="1"/>
    <s v="Meat"/>
    <x v="16"/>
    <s v="O-untypeable:H29 (100.0)"/>
    <s v="VT2;uidA"/>
    <s v="vtx2b;vtx2c"/>
    <x v="51"/>
  </r>
  <r>
    <x v="1"/>
    <s v="Lamb"/>
    <x v="19"/>
    <s v="O91 (100.0):H14 (98.85)"/>
    <s v="VT1;VT2;uidA"/>
    <s v="vtx1a;vtx2b"/>
    <x v="52"/>
  </r>
  <r>
    <x v="1"/>
    <s v="Lamb"/>
    <x v="19"/>
    <s v="O91 (99.83):H14 (98.85)"/>
    <s v="VT1;VT2;uidA"/>
    <s v="vtx1a;vtx2b"/>
    <x v="52"/>
  </r>
  <r>
    <x v="1"/>
    <s v="Lamb"/>
    <x v="18"/>
    <s v="O-untypeable:H21 (98.64)"/>
    <s v="VT2;uidA"/>
    <s v="vtx2i"/>
    <x v="3"/>
  </r>
  <r>
    <x v="1"/>
    <s v="Meat"/>
    <x v="24"/>
    <s v="O76 (99.6):H19 (99.89)"/>
    <s v="hlyAEc;VT1;uidA"/>
    <s v="vtx1c"/>
    <x v="27"/>
  </r>
  <r>
    <x v="1"/>
    <s v="Meat"/>
    <x v="31"/>
    <s v="O78 (100.0):H16 (99.94)"/>
    <s v="VT1;uidA"/>
    <s v="vtx1a"/>
    <x v="7"/>
  </r>
  <r>
    <x v="1"/>
    <s v="Meat"/>
    <x v="27"/>
    <s v="O174 (98.25):H21 (98.64)"/>
    <s v="VT2;uidA"/>
    <s v="vtx2c"/>
    <x v="30"/>
  </r>
  <r>
    <x v="1"/>
    <s v="Meat"/>
    <x v="27"/>
    <s v="O174 (98.25):H21 (98.64)"/>
    <s v="VT2;uidA"/>
    <s v="vtx2c"/>
    <x v="30"/>
  </r>
  <r>
    <x v="1"/>
    <s v="Meat"/>
    <x v="27"/>
    <s v="O174 (98.25):H21 (98.64)"/>
    <s v="VT2;uidA"/>
    <s v="vtx2c"/>
    <x v="30"/>
  </r>
  <r>
    <x v="3"/>
    <s v="Dairy"/>
    <x v="39"/>
    <s v="O17/O77 (100.0):H18 (100.0)ND"/>
    <s v="VT2;uidA"/>
    <s v="vtx2d"/>
    <x v="53"/>
  </r>
  <r>
    <x v="3"/>
    <s v="Dairy"/>
    <x v="39"/>
    <s v="O17/O77 (100.0):H18 (100.0)ND"/>
    <s v="VT2;uidA"/>
    <s v="vtx2d"/>
    <x v="53"/>
  </r>
  <r>
    <x v="1"/>
    <s v="Meat"/>
    <x v="19"/>
    <s v="O91 (100.0):H14 (98.85)"/>
    <s v="VT1;VT2;uidA"/>
    <s v="vtx1a;vtx2b"/>
    <x v="17"/>
  </r>
  <r>
    <x v="1"/>
    <s v="Meat"/>
    <x v="19"/>
    <s v="O91 (99.92):H14 (98.85)"/>
    <s v="VT1;VT2;uidA"/>
    <s v="vtx1a;vtx2b"/>
    <x v="17"/>
  </r>
  <r>
    <x v="1"/>
    <s v="Meat"/>
    <x v="19"/>
    <s v="O91 (100.0):H14 (98.85)"/>
    <s v="VT1;VT2;uidA"/>
    <s v="vtx1a;vtx2b"/>
    <x v="17"/>
  </r>
  <r>
    <x v="2"/>
    <s v="Nuts/Seeds"/>
    <x v="40"/>
    <s v="ND"/>
    <s v="VT2"/>
    <s v="vtx2a"/>
    <x v="13"/>
  </r>
  <r>
    <x v="1"/>
    <s v="Meat"/>
    <x v="12"/>
    <s v="O157 (100.0):H7 (100.0)"/>
    <s v="eae;O157;VT1;VT2;uidA"/>
    <s v="vtx1a;vtx2c"/>
    <x v="26"/>
  </r>
  <r>
    <x v="1"/>
    <s v="Meat"/>
    <x v="12"/>
    <s v="O157 (100.0):H7 (100.0)"/>
    <s v="eae;O157;VT1;VT2;uidA"/>
    <s v="vtx1a;vtx2c"/>
    <x v="25"/>
  </r>
  <r>
    <x v="1"/>
    <s v="Meat"/>
    <x v="19"/>
    <s v="O91:H14 (98.85)"/>
    <s v="VT1,VT2,uidA"/>
    <s v="vtx1a,vtx2b"/>
    <x v="17"/>
  </r>
  <r>
    <x v="1"/>
    <s v="Meat"/>
    <x v="13"/>
    <s v="O128ab (99.93):H2 (100.0)"/>
    <s v="VT1,VT2,uidA"/>
    <s v="vtx1c,vtx2b"/>
    <x v="54"/>
  </r>
  <r>
    <x v="1"/>
    <s v="Meat"/>
    <x v="13"/>
    <s v="O128ac;O128ab (100.0):H2 (99.93)ND"/>
    <s v="VT1;VT2;uidA"/>
    <s v="vtx1c;vtx2b"/>
    <x v="43"/>
  </r>
  <r>
    <x v="1"/>
    <s v="Lamb"/>
    <x v="19"/>
    <s v="O91 (99.92):H14 (98.85)"/>
    <s v="VT1;VT2;uidA"/>
    <s v="vtx1a;vtx2b"/>
    <x v="17"/>
  </r>
  <r>
    <x v="1"/>
    <s v="Lamb"/>
    <x v="19"/>
    <s v="O91 (100.0):H14 (98.85)"/>
    <s v="VT1;VT2;uidA"/>
    <s v="vtx1a;vtx2b"/>
    <x v="17"/>
  </r>
  <r>
    <x v="0"/>
    <s v="Flour"/>
    <x v="0"/>
    <s v="O103 (100.0):H25 (100.0)"/>
    <s v="eae;VT1;uidA"/>
    <s v="vtx1a"/>
    <x v="0"/>
  </r>
  <r>
    <x v="3"/>
    <s v="Dairy"/>
    <x v="12"/>
    <s v="O157 (100.0):H7 (100.0)"/>
    <s v="eae;hlyAEc;O157;VT2;uidA"/>
    <s v="vtx2a"/>
    <x v="13"/>
  </r>
  <r>
    <x v="3"/>
    <s v="Dairy"/>
    <x v="12"/>
    <s v="O157 (100.0):H7 (100.0)"/>
    <s v="eae;hlyAEc;O157;VT2;uidA"/>
    <s v="vtx2a"/>
    <x v="13"/>
  </r>
  <r>
    <x v="1"/>
    <s v="Lamb"/>
    <x v="13"/>
    <s v="O128ab;O128ac (100.0):H2 (100.0)"/>
    <s v="VT1(cc);VT2(cc)"/>
    <s v="vtx1c;vtx2b"/>
    <x v="54"/>
  </r>
  <r>
    <x v="1"/>
    <s v="Lamb"/>
    <x v="19"/>
    <s v="O91 (99.92):H14 (98.79)"/>
    <s v="hlyAEc;VT1;VT2;uidA"/>
    <s v="vtx1a;vtx2b"/>
    <x v="55"/>
  </r>
  <r>
    <x v="1"/>
    <s v="Lamb"/>
    <x v="19"/>
    <s v="O91 (99.92):H14 (98.79)"/>
    <s v="hlyAEc;VT1;VT2;uidA"/>
    <s v="vtx1a;vtx2b"/>
    <x v="55"/>
  </r>
  <r>
    <x v="1"/>
    <s v="Lamb"/>
    <x v="29"/>
    <s v="O-untypeable:H7 (100.0)"/>
    <s v="VT1;uidA"/>
    <s v="vtx1c"/>
    <x v="33"/>
  </r>
  <r>
    <x v="1"/>
    <s v="Meat"/>
    <x v="27"/>
    <s v="O-untypeable:H21 (98.64)"/>
    <s v="VT2;uidA"/>
    <s v="vtx2c"/>
    <x v="30"/>
  </r>
  <r>
    <x v="1"/>
    <s v="Meat"/>
    <x v="13"/>
    <s v="O128ab (100.0):H2 (100.0)ND"/>
    <s v="VT1;VT2;uidA"/>
    <s v="vtx1c;vtx2b"/>
    <x v="56"/>
  </r>
  <r>
    <x v="1"/>
    <s v="Meat"/>
    <x v="27"/>
    <s v="O-untypeable:H21 (98.64)"/>
    <s v="VT2;uidA"/>
    <s v="vtx2c"/>
    <x v="30"/>
  </r>
  <r>
    <x v="1"/>
    <s v="Lamb"/>
    <x v="41"/>
    <s v="O-untypeable:H16 (99.94)"/>
    <s v="VT1;uidA"/>
    <s v="vtx1c"/>
    <x v="33"/>
  </r>
  <r>
    <x v="3"/>
    <s v="Dairy"/>
    <x v="39"/>
    <s v="O17/O77 (100.0):H18 (100.0)ND"/>
    <s v="VT2;uidA"/>
    <s v="vtx2d"/>
    <x v="53"/>
  </r>
  <r>
    <x v="1"/>
    <s v="Lamb"/>
    <x v="18"/>
    <s v="O-untypeable:H21 (98.64)"/>
    <s v="VT2;uidA"/>
    <s v="vtx2i"/>
    <x v="3"/>
  </r>
  <r>
    <x v="1"/>
    <s v="Meat"/>
    <x v="42"/>
    <s v="O-untypeable:H21 (98.64)"/>
    <s v="VT1(cc)"/>
    <s v="vtx1c"/>
    <x v="33"/>
  </r>
  <r>
    <x v="1"/>
    <s v="Lamb"/>
    <x v="18"/>
    <s v="O-untypeable:H21 (98.64)"/>
    <s v="VT2;uidA"/>
    <s v="vtx2i"/>
    <x v="3"/>
  </r>
  <r>
    <x v="1"/>
    <s v="Meat"/>
    <x v="43"/>
    <s v="O146 (99.94):H8 (99.86)"/>
    <s v="uidA;VT1"/>
    <s v="vtx1c"/>
    <x v="33"/>
  </r>
  <r>
    <x v="1"/>
    <s v="Meat"/>
    <x v="43"/>
    <s v="O146 (100.0):H8 (99.86)"/>
    <s v="VT1;uidA"/>
    <s v="vtx1c"/>
    <x v="33"/>
  </r>
  <r>
    <x v="1"/>
    <s v="Meat"/>
    <x v="43"/>
    <s v="O146 (100.0):H8 (99.86)"/>
    <s v="VT1;uidA"/>
    <s v="vtx1c"/>
    <x v="33"/>
  </r>
  <r>
    <x v="1"/>
    <s v="Meat"/>
    <x v="44"/>
    <s v="O123/O186 (100.0):H10 (99.37)"/>
    <s v="uidA;hylA;VT1;VT2"/>
    <s v="vtx1c;vtx2b"/>
    <x v="57"/>
  </r>
  <r>
    <x v="1"/>
    <s v="Meat"/>
    <x v="13"/>
    <s v="O128ab;O128ac (100.0):H2 (100.0)"/>
    <s v="uidA;VT1;VT2;hylA"/>
    <s v="vtx1c;vtx2b"/>
    <x v="11"/>
  </r>
  <r>
    <x v="1"/>
    <s v="Meat"/>
    <x v="17"/>
    <s v="O-untypeable:H8 (100.0)"/>
    <s v="uidA;VT1;VT2"/>
    <s v="vtx1c;vtx2b"/>
    <x v="58"/>
  </r>
  <r>
    <x v="1"/>
    <s v="Meat"/>
    <x v="45"/>
    <s v="O153/O178 (100.0):H7 (99.94)"/>
    <s v="VT1;uidA"/>
    <s v="vtx1c"/>
    <x v="27"/>
  </r>
  <r>
    <x v="1"/>
    <s v="Meat"/>
    <x v="45"/>
    <s v="O153/O178 (100.0):H7 (99.94)"/>
    <s v="VT1;uidA"/>
    <s v="vtx1c"/>
    <x v="59"/>
  </r>
  <r>
    <x v="1"/>
    <s v="Meat"/>
    <x v="45"/>
    <s v="O153/O178 (100.0):H7 (99.94)"/>
    <s v="VT1;uidA"/>
    <s v="vtx1c"/>
    <x v="59"/>
  </r>
  <r>
    <x v="1"/>
    <s v="Meat"/>
    <x v="45"/>
    <s v="O153/O178 (100.0):H7 (99.94)"/>
    <s v="VT1;uidA"/>
    <s v="vtx1c"/>
    <x v="59"/>
  </r>
  <r>
    <x v="1"/>
    <s v="Lamb"/>
    <x v="18"/>
    <s v="O-untypeable:H21 (98.64)"/>
    <s v="VT2;uidA"/>
    <s v="vtx2i"/>
    <x v="3"/>
  </r>
  <r>
    <x v="1"/>
    <s v="Meat"/>
    <x v="42"/>
    <s v="O-untypeable:H21 (98.64)"/>
    <s v="VT1(cc)"/>
    <s v="vtx1c"/>
    <x v="33"/>
  </r>
  <r>
    <x v="1"/>
    <s v="Meat"/>
    <x v="12"/>
    <s v="O157 (100.0):H7 (100.0)"/>
    <s v="eae;O157;VT1;VT2;uidA"/>
    <s v="vtx1a;vtx2c"/>
    <x v="60"/>
  </r>
  <r>
    <x v="1"/>
    <s v="Meat"/>
    <x v="12"/>
    <s v="O157 (100.0):H7 (100.0)"/>
    <s v="eae;hlyAEc;O157;VT1;VT2;uidA"/>
    <s v="vtx1a;vtx2c"/>
    <x v="60"/>
  </r>
  <r>
    <x v="1"/>
    <s v="Meat"/>
    <x v="12"/>
    <s v="O157 (100.0):H7 (100.0)"/>
    <s v="eae;O157;VT2;uidA"/>
    <s v="vtx2c"/>
    <x v="39"/>
  </r>
  <r>
    <x v="1"/>
    <s v="Meat"/>
    <x v="20"/>
    <s v="O113 (100.0):H21 (98.64)"/>
    <s v="VT2;uidA"/>
    <s v="vtx2d"/>
    <x v="20"/>
  </r>
  <r>
    <x v="1"/>
    <s v="Meat"/>
    <x v="20"/>
    <s v="O113 (100.0):H21 (98.64)"/>
    <s v="VT2;uidA"/>
    <s v="vtx2d"/>
    <x v="20"/>
  </r>
  <r>
    <x v="2"/>
    <s v="Nuts/Seeds"/>
    <x v="46"/>
    <s v="ND"/>
    <s v="VT1;VT2;uidA"/>
    <s v="vtx1a;vtx2a"/>
    <x v="61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2;uidA"/>
    <s v="vtx2c"/>
    <x v="39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O157;VT2;uidA"/>
    <s v="vtx2c"/>
    <x v="39"/>
  </r>
  <r>
    <x v="1"/>
    <s v="Meat"/>
    <x v="12"/>
    <s v="O157 (100.0):H7 (100.0)"/>
    <s v="eae;hlyAEc;O157;VT2;uidA"/>
    <s v="vtx2c"/>
    <x v="39"/>
  </r>
  <r>
    <x v="1"/>
    <s v="Meat"/>
    <x v="12"/>
    <s v="O157 (100.0):H7 (100.0)"/>
    <s v="eae;O157;VT2;uidA"/>
    <s v="vtx2c"/>
    <x v="39"/>
  </r>
  <r>
    <x v="1"/>
    <s v="Meat"/>
    <x v="12"/>
    <s v="O157 (100.0):H7 (100.0)"/>
    <s v="eae;hlyAEc;O157;VT2;uidA"/>
    <s v="vtx2c"/>
    <x v="39"/>
  </r>
  <r>
    <x v="1"/>
    <s v="Meat"/>
    <x v="12"/>
    <s v="O157 (100.0):H7 (100.0)"/>
    <s v="eae;O157;VT2;uidA"/>
    <s v="vtx2c"/>
    <x v="39"/>
  </r>
  <r>
    <x v="1"/>
    <s v="Meat"/>
    <x v="12"/>
    <s v="O157 (100.0):H7 (100.0)"/>
    <s v="eae;hlyAEc;O157;VT2;uidA"/>
    <s v="vtx2c"/>
    <x v="39"/>
  </r>
  <r>
    <x v="1"/>
    <s v="Meat"/>
    <x v="12"/>
    <s v="O157 (100.0):H7 (100.0)"/>
    <s v="eae;O157;VT2;uidA"/>
    <s v="vtx2a"/>
    <x v="62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2;uidA"/>
    <s v="vtx2c"/>
    <x v="39"/>
  </r>
  <r>
    <x v="1"/>
    <s v="Meat"/>
    <x v="12"/>
    <s v="O157 (100.0):H7 (100.0)"/>
    <s v="eae;hlyAEc;O157;VT2;uidA"/>
    <s v="vtx2c"/>
    <x v="39"/>
  </r>
  <r>
    <x v="4"/>
    <s v="Environment"/>
    <x v="12"/>
    <s v="O157 (100.0):H7 (100.0)"/>
    <s v="eae;O157;VT2;uidA"/>
    <s v="vtx2c"/>
    <x v="39"/>
  </r>
  <r>
    <x v="4"/>
    <s v="Environment"/>
    <x v="12"/>
    <s v="O157 (100.0):H7 (100.0)"/>
    <s v="eae;hlyAEc;O157;VT2;uidA"/>
    <s v="vtx2c"/>
    <x v="39"/>
  </r>
  <r>
    <x v="4"/>
    <s v="Environment"/>
    <x v="12"/>
    <s v="O157 (100.0):H7 (100.0)"/>
    <s v="eae;hlyAEc;O157;VT1;VT2;uidA"/>
    <s v="vtx1a;vtx2a"/>
    <x v="10"/>
  </r>
  <r>
    <x v="4"/>
    <s v="Environment"/>
    <x v="12"/>
    <s v="O157 (100.0):H7 (100.0)"/>
    <s v="eae;hlyAEc;O157;VT1;VT2;uidA"/>
    <s v="vtx1a;vtx2a"/>
    <x v="10"/>
  </r>
  <r>
    <x v="4"/>
    <s v="Environment"/>
    <x v="12"/>
    <s v="O157 (100.0):H7 (100.0)"/>
    <s v="eae;O157;VT2;uidA"/>
    <s v="vtx2c"/>
    <x v="39"/>
  </r>
  <r>
    <x v="4"/>
    <s v="Environment"/>
    <x v="12"/>
    <s v="O157 (100.0):H7 (100.0)"/>
    <s v="eae;hlyAEc;O157;VT2;uidA"/>
    <s v="vtx2c"/>
    <x v="63"/>
  </r>
  <r>
    <x v="4"/>
    <s v="Environment"/>
    <x v="12"/>
    <s v="O157 (100.0):H7 (100.0)"/>
    <s v="eae;hlyAEc;O157;VT2;uidA"/>
    <s v="vtx2c"/>
    <x v="64"/>
  </r>
  <r>
    <x v="1"/>
    <s v="Meat"/>
    <x v="12"/>
    <s v="O157 (100.0):H7 (100.0)"/>
    <s v="eae;O157;VT2;uidA"/>
    <s v="vtx2c"/>
    <x v="39"/>
  </r>
  <r>
    <x v="4"/>
    <s v="Environment"/>
    <x v="12"/>
    <s v="O157 (100.0):H7 (100.0)"/>
    <s v="eae;O157;VT2;uidA"/>
    <s v="vtx1a;vtx2c"/>
    <x v="65"/>
  </r>
  <r>
    <x v="4"/>
    <s v="Environment"/>
    <x v="12"/>
    <s v="O157 (100.0):H7 (100.0)"/>
    <s v="eae;hlyAEc;O157;VT2;uidA"/>
    <s v="vtx2c"/>
    <x v="63"/>
  </r>
  <r>
    <x v="5"/>
    <s v="Vegetable"/>
    <x v="47"/>
    <s v="O146 (99.35):H32 (100.0)ND"/>
    <s v="VT2;uidA"/>
    <s v="vtx2a"/>
    <x v="66"/>
  </r>
  <r>
    <x v="5"/>
    <s v="Vegetable"/>
    <x v="47"/>
    <s v="O146 (99.66):H32 (100.0)ND"/>
    <s v="VT2;uidA"/>
    <s v="vtx2a"/>
    <x v="66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2;uidA"/>
    <s v="vtx2c"/>
    <x v="63"/>
  </r>
  <r>
    <x v="1"/>
    <s v="Meat"/>
    <x v="12"/>
    <s v="O157 (100.0):H7 (100.0)"/>
    <s v="eae;O157;VT1;VT2;uidA"/>
    <s v="vtx1a;vtx2a"/>
    <x v="10"/>
  </r>
  <r>
    <x v="5"/>
    <s v="Vegetable"/>
    <x v="12"/>
    <s v="O157 (100.0):H7 (100.0)ND"/>
    <s v="eae;O157;VT1;VT2;uidA"/>
    <s v="vtx1a;vtx2a"/>
    <x v="10"/>
  </r>
  <r>
    <x v="2"/>
    <s v="Nuts/Seeds"/>
    <x v="3"/>
    <s v="O159 (99.86):H19 (99.89)ND"/>
    <s v="VT2;uidA"/>
    <s v="vtx2a"/>
    <x v="1"/>
  </r>
  <r>
    <x v="1"/>
    <s v="Meat"/>
    <x v="12"/>
    <s v="O157 (100.0):H7 (100.0)"/>
    <s v="eae;O157;VT2;uidA"/>
    <s v="vtx2c"/>
    <x v="39"/>
  </r>
  <r>
    <x v="2"/>
    <s v="Nuts/Seeds"/>
    <x v="3"/>
    <s v="O159 (99.86):H19 (99.89)ND"/>
    <s v="VT2;uidA"/>
    <s v="vtx2a"/>
    <x v="1"/>
  </r>
  <r>
    <x v="2"/>
    <s v="Nuts/Seeds"/>
    <x v="3"/>
    <s v="O159 (99.86):H19 (99.89)ND"/>
    <s v="VT2;uidA"/>
    <s v="vtx2a"/>
    <x v="1"/>
  </r>
  <r>
    <x v="2"/>
    <s v="Nuts/Seeds"/>
    <x v="3"/>
    <s v="O159 (99.86):H19 (99.89)ND"/>
    <s v="VT2;uidA"/>
    <s v="vtx2a"/>
    <x v="1"/>
  </r>
  <r>
    <x v="2"/>
    <s v="Nuts/Seeds"/>
    <x v="3"/>
    <s v="O159 (99.86):H19 (99.89)ND"/>
    <s v="VT2;uidA"/>
    <s v="vtx2a"/>
    <x v="1"/>
  </r>
  <r>
    <x v="1"/>
    <s v="Meat"/>
    <x v="48"/>
    <s v="O121 (100.0):H10 (99.13)"/>
    <s v="O121;VT2;uidA"/>
    <s v="vtx2e"/>
    <x v="67"/>
  </r>
  <r>
    <x v="1"/>
    <s v="Meat"/>
    <x v="12"/>
    <s v="O157:H7"/>
    <s v="eae;hlyAEc;O157;VT1;VT2;uidA"/>
    <s v="vtx1a"/>
    <x v="19"/>
  </r>
  <r>
    <x v="1"/>
    <s v="Meat"/>
    <x v="12"/>
    <s v="O157 (100.0):H7 (100.0)"/>
    <s v="eae;O157;VT1;VT2;uidA"/>
    <s v="vtx1a"/>
    <x v="19"/>
  </r>
  <r>
    <x v="1"/>
    <s v="Meat"/>
    <x v="12"/>
    <s v="O157 (100.0):H7 (100.0)"/>
    <s v="eae;O157;VT1;VT2;uidA"/>
    <s v="vtx1a;vtx2a"/>
    <x v="19"/>
  </r>
  <r>
    <x v="2"/>
    <s v="Nuts/Seeds"/>
    <x v="26"/>
    <s v="O185 (98.91):H7 (100.0)"/>
    <s v="VT2;uidA"/>
    <s v="vtx2c"/>
    <x v="29"/>
  </r>
  <r>
    <x v="1"/>
    <s v="Meat"/>
    <x v="48"/>
    <s v="O121 (100.0):H10 (99.13)"/>
    <s v="O121;VT2;uidA"/>
    <s v="vtx2e"/>
    <x v="67"/>
  </r>
  <r>
    <x v="1"/>
    <s v="Meat"/>
    <x v="19"/>
    <s v="O91 (99.92):H14 (98.85)"/>
    <s v="VT1;uidA"/>
    <s v="vtx1a"/>
    <x v="0"/>
  </r>
  <r>
    <x v="1"/>
    <s v="Meat"/>
    <x v="19"/>
    <s v="O91 (99.92):H14 (98.85)"/>
    <s v="VT1;uidA"/>
    <s v="vtx1a"/>
    <x v="0"/>
  </r>
  <r>
    <x v="1"/>
    <s v="Meat"/>
    <x v="19"/>
    <s v="O91 (99.92):H14 (98.85)"/>
    <s v="VT1;uidA"/>
    <s v="vtx1a"/>
    <x v="0"/>
  </r>
  <r>
    <x v="1"/>
    <s v="Meat"/>
    <x v="19"/>
    <s v="O91 (99.92):H14 (98.85)"/>
    <s v="VT1;uidA"/>
    <s v="vtx1a"/>
    <x v="0"/>
  </r>
  <r>
    <x v="1"/>
    <s v="Meat"/>
    <x v="12"/>
    <s v="O157 (100.0):H7 (100.0)"/>
    <s v="eae;O157;VT1;VT2;uidA"/>
    <s v="vtx1a;vtx2a"/>
    <x v="10"/>
  </r>
  <r>
    <x v="1"/>
    <s v="Meat"/>
    <x v="40"/>
    <s v="O132 (99.92):H18 (97.54)"/>
    <s v="VT2;uidA"/>
    <s v="vtx2a"/>
    <x v="13"/>
  </r>
  <r>
    <x v="1"/>
    <s v="Meat"/>
    <x v="40"/>
    <s v="O132 (99.92):H18 (97.54)"/>
    <s v="VT2;uidA"/>
    <s v="vtx2a"/>
    <x v="13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O157;VT1;VT2;uidA"/>
    <s v="vtx1a;vtx2a"/>
    <x v="19"/>
  </r>
  <r>
    <x v="1"/>
    <s v="Meat"/>
    <x v="12"/>
    <s v="O157 (100.0):H7 (100.0)ND"/>
    <s v="eae;O157;VT1;VT2;uidA"/>
    <s v="vtx1a"/>
    <x v="19"/>
  </r>
  <r>
    <x v="1"/>
    <s v="Meat"/>
    <x v="12"/>
    <s v="O157 (100.0):H7 (100.0)"/>
    <s v="eae;O157;VT1;VT2;uidA"/>
    <s v="vtx1a;vtx2a"/>
    <x v="68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"/>
    <x v="19"/>
  </r>
  <r>
    <x v="1"/>
    <s v="Meat"/>
    <x v="12"/>
    <s v="O157 (100.0):H7 (100.0)"/>
    <s v="eae;O157;VT1;VT2;uidA"/>
    <s v="vtx1a"/>
    <x v="10"/>
  </r>
  <r>
    <x v="1"/>
    <s v="Meat"/>
    <x v="12"/>
    <s v="O157 (100.0):H7 (100.0)"/>
    <s v="eae;O157;VT1;VT2;uidA"/>
    <s v="vtx1a"/>
    <x v="19"/>
  </r>
  <r>
    <x v="1"/>
    <s v="Meat"/>
    <x v="12"/>
    <s v="O157 (100.0):H7 (100.0)"/>
    <s v="eae;O157;VT1;VT2;uidA"/>
    <s v="vtx1a;vtx2a"/>
    <x v="19"/>
  </r>
  <r>
    <x v="1"/>
    <s v="Meat"/>
    <x v="49"/>
    <s v="O115 (100.0):H10 (99.37)"/>
    <s v="VT1;uidA"/>
    <s v="vtx1a"/>
    <x v="0"/>
  </r>
  <r>
    <x v="6"/>
    <s v="Other"/>
    <x v="12"/>
    <s v="O157 (100.0):H7 (100.0)ND"/>
    <s v="eae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2;uidA"/>
    <s v="vtx2a"/>
    <x v="13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hlyAEc;O157;VT2;uidA"/>
    <s v="vtx2c"/>
    <x v="39"/>
  </r>
  <r>
    <x v="1"/>
    <s v="Meat"/>
    <x v="12"/>
    <s v="O157 (100.0):H7 (100.0)"/>
    <s v="eae;hlyAEc;O157;VT2;uidA"/>
    <s v="vtx2a"/>
    <x v="62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2"/>
    <s v="Nuts/Seeds"/>
    <x v="50"/>
    <s v="O168 (100.0):H8 (100.0)"/>
    <s v="VT2"/>
    <s v="vtx2a"/>
    <x v="40"/>
  </r>
  <r>
    <x v="1"/>
    <s v="Meat"/>
    <x v="12"/>
    <s v="O157 (100.0):H7 (100.0)"/>
    <s v="eae;hlyAEc;O157;VT1;uidA"/>
    <s v="vtx1a"/>
    <x v="8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2;uidA"/>
    <s v="vtx2a"/>
    <x v="13"/>
  </r>
  <r>
    <x v="1"/>
    <s v="Meat"/>
    <x v="12"/>
    <s v="O157 (100.0):H7 (100.0)"/>
    <s v="eae;hlyAEc;O157;VT2;uidA"/>
    <s v="vtx2a"/>
    <x v="13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69"/>
  </r>
  <r>
    <x v="1"/>
    <s v="Meat"/>
    <x v="12"/>
    <s v="O157 (100.0):H7 (100.0)"/>
    <s v="eae;hlyAEc;O157;VT1;VT2;uidA"/>
    <s v="vtx1a;vtx2c"/>
    <x v="6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O157;VT2;uidA"/>
    <s v="vtx2c"/>
    <x v="39"/>
  </r>
  <r>
    <x v="2"/>
    <s v="Nuts/Seeds"/>
    <x v="27"/>
    <s v="O174 (98.25):H21 (98.64)"/>
    <s v="VT2"/>
    <s v="vtx2c"/>
    <x v="70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hlyAEc;O157;VT1;VT2;uidA"/>
    <s v="vtx1a;vtx2a"/>
    <x v="10"/>
  </r>
  <r>
    <x v="1"/>
    <s v="Meat"/>
    <x v="12"/>
    <s v="O157 (100.0):H7 (100.0)"/>
    <s v="eae;hlyAEc;O157;VT1;VT2;uidA"/>
    <s v="vtx1a;vtx2a"/>
    <x v="19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1;VT2;uidA"/>
    <s v="vtx1a;vtx2a"/>
    <x v="19"/>
  </r>
  <r>
    <x v="1"/>
    <s v="Meat"/>
    <x v="12"/>
    <s v="O157 (100.0):H7 (100.0)ND"/>
    <s v="eae;O157;VT2;uidA"/>
    <s v="vtx2a"/>
    <x v="13"/>
  </r>
  <r>
    <x v="1"/>
    <s v="Meat"/>
    <x v="12"/>
    <s v="O157 (100.0):H7 (100.0)ND"/>
    <s v="eae;O157;VT1;VT2;uidA"/>
    <s v="vtx1a;vtx2a"/>
    <x v="10"/>
  </r>
  <r>
    <x v="6"/>
    <s v="Other"/>
    <x v="12"/>
    <s v="O157 (95.11):H7 (100.0)"/>
    <s v="eae;O157;VT2;uidA"/>
    <s v="vtx2a"/>
    <x v="10"/>
  </r>
  <r>
    <x v="1"/>
    <s v="Meat"/>
    <x v="12"/>
    <s v="O157 (100.0):H7 (100.0)ND"/>
    <s v="eae;O157;VT1;VT2;uidA"/>
    <s v="vtx1a;vtx2a"/>
    <x v="10"/>
  </r>
  <r>
    <x v="2"/>
    <s v="Nuts/Seeds"/>
    <x v="46"/>
    <s v="- (-):H18 (98.38)"/>
    <s v="VT1;VT2;uidA"/>
    <s v="vtx1a;vtx2a"/>
    <x v="61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2;uidA"/>
    <s v="vtx2a"/>
    <x v="13"/>
  </r>
  <r>
    <x v="1"/>
    <s v="Meat"/>
    <x v="12"/>
    <s v="O157 (100.0):H7 (100.0)"/>
    <s v="eae;hlyAEc;O157;VT1;VT2;uidA"/>
    <s v="vtx1a;vtx2a"/>
    <x v="19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O157;VT1;VT2;uidA"/>
    <s v="vtx1a;vtx2a"/>
    <x v="19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1;VT2;uidA"/>
    <s v="vtx1a;vtx2a"/>
    <x v="10"/>
  </r>
  <r>
    <x v="1"/>
    <s v="Meat"/>
    <x v="12"/>
    <s v="O157 (100.0):H7 (100.0)ND"/>
    <s v="eae;O157;VT2;uidA"/>
    <s v="vtx2c"/>
    <x v="39"/>
  </r>
  <r>
    <x v="1"/>
    <s v="Meat"/>
    <x v="12"/>
    <s v="O157 (100.0):H7 (100.0)ND"/>
    <s v="eae;O157;VT2;uidA"/>
    <s v="vtx2c"/>
    <x v="39"/>
  </r>
  <r>
    <x v="1"/>
    <s v="Meat"/>
    <x v="12"/>
    <s v="O157 (100.0):H7 (100.0)"/>
    <s v="eae;O157;VT1;VT2;uidA"/>
    <s v="vtx1a;vtx2a"/>
    <x v="10"/>
  </r>
  <r>
    <x v="2"/>
    <s v="Nuts/Seeds"/>
    <x v="46"/>
    <s v="- (-):H18 (98.38)"/>
    <s v="VT1;VT2;uidA"/>
    <s v="vtx1a;vtx2a"/>
    <x v="61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O157;VT2;uidA"/>
    <s v="vtx2c"/>
    <x v="39"/>
  </r>
  <r>
    <x v="1"/>
    <s v="Meat"/>
    <x v="12"/>
    <s v="O157 (100.0):H7 (100.0)ND"/>
    <s v="eae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1"/>
    <s v="Meat"/>
    <x v="12"/>
    <s v="O157 (100.0):H7 (100.0)ND"/>
    <s v="eae;O157;VT2;uidA"/>
    <s v="vtx2c"/>
    <x v="39"/>
  </r>
  <r>
    <x v="1"/>
    <s v="Meat"/>
    <x v="12"/>
    <s v="O157 (100.0):H7 (100.0)"/>
    <s v="eae;O157;VT2;uidA"/>
    <s v="vtx2c"/>
    <x v="39"/>
  </r>
  <r>
    <x v="2"/>
    <s v="Nuts/Seeds"/>
    <x v="46"/>
    <s v="- (-):H18 (98.38)"/>
    <s v="VT1;VT2;uidA"/>
    <s v="vtx1a;vtx2a"/>
    <x v="71"/>
  </r>
  <r>
    <x v="1"/>
    <s v="Meat"/>
    <x v="12"/>
    <s v="O157 (100.0):H7 (100.0)"/>
    <s v="eae;O157;VT2;uidA"/>
    <s v="vtx2a"/>
    <x v="62"/>
  </r>
  <r>
    <x v="1"/>
    <s v="Meat"/>
    <x v="12"/>
    <s v="O157 (100.0):H7 (100.0)"/>
    <s v="eae;hlyAEc;O157;VT2;uidA"/>
    <s v="vtx2a"/>
    <x v="62"/>
  </r>
  <r>
    <x v="2"/>
    <s v="Nuts/Seeds"/>
    <x v="12"/>
    <s v="O157 (100.0):H7 (100.0)"/>
    <s v="eae;O157;VT2;uidA"/>
    <s v="vtx2a"/>
    <x v="62"/>
  </r>
  <r>
    <x v="1"/>
    <s v="Meat"/>
    <x v="12"/>
    <s v="O157 (100.0):H7 (100.0)"/>
    <s v="eae;O157;VT1;VT2;uidA"/>
    <s v="vtx1a;vtx2c"/>
    <x v="25"/>
  </r>
  <r>
    <x v="1"/>
    <s v="Meat"/>
    <x v="12"/>
    <s v="O157 (100.0):H7 (100.0)"/>
    <s v="eae;hlyAEc;O157;VT2;uidA"/>
    <s v="vtx2a"/>
    <x v="62"/>
  </r>
  <r>
    <x v="1"/>
    <s v="Meat"/>
    <x v="12"/>
    <s v="O157 (100.0):H7 (100.0)ND"/>
    <s v="eae;O157;VT2;uidA"/>
    <s v="vtx2c"/>
    <x v="39"/>
  </r>
  <r>
    <x v="1"/>
    <s v="Meat"/>
    <x v="12"/>
    <s v="O157 (100.0):H7 (100.0)ND"/>
    <s v="eae;O157;VT2;uidA"/>
    <s v="vtx2a"/>
    <x v="13"/>
  </r>
  <r>
    <x v="1"/>
    <s v="Meat"/>
    <x v="12"/>
    <s v="O157 (100.0):H7 (100.0)ND"/>
    <s v="eae;O157;VT2;uidA"/>
    <s v="vtx2c"/>
    <x v="39"/>
  </r>
  <r>
    <x v="1"/>
    <s v="Meat"/>
    <x v="12"/>
    <s v="O157 (100.0):H7 (100.0)ND"/>
    <s v="eae;O157;VT2;uidA"/>
    <s v="vtx2c"/>
    <x v="39"/>
  </r>
  <r>
    <x v="5"/>
    <s v="Vegetable"/>
    <x v="12"/>
    <s v="O157 (100.0):H7 (100.0)"/>
    <s v="eae;O157;VT1;VT2;uidA"/>
    <s v="vtx1a;vtx2a"/>
    <x v="72"/>
  </r>
  <r>
    <x v="2"/>
    <s v="Nuts/Seeds"/>
    <x v="50"/>
    <s v="O168 (100.0):H8 (100.0)ND"/>
    <s v="VT2;uidA"/>
    <s v="vtx2a"/>
    <x v="40"/>
  </r>
  <r>
    <x v="2"/>
    <s v="Nuts/Seeds"/>
    <x v="26"/>
    <s v="O185 (98.91):H7 (100.0)"/>
    <s v="VT2;uidA"/>
    <s v="vtx2c"/>
    <x v="29"/>
  </r>
  <r>
    <x v="1"/>
    <s v="Meat"/>
    <x v="43"/>
    <s v="O146:H8"/>
    <s v="VT1;uidA"/>
    <s v="vtx1c"/>
    <x v="33"/>
  </r>
  <r>
    <x v="1"/>
    <s v="Meat"/>
    <x v="19"/>
    <s v="O91:H14"/>
    <s v="VT1;VT2;uidA"/>
    <s v="vtx1a;vtx2b"/>
    <x v="17"/>
  </r>
  <r>
    <x v="1"/>
    <s v="Lamb"/>
    <x v="43"/>
    <s v="O-untypeable:H8 (99.86)"/>
    <s v="VT1;uidA"/>
    <s v="vtx1c"/>
    <x v="33"/>
  </r>
  <r>
    <x v="1"/>
    <s v="Lamb"/>
    <x v="51"/>
    <s v="O-untypeable:H8"/>
    <s v="VT1;uidA"/>
    <s v="vtx1c"/>
    <x v="33"/>
  </r>
  <r>
    <x v="1"/>
    <s v="Lamb"/>
    <x v="43"/>
    <s v="O146:H8"/>
    <s v="VT1;uidA"/>
    <s v="vtx1c"/>
    <x v="33"/>
  </r>
  <r>
    <x v="1"/>
    <s v="Lamb"/>
    <x v="43"/>
    <s v="O146:H8"/>
    <s v="VT1;uidA"/>
    <s v="vtx1c"/>
    <x v="33"/>
  </r>
  <r>
    <x v="1"/>
    <s v="Meat"/>
    <x v="43"/>
    <s v="O146:H8"/>
    <s v="VT1;uidA"/>
    <s v="vtx1c"/>
    <x v="33"/>
  </r>
  <r>
    <x v="1"/>
    <s v="Meat"/>
    <x v="51"/>
    <s v="O-untypeable:H8"/>
    <s v="VT1;uidA"/>
    <s v="vtx1c"/>
    <x v="33"/>
  </r>
  <r>
    <x v="6"/>
    <s v="Other"/>
    <x v="52"/>
    <s v="O22 (98.06):H8 (100.0)"/>
    <s v="VT1;VT2;uidA"/>
    <s v="vtx1c;vtx2b"/>
    <x v="16"/>
  </r>
  <r>
    <x v="6"/>
    <s v="Other"/>
    <x v="53"/>
    <s v="O145 (99.84):H34 (98.9)"/>
    <s v="eae;O145;VT2;VT2f;uidA"/>
    <s v="vtx2f"/>
    <x v="73"/>
  </r>
  <r>
    <x v="1"/>
    <s v="Lamb"/>
    <x v="51"/>
    <s v="O-untypeable:H8 (99.86)"/>
    <s v="VT1;uidA"/>
    <s v="vtx1c"/>
    <x v="33"/>
  </r>
  <r>
    <x v="1"/>
    <s v="Lamb"/>
    <x v="54"/>
    <s v="O-untypeable:H26 (98.81)"/>
    <s v="hlyAEc;VT1;VT2;uidA"/>
    <s v="vtx1c;vtx2b"/>
    <x v="16"/>
  </r>
  <r>
    <x v="1"/>
    <s v="Meat"/>
    <x v="55"/>
    <s v="O181:H16"/>
    <s v="hlyAEc;VT1;VT2;uidA"/>
    <s v="vtx1c;vtx2b"/>
    <x v="73"/>
  </r>
  <r>
    <x v="1"/>
    <s v="Lamb"/>
    <x v="13"/>
    <s v="O-untypeable:H2 (99.93)"/>
    <s v="VT1;uidA"/>
    <s v="vtx1c"/>
    <x v="74"/>
  </r>
  <r>
    <x v="6"/>
    <s v="Other"/>
    <x v="32"/>
    <s v="O91 (100.0):H21 (98.64)"/>
    <s v="VT2;uidA"/>
    <s v="vtx2d"/>
    <x v="33"/>
  </r>
  <r>
    <x v="1"/>
    <s v="Meat"/>
    <x v="15"/>
    <s v="O-untypeable:H10"/>
    <s v="hlyAEc;VT1;VT2;uidA"/>
    <s v="vtx1c;vtx2b"/>
    <x v="75"/>
  </r>
  <r>
    <x v="6"/>
    <s v="Other"/>
    <x v="28"/>
    <s v="O171 (99.91):H2 (100.0)"/>
    <s v="VT2;uidA"/>
    <s v="vtx2b;vtx2c;vtx2d"/>
    <x v="3"/>
  </r>
  <r>
    <x v="6"/>
    <s v="Other"/>
    <x v="56"/>
    <s v="O139 (100.0):H1 (98.27)"/>
    <s v="VT2;uidA"/>
    <s v="vtx2e"/>
    <x v="76"/>
  </r>
  <r>
    <x v="6"/>
    <s v="Other"/>
    <x v="57"/>
    <s v="- (-):H31 (99.04)"/>
    <s v="VT1;uidA"/>
    <s v="vtx1d"/>
    <x v="54"/>
  </r>
  <r>
    <x v="6"/>
    <s v="Other"/>
    <x v="58"/>
    <s v="O146 (100.0):H21 (98.64)ND"/>
    <s v="VT1;VT2;uidA"/>
    <s v="vtx1c;vtx2a"/>
    <x v="54"/>
  </r>
  <r>
    <x v="6"/>
    <s v="Other"/>
    <x v="59"/>
    <s v="O48 (99.91):H21 (98.64)"/>
    <s v="VT1"/>
    <s v="vtx1a;vtx2a"/>
    <x v="27"/>
  </r>
  <r>
    <x v="6"/>
    <s v="Other"/>
    <x v="18"/>
    <s v="O-untypeable:H21 (98.64)"/>
    <s v="VT2;uidA"/>
    <s v="vtx2b"/>
    <x v="77"/>
  </r>
  <r>
    <x v="6"/>
    <s v="Other"/>
    <x v="60"/>
    <s v="O118/O151;O151 (100.0):H12 (99.94)"/>
    <s v="VT2;uidA"/>
    <s v="vtx2b"/>
    <x v="27"/>
  </r>
  <r>
    <x v="6"/>
    <s v="Other"/>
    <x v="61"/>
    <s v="O17/O44 (100.0):H18 (100.0)"/>
    <s v="VT2"/>
    <s v="vtx2d"/>
    <x v="27"/>
  </r>
  <r>
    <x v="6"/>
    <s v="Other"/>
    <x v="62"/>
    <s v="O2 (98.55):H25 (97.37)"/>
    <s v="VT2;uidA"/>
    <s v="vtx2g"/>
    <x v="16"/>
  </r>
  <r>
    <x v="1"/>
    <s v="Meat"/>
    <x v="63"/>
    <s v="O123:H10"/>
    <s v="hlyAEc;VT1;VT2;uidA"/>
    <s v="vtx1c;vtx2b"/>
    <x v="16"/>
  </r>
  <r>
    <x v="1"/>
    <s v="Meat"/>
    <x v="33"/>
    <s v="O87:H16"/>
    <s v="VT2;uidA"/>
    <s v="vtx2b"/>
    <x v="78"/>
  </r>
  <r>
    <x v="1"/>
    <s v="Meat"/>
    <x v="29"/>
    <s v="O-untypeable:H7"/>
    <s v="VT1;uidA"/>
    <s v="vtx1c"/>
    <x v="33"/>
  </r>
  <r>
    <x v="1"/>
    <s v="Meat"/>
    <x v="3"/>
    <s v="O159:H19"/>
    <s v="VT2;uidA"/>
    <s v="vtx2a;vtx2k"/>
    <x v="79"/>
  </r>
  <r>
    <x v="6"/>
    <s v="Other"/>
    <x v="12"/>
    <s v="O157 (100.0):H7 (100.0)"/>
    <s v="eae;O157;VT1;VT2;uidA"/>
    <s v="vtx1a;vtx2a"/>
    <x v="3"/>
  </r>
  <r>
    <x v="6"/>
    <s v="Other"/>
    <x v="4"/>
    <s v="O8 (99.59):H19 (98.58)"/>
    <s v="VT1(cc)"/>
    <s v="vtx1d"/>
    <x v="54"/>
  </r>
  <r>
    <x v="6"/>
    <s v="Other"/>
    <x v="13"/>
    <s v="O128ab (100.0):H2 (100.0)"/>
    <s v="eae;VT2f"/>
    <s v="vtx2f"/>
    <x v="32"/>
  </r>
  <r>
    <x v="6"/>
    <s v="Other"/>
    <x v="64"/>
    <s v="O174 (98.25):H8 (100.0)"/>
    <s v="VT1(cc);VT2(cc)"/>
    <s v="vtx1c;vtx2b"/>
    <x v="70"/>
  </r>
  <r>
    <x v="6"/>
    <s v="Other"/>
    <x v="56"/>
    <s v="O139 (100.0):H1 (98.27)"/>
    <s v="VT2(cc)"/>
    <s v="vtx2e"/>
    <x v="80"/>
  </r>
  <r>
    <x v="6"/>
    <s v="Other"/>
    <x v="65"/>
    <s v="O166 (99.6):H15 (100.0)ND"/>
    <s v="VT2;uidA"/>
    <s v="vtx2d"/>
    <x v="81"/>
  </r>
  <r>
    <x v="6"/>
    <s v="Other"/>
    <x v="13"/>
    <s v="O128ac;O128ab (100.0):H2 (100.0)"/>
    <s v="VT1;uidA"/>
    <s v="vtx1c"/>
    <x v="8"/>
  </r>
  <r>
    <x v="6"/>
    <s v="Other"/>
    <x v="30"/>
    <s v="O103 (100.0):H2 (100.0)"/>
    <s v="eae;VT1;uidA"/>
    <s v="vtx1a"/>
    <x v="8"/>
  </r>
  <r>
    <x v="6"/>
    <s v="Other"/>
    <x v="54"/>
    <s v="O-untypeable:H26 (98.45)ND"/>
    <s v="VT1;uidA"/>
    <s v="vtx1d"/>
    <x v="7"/>
  </r>
  <r>
    <x v="6"/>
    <s v="Other"/>
    <x v="66"/>
    <s v="O111 (100.0):H8 (100.0)"/>
    <s v="eae;O111;VT1;uidA"/>
    <s v="vtx1a"/>
    <x v="82"/>
  </r>
  <r>
    <x v="6"/>
    <s v="Other"/>
    <x v="58"/>
    <s v="O146 (100.0):H21 (98.64)ND"/>
    <s v="VT2;uidA"/>
    <s v="vtx2d"/>
    <x v="7"/>
  </r>
  <r>
    <x v="6"/>
    <s v="Other"/>
    <x v="67"/>
    <s v="O124 (100.0):H30 (100.0)"/>
    <s v="uidA"/>
    <s v="ND"/>
    <x v="17"/>
  </r>
  <r>
    <x v="6"/>
    <s v="Other"/>
    <x v="68"/>
    <s v="O26 (100.0):H11 (99.39)"/>
    <s v="eae;O26;VT2;uidA"/>
    <s v="vtx2a"/>
    <x v="19"/>
  </r>
  <r>
    <x v="6"/>
    <s v="Other"/>
    <x v="37"/>
    <s v="O121 (100.0):H19 (98.31)ND"/>
    <s v="eae;O121;VT2;uidA"/>
    <s v="vtx2a"/>
    <x v="21"/>
  </r>
  <r>
    <x v="6"/>
    <s v="Other"/>
    <x v="69"/>
    <s v="O78 (99.93):H11 (99.45)ND"/>
    <s v="uidA"/>
    <s v="ND"/>
    <x v="33"/>
  </r>
  <r>
    <x v="6"/>
    <s v="Other"/>
    <x v="70"/>
    <s v="O104 (100.0):H4 (100.0)"/>
    <s v="aggR;uidA"/>
    <s v="ND"/>
    <x v="4"/>
  </r>
  <r>
    <x v="6"/>
    <s v="Other"/>
    <x v="71"/>
    <s v="O166 (99.6):H15 (100.0)"/>
    <s v="VT2;uidA"/>
    <s v="vtx2d"/>
    <x v="11"/>
  </r>
  <r>
    <x v="6"/>
    <s v="Other"/>
    <x v="72"/>
    <s v="O177 (100.0):H25 (96.7)ND"/>
    <s v="eae;uidA"/>
    <s v="ND"/>
    <x v="58"/>
  </r>
  <r>
    <x v="6"/>
    <s v="Other"/>
    <x v="21"/>
    <s v="O113 (99.83):H4 (100.0)"/>
    <s v="VT1;VT2;uidA"/>
    <s v="vtx1c;vtx2b"/>
    <x v="17"/>
  </r>
  <r>
    <x v="1"/>
    <s v="Lamb"/>
    <x v="8"/>
    <s v="O9:H30"/>
    <s v="VT2;uidA"/>
    <s v="vtx2i"/>
    <x v="3"/>
  </r>
  <r>
    <x v="1"/>
    <s v="Meat"/>
    <x v="13"/>
    <s v="O128:H2"/>
    <s v="hlyAEc;VT1;VT2;uidA"/>
    <s v="vtx1c;vtx2b"/>
    <x v="76"/>
  </r>
  <r>
    <x v="6"/>
    <s v="Other"/>
    <x v="12"/>
    <s v="O157 (100.0):H7 (100.0)ND"/>
    <s v="eae;O157;VT2;uidA"/>
    <s v="vtx2c"/>
    <x v="54"/>
  </r>
  <r>
    <x v="1"/>
    <s v="Meat"/>
    <x v="13"/>
    <s v="O128:H2"/>
    <s v="VT1;VT2;uidA"/>
    <s v="vtx1c;vtx2b"/>
    <x v="54"/>
  </r>
  <r>
    <x v="1"/>
    <s v="Meat"/>
    <x v="73"/>
    <s v="O38:H26"/>
    <s v="hlyAEc;VT1;VT2;uidA"/>
    <s v="vtx1c;vtx2b"/>
    <x v="54"/>
  </r>
  <r>
    <x v="1"/>
    <s v="Lamb"/>
    <x v="24"/>
    <s v="O76 (99.6):H19 (99.89)"/>
    <s v="hlyAEc;VT1;uidA"/>
    <s v="vtx1c"/>
    <x v="27"/>
  </r>
  <r>
    <x v="1"/>
    <s v="Meat"/>
    <x v="24"/>
    <s v="O76:H19"/>
    <s v="hlyAEc;VT2;uidA"/>
    <s v="vtx2b"/>
    <x v="77"/>
  </r>
  <r>
    <x v="1"/>
    <s v="Meat"/>
    <x v="24"/>
    <s v="O76 (99.6):H19 (99.89)"/>
    <s v="hlyAEc;VT1;uidA"/>
    <s v="vtx1c"/>
    <x v="27"/>
  </r>
  <r>
    <x v="6"/>
    <s v="Other"/>
    <x v="66"/>
    <s v="O111 (100.0):H8 (100.0)ND"/>
    <s v="eae;O111;VT1;uidA"/>
    <s v="vtx1a"/>
    <x v="54"/>
  </r>
  <r>
    <x v="6"/>
    <s v="Other"/>
    <x v="74"/>
    <s v="O91 (99.92):H14 (98.85)ND"/>
    <s v="VT2;uidA"/>
    <s v="vtx2b"/>
    <x v="54"/>
  </r>
  <r>
    <x v="6"/>
    <s v="Other"/>
    <x v="37"/>
    <s v="O121 (100.0):H19 (98.31)ND"/>
    <s v="eae;O121;VT2;uidA"/>
    <s v="vtx2a"/>
    <x v="11"/>
  </r>
  <r>
    <x v="6"/>
    <s v="Other"/>
    <x v="71"/>
    <s v="O166 (99.6):H15 (100.0)"/>
    <s v="VT2;uidA"/>
    <s v="vtx2d"/>
    <x v="54"/>
  </r>
  <r>
    <x v="6"/>
    <s v="Other"/>
    <x v="30"/>
    <s v="O103 (100.0):H2 (100.0)"/>
    <s v="eae;VT1;uidA"/>
    <s v="vtx1a"/>
    <x v="83"/>
  </r>
  <r>
    <x v="6"/>
    <s v="Other"/>
    <x v="12"/>
    <s v="O157 (100.0):H7 (100.0)"/>
    <s v="eae;O157;VT2;uidA"/>
    <s v="vtx2a"/>
    <x v="84"/>
  </r>
  <r>
    <x v="6"/>
    <s v="Other"/>
    <x v="75"/>
    <s v="O55 (100.0):H7 (100.0)"/>
    <s v="eae;VT1;uidA"/>
    <s v="vtx1a"/>
    <x v="85"/>
  </r>
  <r>
    <x v="6"/>
    <s v="Other"/>
    <x v="68"/>
    <s v="ND"/>
    <s v="eae;O26;VT1;uidA"/>
    <s v="vtx1a"/>
    <x v="36"/>
  </r>
  <r>
    <x v="6"/>
    <s v="Other"/>
    <x v="53"/>
    <s v="O145 (99.84):H34 (98.9)"/>
    <s v="eae;O145;VT2;VT2f;uidA"/>
    <s v="vtx2f"/>
    <x v="54"/>
  </r>
  <r>
    <x v="6"/>
    <s v="Other"/>
    <x v="76"/>
    <s v="O78 (100.0):H2 (99.2)"/>
    <s v="aggR;uidA"/>
    <s v="ND"/>
    <x v="13"/>
  </r>
  <r>
    <x v="6"/>
    <s v="Other"/>
    <x v="66"/>
    <s v="O111 (100.0):H8 (100.0)"/>
    <s v="eae;O111;VT1;uidA"/>
    <s v="vtx1a"/>
    <x v="30"/>
  </r>
  <r>
    <x v="6"/>
    <s v="Other"/>
    <x v="23"/>
    <s v="O26 (100.0):H11 (99.39)"/>
    <s v="eae;O26;VT2;uidA"/>
    <s v="vtx2a"/>
    <x v="30"/>
  </r>
  <r>
    <x v="6"/>
    <s v="Other"/>
    <x v="18"/>
    <s v="O-untypeable:H21 (98.64)"/>
    <s v="VT2;uidA"/>
    <s v="vtx2b"/>
    <x v="86"/>
  </r>
  <r>
    <x v="6"/>
    <s v="Other"/>
    <x v="52"/>
    <s v="O22 (98.06):H8 (100.0)"/>
    <s v="VT1;VT2;uidA"/>
    <s v="vtx1c;vtx2b"/>
    <x v="28"/>
  </r>
  <r>
    <x v="6"/>
    <s v="Other"/>
    <x v="77"/>
    <s v="O8 (99.5):H10 (99.84)"/>
    <s v="VT2;uidA"/>
    <s v="vtx2e"/>
    <x v="87"/>
  </r>
  <r>
    <x v="6"/>
    <s v="Other"/>
    <x v="12"/>
    <s v="O157 (100.0):H7 (100.0)"/>
    <s v="eae;O157;VT2;uidA"/>
    <s v="vtx2c"/>
    <x v="88"/>
  </r>
  <r>
    <x v="6"/>
    <s v="Other"/>
    <x v="12"/>
    <s v="O157 (100.0):H7 (100.0)"/>
    <s v="eae;O157;VT2;uidA"/>
    <s v="vtx2a"/>
    <x v="3"/>
  </r>
  <r>
    <x v="6"/>
    <s v="Other"/>
    <x v="12"/>
    <s v="O157 (100.0):H7 (100.0)ND"/>
    <s v="eae;O157;VT2;uidA"/>
    <s v="vtx2a"/>
    <x v="89"/>
  </r>
  <r>
    <x v="6"/>
    <s v="Other"/>
    <x v="12"/>
    <s v="O157 (100.0):H7 (100.0)"/>
    <s v="eae;O157;VT2;uidA"/>
    <s v="vtx2a"/>
    <x v="6"/>
  </r>
  <r>
    <x v="6"/>
    <s v="Other"/>
    <x v="2"/>
    <s v="O128ab;O128ac (100.0):H2 (100.0)"/>
    <s v="eae;VT2;VT2f;uidA"/>
    <s v="vtx2f"/>
    <x v="5"/>
  </r>
  <r>
    <x v="6"/>
    <s v="Other"/>
    <x v="62"/>
    <s v="O2 (98.55):H25 (97.37)"/>
    <s v="VT2;uidA"/>
    <s v="vtx2g"/>
    <x v="33"/>
  </r>
  <r>
    <x v="1"/>
    <s v="Meat"/>
    <x v="6"/>
    <s v="O5:H19"/>
    <s v="hlyAEc;VT1;uidA"/>
    <s v="vtx1c"/>
    <x v="27"/>
  </r>
  <r>
    <x v="6"/>
    <s v="Other"/>
    <x v="12"/>
    <s v="O157 (100.0):H7 (100.0)ND"/>
    <s v="eae;O157;VT2;uidA"/>
    <s v="vtx2a;vtx2c"/>
    <x v="90"/>
  </r>
  <r>
    <x v="1"/>
    <s v="Meat"/>
    <x v="1"/>
    <s v="O-untypeable:H19"/>
    <s v="hlyAEc;VT1;VT2;uidA"/>
    <s v="vtx1c;vtx2b"/>
    <x v="16"/>
  </r>
  <r>
    <x v="1"/>
    <s v="Lamb"/>
    <x v="6"/>
    <s v="O5 (100.0):H19 (99.78)"/>
    <s v="hlyAEc;VT1;uidA"/>
    <s v="vtx1c"/>
    <x v="27"/>
  </r>
  <r>
    <x v="1"/>
    <s v="Meat"/>
    <x v="28"/>
    <s v="O171:H2"/>
    <s v="VT2;uidA"/>
    <s v="vtx2d"/>
    <x v="32"/>
  </r>
  <r>
    <x v="1"/>
    <s v="Lamb"/>
    <x v="78"/>
    <s v="O-untypeable:H21 (99.86)"/>
    <s v="hlyAEc;VT1;VT2;uidA"/>
    <s v="vtx1c;vtx2b"/>
    <x v="91"/>
  </r>
  <r>
    <x v="1"/>
    <s v="Lamb"/>
    <x v="4"/>
    <s v="O8:H19"/>
    <s v="VT2;uidA"/>
    <s v="vtx2i"/>
    <x v="3"/>
  </r>
  <r>
    <x v="6"/>
    <s v="Other"/>
    <x v="12"/>
    <s v="O157 (100.0):H7 (100.0)"/>
    <s v="eae;O157;VT1;VT2;uidA"/>
    <s v="vtx1a;vtx2a"/>
    <x v="17"/>
  </r>
  <r>
    <x v="6"/>
    <s v="Other"/>
    <x v="71"/>
    <s v="O166 (99.6):H15 (100.0)"/>
    <s v="VT2;uidA"/>
    <s v="vtx2d"/>
    <x v="17"/>
  </r>
  <r>
    <x v="6"/>
    <s v="Other"/>
    <x v="29"/>
    <s v="O104 (100.0):H7 (100.0)ND"/>
    <s v="VT1;uidA"/>
    <s v="vtx1c"/>
    <x v="92"/>
  </r>
  <r>
    <x v="6"/>
    <s v="Other"/>
    <x v="66"/>
    <s v="O111 (100.0):H8 (100.0)"/>
    <s v="eae;O111;VT1;uidA"/>
    <s v="vtx1a"/>
    <x v="92"/>
  </r>
  <r>
    <x v="6"/>
    <s v="Other"/>
    <x v="37"/>
    <s v="O121 (100.0):H19 (98.31)"/>
    <s v="eae;O121;VT2;uidA"/>
    <s v="vtx2a"/>
    <x v="19"/>
  </r>
  <r>
    <x v="6"/>
    <s v="Other"/>
    <x v="68"/>
    <s v="O26 (100.0):H11 (99.39)"/>
    <s v="eae;O26;VT2;uidA"/>
    <s v="vtx2a"/>
    <x v="19"/>
  </r>
  <r>
    <x v="6"/>
    <s v="Other"/>
    <x v="79"/>
    <s v="O63 (99.92):H6 (99.82)"/>
    <s v="eae;VT2;VT2f;uidA"/>
    <s v="vtx2f"/>
    <x v="3"/>
  </r>
  <r>
    <x v="6"/>
    <s v="Other"/>
    <x v="18"/>
    <s v="O-untypeable:H21 (98.64)"/>
    <s v="VT2;uidA"/>
    <s v="vtx2b"/>
    <x v="40"/>
  </r>
  <r>
    <x v="6"/>
    <s v="Other"/>
    <x v="54"/>
    <s v="O-untypeable:H26 (98.45)"/>
    <s v="VT1;uidA"/>
    <s v="vtx1d"/>
    <x v="40"/>
  </r>
  <r>
    <x v="1"/>
    <s v="Lamb"/>
    <x v="18"/>
    <s v="O-untypeable:H21 (98.64)"/>
    <s v="VT2;uidA"/>
    <s v="vtx2i"/>
    <x v="3"/>
  </r>
  <r>
    <x v="1"/>
    <s v="Meat"/>
    <x v="73"/>
    <s v="O38:H26"/>
    <s v="hlyAEc;VT1;VT2;uidA"/>
    <s v="vtx1c;vtx2b"/>
    <x v="54"/>
  </r>
  <r>
    <x v="1"/>
    <s v="Meat"/>
    <x v="2"/>
    <s v="O-untypeable:H2"/>
    <s v="VT2;uidA"/>
    <s v="vtx2d"/>
    <x v="32"/>
  </r>
  <r>
    <x v="1"/>
    <s v="Meat"/>
    <x v="2"/>
    <s v="O-untypeable:H2"/>
    <s v="VT2;uidA"/>
    <s v="vtx2c"/>
    <x v="70"/>
  </r>
  <r>
    <x v="1"/>
    <s v="Meat"/>
    <x v="80"/>
    <s v="O15:H16"/>
    <s v="VT2;uidA"/>
    <s v="vtx2g"/>
    <x v="80"/>
  </r>
  <r>
    <x v="1"/>
    <s v="Meat"/>
    <x v="17"/>
    <s v="O75:H8"/>
    <s v="hlyAEc;VT1;VT2;uidA"/>
    <s v="vtx1a;vtx1c;vtx2b"/>
    <x v="81"/>
  </r>
  <r>
    <x v="1"/>
    <s v="Meat"/>
    <x v="81"/>
    <s v="O98:H25"/>
    <s v="eae;hlyAEc;VT1;uidA"/>
    <s v="vtx1a"/>
    <x v="8"/>
  </r>
  <r>
    <x v="1"/>
    <s v="Meat"/>
    <x v="81"/>
    <s v="O98:H25"/>
    <s v="eae;hlyAEc;VT1;uidA"/>
    <s v="vtx1a"/>
    <x v="8"/>
  </r>
  <r>
    <x v="1"/>
    <s v="Meat"/>
    <x v="82"/>
    <s v="O8:H23"/>
    <s v="VT1;uidA"/>
    <s v="vtx1a"/>
    <x v="7"/>
  </r>
  <r>
    <x v="1"/>
    <s v="Meat"/>
    <x v="83"/>
    <s v="O88 (100.0):H25 (100.0)"/>
    <s v="hlyAEc;VT1;VT2;uidA"/>
    <s v="vtx1a;vtx2a"/>
    <x v="82"/>
  </r>
  <r>
    <x v="1"/>
    <s v="Meat"/>
    <x v="9"/>
    <s v="O55:H12"/>
    <s v="VT1;uidA"/>
    <s v="vtx1a"/>
    <x v="7"/>
  </r>
  <r>
    <x v="1"/>
    <s v="Meat"/>
    <x v="19"/>
    <s v="O-untypeable:H14 (98.85)"/>
    <s v="VT1;VT2;uidA"/>
    <s v="vtx1a;vtx2b"/>
    <x v="17"/>
  </r>
  <r>
    <x v="1"/>
    <s v="Meat"/>
    <x v="12"/>
    <s v="O157:H7"/>
    <s v="eae;hlyAEc;O157;VT1;VT2;uidA"/>
    <s v="vtx1a;vtx2a"/>
    <x v="19"/>
  </r>
  <r>
    <x v="1"/>
    <s v="Meat"/>
    <x v="21"/>
    <s v="O113 (99.83):H4 (100.0)"/>
    <s v="VT1;VT2;uidA"/>
    <s v="vtx1a;vtx2d"/>
    <x v="21"/>
  </r>
  <r>
    <x v="1"/>
    <s v="Meat"/>
    <x v="29"/>
    <s v="O104 (100.0):H7 (100.0)"/>
    <s v="VT1;uidA"/>
    <s v="vtx1c"/>
    <x v="33"/>
  </r>
  <r>
    <x v="1"/>
    <s v="Meat"/>
    <x v="6"/>
    <s v="O5:H19"/>
    <s v="hlyAEc;VT1;VT2;uidA"/>
    <s v="vtx1c;vtx2b"/>
    <x v="4"/>
  </r>
  <r>
    <x v="1"/>
    <s v="Meat"/>
    <x v="73"/>
    <s v="O38:H26"/>
    <s v="hlyAEc;VT1;VT2;uidA"/>
    <s v="vtx1c;vtx2b"/>
    <x v="11"/>
  </r>
  <r>
    <x v="1"/>
    <s v="Meat"/>
    <x v="51"/>
    <s v="O-untypeable:H8"/>
    <s v="VT1;VT2;uidA"/>
    <s v="vtx1c;vtx2b"/>
    <x v="58"/>
  </r>
  <r>
    <x v="1"/>
    <s v="Meat"/>
    <x v="19"/>
    <s v="O91:H14"/>
    <s v="hlyAEc;VT1;VT2;uidA"/>
    <s v="vtx1a;vtx2b"/>
    <x v="17"/>
  </r>
  <r>
    <x v="1"/>
    <s v="Meat"/>
    <x v="19"/>
    <s v="O91:H14"/>
    <s v="VT1;VT2;uidA"/>
    <s v="vtx1a;vtx2b"/>
    <x v="17"/>
  </r>
  <r>
    <x v="1"/>
    <s v="Meat"/>
    <x v="2"/>
    <s v="O-untypeable:H2"/>
    <s v="hlyAEc;VT1;VT2;uidA"/>
    <s v="vtx1c;vtx2b"/>
    <x v="11"/>
  </r>
  <r>
    <x v="1"/>
    <s v="Lamb"/>
    <x v="13"/>
    <s v="O128ab;O128ac (100.0):H2 (100.0)"/>
    <s v="VT1;VT2;uidA"/>
    <s v="vtx1c;vtx2b"/>
    <x v="54"/>
  </r>
  <r>
    <x v="1"/>
    <s v="Lamb"/>
    <x v="2"/>
    <s v="O-untypeable:H2 (100.0)"/>
    <s v="hlyAEc;VT1;VT2;uidA"/>
    <s v="vtx1c;vtx2b"/>
    <x v="50"/>
  </r>
  <r>
    <x v="1"/>
    <s v="Meat"/>
    <x v="12"/>
    <s v="O157:H7"/>
    <s v="eae;hlyAEc;O157;VT2;uidA"/>
    <s v="vtx2a"/>
    <x v="62"/>
  </r>
  <r>
    <x v="1"/>
    <s v="Meat"/>
    <x v="13"/>
    <s v="O128ac (100.0):H2 (100.0)"/>
    <s v="VT1;VT2;uidA"/>
    <s v="vtx1c;vtx2a;vtx2b"/>
    <x v="93"/>
  </r>
  <r>
    <x v="1"/>
    <s v="Lamb"/>
    <x v="13"/>
    <s v="O-untypeable:H2 (100.0)"/>
    <s v="VT1;VT2;uidA"/>
    <s v="vtx1c;vtx2b"/>
    <x v="54"/>
  </r>
  <r>
    <x v="1"/>
    <s v="Lamb"/>
    <x v="13"/>
    <s v="O128ac (99.9):H2 (100.0)"/>
    <s v="hlyAEc;VT1;VT2;uidA"/>
    <s v="vtx1c;vtx2b"/>
    <x v="11"/>
  </r>
  <r>
    <x v="1"/>
    <s v="Meat"/>
    <x v="13"/>
    <s v="O128:H2"/>
    <s v="hlyAEc;VT1;VT2;uidA"/>
    <s v="vtx1c;vtx2b"/>
    <x v="54"/>
  </r>
  <r>
    <x v="1"/>
    <s v="Meat"/>
    <x v="13"/>
    <s v="O128:H2"/>
    <s v="hlyAEc;VT1;VT2;uidA"/>
    <s v="vtx1c;vtx2b"/>
    <x v="54"/>
  </r>
  <r>
    <x v="1"/>
    <s v="Meat"/>
    <x v="13"/>
    <s v="O128:H2"/>
    <s v="VT1;VT2;uidA"/>
    <s v="vtx1c;vtx2b"/>
    <x v="11"/>
  </r>
  <r>
    <x v="1"/>
    <s v="Meat"/>
    <x v="13"/>
    <s v="O128:H2"/>
    <s v="VT1;VT2;uidA"/>
    <s v="vtx1c,vtx2b"/>
    <x v="54"/>
  </r>
  <r>
    <x v="1"/>
    <s v="Meat"/>
    <x v="13"/>
    <s v="O128:H2"/>
    <s v="hlyAEc;VT1;VT2;uidA"/>
    <s v="vtx1c;vtx2b"/>
    <x v="83"/>
  </r>
  <r>
    <x v="1"/>
    <s v="Lamb"/>
    <x v="13"/>
    <s v="O-untypeable:H2 (100.0)"/>
    <s v="hlyAEc;VT1;VT2;uidA"/>
    <s v="vtx1c;vtx2b"/>
    <x v="84"/>
  </r>
  <r>
    <x v="1"/>
    <s v="Meat"/>
    <x v="13"/>
    <s v="O128:H2"/>
    <s v="VT1;VT2;uidA"/>
    <s v="vtx1c;vtx2b"/>
    <x v="85"/>
  </r>
  <r>
    <x v="1"/>
    <s v="Meat"/>
    <x v="16"/>
    <s v="O-untypeable:H29"/>
    <s v="VT2;uidA"/>
    <s v="vtx2b"/>
    <x v="36"/>
  </r>
  <r>
    <x v="1"/>
    <s v="Meat"/>
    <x v="13"/>
    <s v="O128ab (100.0):H2 (100.0)"/>
    <s v="hlyAEc;VT1;VT2;uidA"/>
    <s v="vtx1c;vtx2b"/>
    <x v="54"/>
  </r>
  <r>
    <x v="1"/>
    <s v="Meat"/>
    <x v="40"/>
    <s v="O132 (99.92):H18 (97.54)"/>
    <s v="VT2;uidA"/>
    <s v="vtx2a"/>
    <x v="13"/>
  </r>
  <r>
    <x v="1"/>
    <s v="Meat"/>
    <x v="27"/>
    <s v="O-untypeable:H21"/>
    <s v="VT2;uidA"/>
    <s v="vtx2c"/>
    <x v="30"/>
  </r>
  <r>
    <x v="1"/>
    <s v="Meat"/>
    <x v="27"/>
    <s v="O174 (98.25):H21 (98.64)"/>
    <s v="VT2;uidA"/>
    <s v="vtx2c"/>
    <x v="30"/>
  </r>
  <r>
    <x v="1"/>
    <s v="Meat"/>
    <x v="84"/>
    <s v="O-untypeable:H18 (98.32)"/>
    <s v="hlyAEc;VT1;VT2;uidA"/>
    <s v="vtx1a;vtx2a"/>
    <x v="86"/>
  </r>
  <r>
    <x v="1"/>
    <s v="Meat"/>
    <x v="25"/>
    <s v="O109 (99.78):H5 (100.0)"/>
    <s v="VT1;uidA"/>
    <s v="vtx1a"/>
    <x v="28"/>
  </r>
  <r>
    <x v="1"/>
    <s v="Meat"/>
    <x v="16"/>
    <s v="O-untypeable:H29"/>
    <s v="VT2;uidA"/>
    <s v="vtx2b;vtx2c"/>
    <x v="87"/>
  </r>
  <r>
    <x v="1"/>
    <s v="Meat"/>
    <x v="85"/>
    <s v="O5:H9"/>
    <s v="eae;hlyAEc;VT1;uidA"/>
    <s v="vtx1a"/>
    <x v="88"/>
  </r>
  <r>
    <x v="1"/>
    <s v="Lamb"/>
    <x v="18"/>
    <s v="O-untypeable:H21"/>
    <s v="VT2;uidA"/>
    <s v="vtx2i"/>
    <x v="3"/>
  </r>
  <r>
    <x v="1"/>
    <s v="Meat"/>
    <x v="86"/>
    <s v="O153:H25"/>
    <s v="VT2;uidA"/>
    <s v="vtx2b"/>
    <x v="89"/>
  </r>
  <r>
    <x v="1"/>
    <s v="Meat"/>
    <x v="7"/>
    <s v="O176:H4"/>
    <s v="hlyAEc;VT1;uidA"/>
    <s v="vtx1c"/>
    <x v="6"/>
  </r>
  <r>
    <x v="1"/>
    <s v="Meat"/>
    <x v="7"/>
    <s v="O176:H4"/>
    <s v="hlyAEc;VT1;VT2;uidA"/>
    <s v="vtx1c;vtx2b"/>
    <x v="5"/>
  </r>
  <r>
    <x v="1"/>
    <s v="Meat"/>
    <x v="87"/>
    <s v="O6:H10"/>
    <s v="VT1;uidA"/>
    <s v="vtx1c"/>
    <x v="33"/>
  </r>
  <r>
    <x v="1"/>
    <s v="Meat"/>
    <x v="19"/>
    <s v="O91:H14"/>
    <s v="VT1;VT2;uidA"/>
    <s v="vtx1a;vtx2b"/>
    <x v="17"/>
  </r>
  <r>
    <x v="1"/>
    <s v="Meat"/>
    <x v="19"/>
    <s v="O91 (100.0):H14 (98.85)"/>
    <s v="VT1;VT2;uidA"/>
    <s v="vtx1a;vtx2b"/>
    <x v="90"/>
  </r>
  <r>
    <x v="1"/>
    <s v="Meat"/>
    <x v="19"/>
    <s v="O91:H14"/>
    <s v="VT1;VT2;uidA"/>
    <s v="vtx1a;vtx2b"/>
    <x v="17"/>
  </r>
  <r>
    <x v="1"/>
    <s v="Lamb"/>
    <x v="19"/>
    <s v="O-untypeable:H14"/>
    <s v="VT1;VT2;uidA"/>
    <s v="vtx1a;vtx2b"/>
    <x v="94"/>
  </r>
  <r>
    <x v="1"/>
    <s v="Meat"/>
    <x v="19"/>
    <s v="O91:H14"/>
    <s v="hlyAEc;VT1;VT2;uidA"/>
    <s v="vtx1a;vtx2b"/>
    <x v="95"/>
  </r>
  <r>
    <x v="1"/>
    <s v="Meat"/>
    <x v="12"/>
    <s v="O157:H7"/>
    <s v="eae;hlyAEc;O157;VT2;uidA"/>
    <s v="vtx2a"/>
    <x v="62"/>
  </r>
  <r>
    <x v="1"/>
    <s v="Meat"/>
    <x v="19"/>
    <s v="O91:H14"/>
    <s v="hlyAEc;VT1;VT2;uidA"/>
    <s v="vtx1a;vtx2b"/>
    <x v="17"/>
  </r>
  <r>
    <x v="1"/>
    <s v="Meat"/>
    <x v="19"/>
    <s v="O91:H14"/>
    <s v="VT1;VT2;uidA"/>
    <s v="vtx1a;vtx2b"/>
    <x v="17"/>
  </r>
  <r>
    <x v="1"/>
    <s v="Meat"/>
    <x v="19"/>
    <s v="O91:H14"/>
    <s v="VT1;VT2;uidA"/>
    <s v="vtx1a;vtx2b"/>
    <x v="17"/>
  </r>
  <r>
    <x v="1"/>
    <s v="Meat"/>
    <x v="19"/>
    <s v="O91:H14"/>
    <s v="hlyAEc;VT2;uidA"/>
    <s v="vtx2b"/>
    <x v="92"/>
  </r>
  <r>
    <x v="1"/>
    <s v="Meat"/>
    <x v="19"/>
    <s v="O91:H14"/>
    <s v="hlyAEc;VT2;uidA"/>
    <s v="vtx2b"/>
    <x v="92"/>
  </r>
  <r>
    <x v="1"/>
    <s v="Meat"/>
    <x v="12"/>
    <s v="O157:H7"/>
    <s v="eae;hlyAEc;O157;VT1;VT2;uidA"/>
    <s v="vtx1a;vtx2a"/>
    <x v="19"/>
  </r>
  <r>
    <x v="1"/>
    <s v="Meat"/>
    <x v="12"/>
    <s v="O-untypeable:H7"/>
    <s v="eae;hlyAEc;O157;VT1;VT2;uidA"/>
    <s v="vtx1a;vtx2a"/>
    <x v="19"/>
  </r>
  <r>
    <x v="1"/>
    <s v="Lamb"/>
    <x v="18"/>
    <s v="O-untypeable:H21 (98.64)"/>
    <s v="VT2;uidA"/>
    <s v="vtx2i"/>
    <x v="3"/>
  </r>
  <r>
    <x v="0"/>
    <s v="Flour"/>
    <x v="37"/>
    <s v="O121 (100.0):H19 (98.36)"/>
    <s v="eae;hlyAEc;O121;VT2;uidA"/>
    <s v="vtx2a"/>
    <x v="40"/>
  </r>
  <r>
    <x v="0"/>
    <s v="Flour"/>
    <x v="37"/>
    <s v="O121 (100.0):H19 (98.31)"/>
    <s v="eae;hlyAEc;O121;VT2;uidA"/>
    <s v="vtx2a"/>
    <x v="40"/>
  </r>
  <r>
    <x v="0"/>
    <s v="Flour"/>
    <x v="37"/>
    <s v="ND"/>
    <s v="eae;O121;VT2;uidA"/>
    <s v="vtx2a"/>
    <x v="40"/>
  </r>
  <r>
    <x v="0"/>
    <s v="Flour"/>
    <x v="88"/>
    <s v="O187 (100.0):H52 (100.0)"/>
    <s v="VT1;uidA"/>
    <s v="vtx1c"/>
    <x v="33"/>
  </r>
  <r>
    <x v="0"/>
    <s v="Flour"/>
    <x v="89"/>
    <s v="O8 (99.59):H28 (99.54)"/>
    <s v="VT2;hlyAEc;uidA"/>
    <s v="vtx2a"/>
    <x v="1"/>
  </r>
  <r>
    <x v="0"/>
    <s v="Flour"/>
    <x v="89"/>
    <s v="O8 (99.59):H28 (99.54)ND"/>
    <s v="VT2;hlyAEc;uidA"/>
    <s v="vtx2a"/>
    <x v="1"/>
  </r>
  <r>
    <x v="0"/>
    <s v="Flour"/>
    <x v="89"/>
    <s v="O8 (99.59):H28 (99.54)ND"/>
    <s v="VT2;hlyAEc;uidA"/>
    <s v="vtx2a"/>
    <x v="1"/>
  </r>
  <r>
    <x v="0"/>
    <s v="Flour"/>
    <x v="37"/>
    <s v="O121 (100.0):H19 (98.31)"/>
    <s v="eae;hlyAEc;O121;VT2;uidA"/>
    <s v="vtx2a"/>
    <x v="40"/>
  </r>
  <r>
    <x v="0"/>
    <s v="Flour"/>
    <x v="37"/>
    <s v="O121 (100.0):H19 (98.31)"/>
    <s v="eae;hlyAEc;O121;VT2;uidA"/>
    <s v="vtx2a"/>
    <x v="40"/>
  </r>
  <r>
    <x v="0"/>
    <s v="Flour"/>
    <x v="83"/>
    <s v="O88 (100.0):H25 (99.92)ND"/>
    <s v="VT1;VT2;uidA"/>
    <s v="vtx1a;vtx2a"/>
    <x v="82"/>
  </r>
  <r>
    <x v="0"/>
    <s v="Flour"/>
    <x v="37"/>
    <s v="O121 (100.0):H19 (98.31)"/>
    <s v="eae;hlyAEc;O121;VT2;uidA"/>
    <s v="vtx2a"/>
    <x v="40"/>
  </r>
  <r>
    <x v="0"/>
    <s v="Flour"/>
    <x v="89"/>
    <s v="O8 (99.59):H28 (99.54)"/>
    <s v="VT2;hlyAEc;uidA"/>
    <s v="vtx2a"/>
    <x v="1"/>
  </r>
  <r>
    <x v="0"/>
    <s v="Flour"/>
    <x v="3"/>
    <s v="O159 (99.86):H19 (99.89)"/>
    <s v="VT2;uidA"/>
    <s v="vtx2a"/>
    <x v="1"/>
  </r>
  <r>
    <x v="0"/>
    <s v="Flour"/>
    <x v="89"/>
    <s v="O8 (99.59):H28 (99.54)ND"/>
    <s v="VT2;hlyAEc;uidA"/>
    <s v="vtx2a"/>
    <x v="1"/>
  </r>
  <r>
    <x v="0"/>
    <s v="Flour"/>
    <x v="89"/>
    <s v="O8 (99.59):H28 (99.54"/>
    <s v="VT2;hlyAEc;uidA"/>
    <s v="vtx2a"/>
    <x v="1"/>
  </r>
  <r>
    <x v="0"/>
    <s v="Flour"/>
    <x v="89"/>
    <s v="O8 (99.59):H28 (99.54)"/>
    <s v="VT2;hlyAEc;uidA"/>
    <s v="vtx2a"/>
    <x v="1"/>
  </r>
  <r>
    <x v="1"/>
    <s v="Meat"/>
    <x v="12"/>
    <e v="#N/A"/>
    <e v="#N/A"/>
    <e v="#N/A"/>
    <x v="10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1;VT2;uidA"/>
    <s v="vtx1a;vtx2a"/>
    <x v="10"/>
  </r>
  <r>
    <x v="1"/>
    <s v="Meat"/>
    <x v="12"/>
    <e v="#N/A"/>
    <e v="#N/A"/>
    <e v="#N/A"/>
    <x v="19"/>
  </r>
  <r>
    <x v="1"/>
    <s v="Meat"/>
    <x v="12"/>
    <s v="O157 (100.0):H7 (100.0)"/>
    <s v="eae;O157;VT1;VT2;uidA"/>
    <s v="vtx1a;vtx2a"/>
    <x v="19"/>
  </r>
  <r>
    <x v="3"/>
    <s v="Dairy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9"/>
  </r>
  <r>
    <x v="3"/>
    <s v="Dairy"/>
    <x v="12"/>
    <s v="O157 (100.0):H7 (100.0)"/>
    <s v="eae;O157;VT1;VT2;uidA"/>
    <s v="vtx1a;vtx2a"/>
    <x v="10"/>
  </r>
  <r>
    <x v="1"/>
    <s v="Meat"/>
    <x v="12"/>
    <e v="#N/A"/>
    <e v="#N/A"/>
    <e v="#N/A"/>
    <x v="10"/>
  </r>
  <r>
    <x v="3"/>
    <s v="Dairy"/>
    <x v="12"/>
    <s v="O157 (100.0):H7 (100.0)"/>
    <s v="eae;O157;VT1;VT2;uidA"/>
    <s v="vtx1a;vtx2a"/>
    <x v="19"/>
  </r>
  <r>
    <x v="1"/>
    <s v="Meat"/>
    <x v="12"/>
    <e v="#N/A"/>
    <e v="#N/A"/>
    <e v="#N/A"/>
    <x v="13"/>
  </r>
  <r>
    <x v="3"/>
    <s v="Dairy"/>
    <x v="12"/>
    <s v="O157 (100.0):H7 (100.0)"/>
    <s v="eae;O157;VT1;VT2;uidA"/>
    <s v="vtx1a;vtx2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3"/>
  </r>
  <r>
    <x v="1"/>
    <s v="Meat"/>
    <x v="12"/>
    <s v="O157 (100.0):H7 (100.0)"/>
    <s v="eae;O157;VT1;VT2;uidA"/>
    <s v="vtx1a;vtx2a"/>
    <x v="19"/>
  </r>
  <r>
    <x v="1"/>
    <s v="Meat"/>
    <x v="12"/>
    <e v="#N/A"/>
    <e v="#N/A"/>
    <e v="#N/A"/>
    <x v="34"/>
  </r>
  <r>
    <x v="1"/>
    <s v="Meat"/>
    <x v="12"/>
    <e v="#N/A"/>
    <e v="#N/A"/>
    <e v="#N/A"/>
    <x v="10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3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0"/>
  </r>
  <r>
    <x v="1"/>
    <s v="Meat"/>
    <x v="12"/>
    <e v="#N/A"/>
    <e v="#N/A"/>
    <e v="#N/A"/>
    <x v="19"/>
  </r>
  <r>
    <x v="1"/>
    <s v="Meat"/>
    <x v="12"/>
    <e v="#N/A"/>
    <e v="#N/A"/>
    <e v="#N/A"/>
    <x v="10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s v="O157 (100.0):H7 (100.0)"/>
    <s v="eae;O157;VT2;uidA"/>
    <s v="vtx2a"/>
    <x v="13"/>
  </r>
  <r>
    <x v="1"/>
    <s v="Meat"/>
    <x v="12"/>
    <e v="#N/A"/>
    <e v="#N/A"/>
    <e v="#N/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3"/>
  </r>
  <r>
    <x v="1"/>
    <s v="Meat"/>
    <x v="12"/>
    <e v="#N/A"/>
    <e v="#N/A"/>
    <e v="#N/A"/>
    <x v="19"/>
  </r>
  <r>
    <x v="1"/>
    <s v="Meat"/>
    <x v="12"/>
    <s v="O157 (100.0):H7 (100.0)"/>
    <s v="eae;O157;VT1;VT2;uidA"/>
    <s v="vtx1a;vtx2a"/>
    <x v="10"/>
  </r>
  <r>
    <x v="3"/>
    <s v="Dairy"/>
    <x v="12"/>
    <s v="O157 (100.0):H7 (100.0)"/>
    <s v="eae;O157;VT1;VT2;uidA"/>
    <s v="vtx1a;vtx2a"/>
    <x v="19"/>
  </r>
  <r>
    <x v="1"/>
    <s v="Meat"/>
    <x v="12"/>
    <s v="O157 (100.0):H7 (100.0)"/>
    <s v="eae;O157;VT1;VT2;uidA"/>
    <s v="vtx1a;vtx2a"/>
    <x v="10"/>
  </r>
  <r>
    <x v="1"/>
    <s v="Meat"/>
    <x v="12"/>
    <s v="O157 (100.0):H7 (100.0)"/>
    <s v="eae;O157;VT2;uidA"/>
    <s v="vtx2a"/>
    <x v="13"/>
  </r>
  <r>
    <x v="1"/>
    <s v="Meat"/>
    <x v="12"/>
    <s v="O157 (100.0):H7 (100.0)"/>
    <s v="eae;O157;VT1;VT2;uidA"/>
    <s v="vtx1a;vtx2a"/>
    <x v="19"/>
  </r>
  <r>
    <x v="1"/>
    <s v="Meat"/>
    <x v="12"/>
    <e v="#N/A"/>
    <e v="#N/A"/>
    <e v="#N/A"/>
    <x v="19"/>
  </r>
  <r>
    <x v="3"/>
    <s v="Dairy"/>
    <x v="12"/>
    <s v="O157 (100.0):H7 (100.0)"/>
    <s v="eae;O157;VT1;VT2;uidA"/>
    <s v="vtx1a;vtx2a"/>
    <x v="19"/>
  </r>
  <r>
    <x v="1"/>
    <s v="Meat"/>
    <x v="12"/>
    <e v="#N/A"/>
    <e v="#N/A"/>
    <e v="#N/A"/>
    <x v="10"/>
  </r>
  <r>
    <x v="3"/>
    <s v="Dairy"/>
    <x v="12"/>
    <n v="0"/>
    <s v="eae;O157;VT1;VT2;uidA"/>
    <s v="vtx1a;vtx2a"/>
    <x v="19"/>
  </r>
  <r>
    <x v="1"/>
    <s v="Meat"/>
    <x v="12"/>
    <e v="#N/A"/>
    <e v="#N/A"/>
    <e v="#N/A"/>
    <x v="13"/>
  </r>
  <r>
    <x v="1"/>
    <s v="Meat"/>
    <x v="12"/>
    <e v="#N/A"/>
    <e v="#N/A"/>
    <e v="#N/A"/>
    <x v="10"/>
  </r>
  <r>
    <x v="1"/>
    <s v="Meat"/>
    <x v="12"/>
    <e v="#N/A"/>
    <e v="#N/A"/>
    <e v="#N/A"/>
    <x v="13"/>
  </r>
  <r>
    <x v="1"/>
    <s v="Meat"/>
    <x v="12"/>
    <s v="O157 (100.0):H7 (100.0)"/>
    <s v="eae;O157;VT2;uidA"/>
    <s v="vtx2a"/>
    <x v="13"/>
  </r>
  <r>
    <x v="3"/>
    <s v="Dairy"/>
    <x v="12"/>
    <s v="O157 (100.0):H7 (100.0)"/>
    <s v="eae;O157;VT1;VT2;uidA"/>
    <s v="vtx1a;vtx2a"/>
    <x v="19"/>
  </r>
  <r>
    <x v="1"/>
    <s v="Meat"/>
    <x v="12"/>
    <e v="#N/A"/>
    <e v="#N/A"/>
    <e v="#N/A"/>
    <x v="19"/>
  </r>
  <r>
    <x v="1"/>
    <s v="Meat"/>
    <x v="12"/>
    <e v="#N/A"/>
    <e v="#N/A"/>
    <e v="#N/A"/>
    <x v="13"/>
  </r>
  <r>
    <x v="1"/>
    <s v="Meat"/>
    <x v="12"/>
    <e v="#N/A"/>
    <e v="#N/A"/>
    <e v="#N/A"/>
    <x v="10"/>
  </r>
  <r>
    <x v="1"/>
    <s v="Meat"/>
    <x v="12"/>
    <e v="#N/A"/>
    <e v="#N/A"/>
    <e v="#N/A"/>
    <x v="19"/>
  </r>
  <r>
    <x v="0"/>
    <s v="Flour"/>
    <x v="89"/>
    <s v="O8 (99.59):H28 (99.54)"/>
    <s v="VT2;hlyAEc;uidA"/>
    <s v="vtx2a"/>
    <x v="1"/>
  </r>
  <r>
    <x v="1"/>
    <s v="Meat"/>
    <x v="90"/>
    <s v="O86 (100.0):H32 (99.82)ND"/>
    <s v="VT2;uidA"/>
    <s v="vtx2e"/>
    <x v="67"/>
  </r>
  <r>
    <x v="1"/>
    <s v="Meat"/>
    <x v="19"/>
    <s v="O91 (99.92):H14 (98.85)"/>
    <s v="VT1;uidA"/>
    <s v="vtx1a"/>
    <x v="0"/>
  </r>
  <r>
    <x v="1"/>
    <s v="Meat"/>
    <x v="91"/>
    <s v="O163 (100.0):H19 (99.89)ND"/>
    <s v="VT1;uidA"/>
    <s v="vtx1a"/>
    <x v="0"/>
  </r>
  <r>
    <x v="1"/>
    <s v="Meat"/>
    <x v="92"/>
    <s v="O36 (99.68):H-untypeable"/>
    <s v="VT2;uidA"/>
    <s v="vtx2e"/>
    <x v="67"/>
  </r>
  <r>
    <x v="1"/>
    <s v="Meat"/>
    <x v="19"/>
    <s v="O91 (100.0):H14 (98.85)"/>
    <s v="VT1;uidA"/>
    <s v="vtx1a"/>
    <x v="0"/>
  </r>
  <r>
    <x v="1"/>
    <s v="Meat"/>
    <x v="19"/>
    <s v="O91 (100.0):H14 (98.85)"/>
    <s v="VT1;uidA"/>
    <s v="vtx1a"/>
    <x v="0"/>
  </r>
  <r>
    <x v="1"/>
    <s v="Meat"/>
    <x v="91"/>
    <s v="O163 (100.0):H19 (99.89)"/>
    <s v="VT1;uidA"/>
    <s v="vtx1a"/>
    <x v="0"/>
  </r>
  <r>
    <x v="1"/>
    <s v="Meat"/>
    <x v="48"/>
    <s v="O121 (100.0):H10 (99.13)"/>
    <s v="O121;VT2;uidA"/>
    <s v="vtx2e"/>
    <x v="67"/>
  </r>
  <r>
    <x v="1"/>
    <s v="Meat"/>
    <x v="40"/>
    <s v="O132 (99.92):H18 (97.54)"/>
    <s v="VT2;uidA"/>
    <s v="vtx2a"/>
    <x v="13"/>
  </r>
  <r>
    <x v="1"/>
    <s v="Meat"/>
    <x v="12"/>
    <s v="O157 (100.0):H7 (100.0)"/>
    <s v="eae;O157;VT2;uidA"/>
    <s v="vtx2a"/>
    <x v="13"/>
  </r>
  <r>
    <x v="1"/>
    <s v="Meat"/>
    <x v="19"/>
    <s v="O91 (100.0):H14 (98.85)"/>
    <s v="VT1;uidA"/>
    <s v="vtx1a"/>
    <x v="0"/>
  </r>
  <r>
    <x v="1"/>
    <s v="Meat"/>
    <x v="54"/>
    <s v="- (-):H26 (100.0)"/>
    <s v="VT2;uidA"/>
    <s v="vtx2e"/>
    <x v="96"/>
  </r>
  <r>
    <x v="1"/>
    <s v="Meat"/>
    <x v="93"/>
    <s v="O-untypeable:H38 (99.93)"/>
    <s v="VT2;uidA"/>
    <s v="vtx2e"/>
    <x v="97"/>
  </r>
  <r>
    <x v="6"/>
    <s v="Other"/>
    <x v="94"/>
    <m/>
    <s v="eae;hlyAEc;VT1;uidA"/>
    <s v="stx1a, eae"/>
    <x v="98"/>
  </r>
  <r>
    <x v="6"/>
    <s v="Other"/>
    <x v="66"/>
    <m/>
    <s v="eae;hlyAEc;O111;VT1;uidA"/>
    <s v="stx1a, eae"/>
    <x v="98"/>
  </r>
  <r>
    <x v="6"/>
    <s v="Other"/>
    <x v="68"/>
    <m/>
    <s v="eae;hlyAEc;O26;VT1;uidA"/>
    <s v="stx1a, eae"/>
    <x v="98"/>
  </r>
  <r>
    <x v="6"/>
    <s v="Other"/>
    <x v="68"/>
    <m/>
    <s v="eae;O26;VT1;uidA"/>
    <s v="stx1a, eae"/>
    <x v="98"/>
  </r>
  <r>
    <x v="6"/>
    <s v="Other"/>
    <x v="12"/>
    <m/>
    <s v="eae;hlyAEc;O157;VT1;VT2;uidA"/>
    <s v="stx1a, stx2c,eae"/>
    <x v="98"/>
  </r>
  <r>
    <x v="6"/>
    <s v="Other"/>
    <x v="12"/>
    <m/>
    <s v="eae;hlyAEc;O157;VT2;uidA"/>
    <s v="stx2c,eae"/>
    <x v="98"/>
  </r>
  <r>
    <x v="6"/>
    <s v="Other"/>
    <x v="12"/>
    <m/>
    <s v="eae;hlyAEc;O157;VT1;VT2;uidA"/>
    <s v="stx1a, stx2a, eae"/>
    <x v="98"/>
  </r>
  <r>
    <x v="6"/>
    <s v="Other"/>
    <x v="12"/>
    <m/>
    <s v="eae;hlyAEc;O157;uidA"/>
    <s v="eae"/>
    <x v="98"/>
  </r>
  <r>
    <x v="6"/>
    <s v="Other"/>
    <x v="68"/>
    <m/>
    <s v="eae;hlyAEc;O26;VT1;uidA"/>
    <s v="stx1a, eae"/>
    <x v="98"/>
  </r>
  <r>
    <x v="6"/>
    <s v="Other"/>
    <x v="95"/>
    <m/>
    <s v="eae;O111;VT1;VT2;uidA"/>
    <s v="stx1a, stx2a, eae"/>
    <x v="98"/>
  </r>
  <r>
    <x v="6"/>
    <s v="Other"/>
    <x v="68"/>
    <m/>
    <s v="eae;hlyAEc;O26;VT1;uidA"/>
    <s v="stx1a, eae"/>
    <x v="98"/>
  </r>
  <r>
    <x v="6"/>
    <s v="Other"/>
    <x v="96"/>
    <m/>
    <s v="eae;hlyAEc;VT1;uidA"/>
    <s v="stx1a, eae"/>
    <x v="98"/>
  </r>
  <r>
    <x v="6"/>
    <s v="Other"/>
    <x v="97"/>
    <m/>
    <s v="eae;hlyAEc;O145;VT1;uidA"/>
    <s v="stx1a, eae"/>
    <x v="98"/>
  </r>
  <r>
    <x v="6"/>
    <s v="Other"/>
    <x v="98"/>
    <m/>
    <s v="eae;hlyAEc;O121;VT2;uidA"/>
    <s v="stx2a, eae"/>
    <x v="98"/>
  </r>
  <r>
    <x v="6"/>
    <s v="Other"/>
    <x v="30"/>
    <m/>
    <s v="eae;O103;VT1;uidA"/>
    <s v="stx1a, eae"/>
    <x v="98"/>
  </r>
  <r>
    <x v="6"/>
    <s v="Other"/>
    <x v="37"/>
    <m/>
    <s v="eae;hlyAEc;O121;VT2;uidA"/>
    <s v="stx2a, eae"/>
    <x v="98"/>
  </r>
  <r>
    <x v="6"/>
    <s v="Other"/>
    <x v="95"/>
    <m/>
    <s v="eae;O111;VT1;VT2;uidA"/>
    <s v="stx1a, stx2a, eae"/>
    <x v="98"/>
  </r>
  <r>
    <x v="6"/>
    <s v="Other"/>
    <x v="99"/>
    <m/>
    <s v="eae;hlyAEc;O45;VT1;uidA"/>
    <s v="stx1a, eae"/>
    <x v="98"/>
  </r>
  <r>
    <x v="6"/>
    <s v="Other"/>
    <x v="12"/>
    <m/>
    <s v="eae;hlyAEc;O157;VT1;VT2;uidA"/>
    <s v="stx1a, stx2a, eae"/>
    <x v="98"/>
  </r>
  <r>
    <x v="6"/>
    <s v="Other"/>
    <x v="70"/>
    <m/>
    <s v="aggR;VT2;uidA"/>
    <s v="stx2a, aggR"/>
    <x v="98"/>
  </r>
  <r>
    <x v="6"/>
    <s v="Other"/>
    <x v="100"/>
    <m/>
    <s v="aggR;uidA"/>
    <s v="aggR"/>
    <x v="98"/>
  </r>
  <r>
    <x v="6"/>
    <s v="Other"/>
    <x v="94"/>
    <m/>
    <s v="eae;hlyAEc;O111;VT1;uidA"/>
    <s v="stx1a, eae"/>
    <x v="98"/>
  </r>
  <r>
    <x v="6"/>
    <s v="Other"/>
    <x v="24"/>
    <m/>
    <s v="VT1;uidA"/>
    <s v="stx1d"/>
    <x v="98"/>
  </r>
  <r>
    <x v="6"/>
    <s v="Other"/>
    <x v="20"/>
    <m/>
    <s v="VT2;uidA"/>
    <s v="stx2a, stx2d"/>
    <x v="98"/>
  </r>
  <r>
    <x v="6"/>
    <s v="Other"/>
    <x v="101"/>
    <m/>
    <s v="hlyAEc;VT1;VT2;uidA"/>
    <s v="stx1a, stx2a"/>
    <x v="98"/>
  </r>
  <r>
    <x v="5"/>
    <s v="Vegetable"/>
    <x v="102"/>
    <m/>
    <s v="VT2;uidA"/>
    <s v="stx2h"/>
    <x v="99"/>
  </r>
  <r>
    <x v="6"/>
    <s v="Other"/>
    <x v="103"/>
    <m/>
    <s v="aggR;O111;uidA"/>
    <s v="aggR"/>
    <x v="98"/>
  </r>
  <r>
    <x v="6"/>
    <s v="Other"/>
    <x v="76"/>
    <m/>
    <s v="aggR;uidA"/>
    <s v="aggR"/>
    <x v="98"/>
  </r>
  <r>
    <x v="7"/>
    <m/>
    <x v="104"/>
    <m/>
    <m/>
    <m/>
    <x v="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x v="0"/>
  </r>
  <r>
    <x v="0"/>
    <x v="1"/>
  </r>
  <r>
    <x v="0"/>
    <x v="2"/>
  </r>
  <r>
    <x v="0"/>
    <x v="2"/>
  </r>
  <r>
    <x v="0"/>
    <x v="3"/>
  </r>
  <r>
    <x v="0"/>
    <x v="4"/>
  </r>
  <r>
    <x v="0"/>
    <x v="5"/>
  </r>
  <r>
    <x v="0"/>
    <x v="6"/>
  </r>
  <r>
    <x v="0"/>
    <x v="5"/>
  </r>
  <r>
    <x v="0"/>
    <x v="7"/>
  </r>
  <r>
    <x v="0"/>
    <x v="2"/>
  </r>
  <r>
    <x v="0"/>
    <x v="3"/>
  </r>
  <r>
    <x v="0"/>
    <x v="8"/>
  </r>
  <r>
    <x v="1"/>
    <x v="9"/>
  </r>
  <r>
    <x v="0"/>
    <x v="3"/>
  </r>
  <r>
    <x v="0"/>
    <x v="3"/>
  </r>
  <r>
    <x v="0"/>
    <x v="10"/>
  </r>
  <r>
    <x v="0"/>
    <x v="11"/>
  </r>
  <r>
    <x v="0"/>
    <x v="8"/>
  </r>
  <r>
    <x v="0"/>
    <x v="9"/>
  </r>
  <r>
    <x v="0"/>
    <x v="5"/>
  </r>
  <r>
    <x v="0"/>
    <x v="8"/>
  </r>
  <r>
    <x v="0"/>
    <x v="9"/>
  </r>
  <r>
    <x v="0"/>
    <x v="10"/>
  </r>
  <r>
    <x v="0"/>
    <x v="12"/>
  </r>
  <r>
    <x v="0"/>
    <x v="8"/>
  </r>
  <r>
    <x v="0"/>
    <x v="3"/>
  </r>
  <r>
    <x v="0"/>
    <x v="5"/>
  </r>
  <r>
    <x v="1"/>
    <x v="6"/>
  </r>
  <r>
    <x v="0"/>
    <x v="6"/>
  </r>
  <r>
    <x v="0"/>
    <x v="3"/>
  </r>
  <r>
    <x v="0"/>
    <x v="9"/>
  </r>
  <r>
    <x v="0"/>
    <x v="3"/>
  </r>
  <r>
    <x v="0"/>
    <x v="3"/>
  </r>
  <r>
    <x v="0"/>
    <x v="9"/>
  </r>
  <r>
    <x v="0"/>
    <x v="9"/>
  </r>
  <r>
    <x v="0"/>
    <x v="5"/>
  </r>
  <r>
    <x v="0"/>
    <x v="10"/>
  </r>
  <r>
    <x v="0"/>
    <x v="2"/>
  </r>
  <r>
    <x v="0"/>
    <x v="5"/>
  </r>
  <r>
    <x v="0"/>
    <x v="3"/>
  </r>
  <r>
    <x v="0"/>
    <x v="7"/>
  </r>
  <r>
    <x v="0"/>
    <x v="13"/>
  </r>
  <r>
    <x v="0"/>
    <x v="7"/>
  </r>
  <r>
    <x v="0"/>
    <x v="13"/>
  </r>
  <r>
    <x v="0"/>
    <x v="5"/>
  </r>
  <r>
    <x v="0"/>
    <x v="5"/>
  </r>
  <r>
    <x v="0"/>
    <x v="0"/>
  </r>
  <r>
    <x v="0"/>
    <x v="2"/>
  </r>
  <r>
    <x v="2"/>
    <x v="10"/>
  </r>
  <r>
    <x v="0"/>
    <x v="14"/>
  </r>
  <r>
    <x v="0"/>
    <x v="5"/>
  </r>
  <r>
    <x v="0"/>
    <x v="15"/>
  </r>
  <r>
    <x v="0"/>
    <x v="3"/>
  </r>
  <r>
    <x v="0"/>
    <x v="7"/>
  </r>
  <r>
    <x v="0"/>
    <x v="6"/>
  </r>
  <r>
    <x v="0"/>
    <x v="5"/>
  </r>
  <r>
    <x v="0"/>
    <x v="9"/>
  </r>
  <r>
    <x v="0"/>
    <x v="2"/>
  </r>
  <r>
    <x v="0"/>
    <x v="3"/>
  </r>
  <r>
    <x v="0"/>
    <x v="6"/>
  </r>
  <r>
    <x v="0"/>
    <x v="7"/>
  </r>
  <r>
    <x v="0"/>
    <x v="2"/>
  </r>
  <r>
    <x v="0"/>
    <x v="2"/>
  </r>
  <r>
    <x v="1"/>
    <x v="6"/>
  </r>
  <r>
    <x v="0"/>
    <x v="5"/>
  </r>
  <r>
    <x v="0"/>
    <x v="2"/>
  </r>
  <r>
    <x v="0"/>
    <x v="7"/>
  </r>
  <r>
    <x v="3"/>
    <x v="11"/>
  </r>
  <r>
    <x v="0"/>
    <x v="10"/>
  </r>
  <r>
    <x v="0"/>
    <x v="2"/>
  </r>
  <r>
    <x v="0"/>
    <x v="16"/>
  </r>
  <r>
    <x v="0"/>
    <x v="3"/>
  </r>
  <r>
    <x v="0"/>
    <x v="13"/>
  </r>
  <r>
    <x v="0"/>
    <x v="2"/>
  </r>
  <r>
    <x v="0"/>
    <x v="17"/>
  </r>
  <r>
    <x v="0"/>
    <x v="8"/>
  </r>
  <r>
    <x v="0"/>
    <x v="2"/>
  </r>
  <r>
    <x v="0"/>
    <x v="3"/>
  </r>
  <r>
    <x v="2"/>
    <x v="8"/>
  </r>
  <r>
    <x v="0"/>
    <x v="18"/>
  </r>
  <r>
    <x v="0"/>
    <x v="7"/>
  </r>
  <r>
    <x v="0"/>
    <x v="6"/>
  </r>
  <r>
    <x v="0"/>
    <x v="5"/>
  </r>
  <r>
    <x v="0"/>
    <x v="6"/>
  </r>
  <r>
    <x v="0"/>
    <x v="3"/>
  </r>
  <r>
    <x v="0"/>
    <x v="3"/>
  </r>
  <r>
    <x v="0"/>
    <x v="11"/>
  </r>
  <r>
    <x v="0"/>
    <x v="5"/>
  </r>
  <r>
    <x v="0"/>
    <x v="12"/>
  </r>
  <r>
    <x v="0"/>
    <x v="3"/>
  </r>
  <r>
    <x v="0"/>
    <x v="8"/>
  </r>
  <r>
    <x v="0"/>
    <x v="6"/>
  </r>
  <r>
    <x v="3"/>
    <x v="6"/>
  </r>
  <r>
    <x v="0"/>
    <x v="5"/>
  </r>
  <r>
    <x v="0"/>
    <x v="2"/>
  </r>
  <r>
    <x v="0"/>
    <x v="9"/>
  </r>
  <r>
    <x v="0"/>
    <x v="13"/>
  </r>
  <r>
    <x v="0"/>
    <x v="7"/>
  </r>
  <r>
    <x v="0"/>
    <x v="5"/>
  </r>
  <r>
    <x v="0"/>
    <x v="8"/>
  </r>
  <r>
    <x v="0"/>
    <x v="5"/>
  </r>
  <r>
    <x v="0"/>
    <x v="7"/>
  </r>
  <r>
    <x v="0"/>
    <x v="9"/>
  </r>
  <r>
    <x v="0"/>
    <x v="5"/>
  </r>
  <r>
    <x v="1"/>
    <x v="7"/>
  </r>
  <r>
    <x v="0"/>
    <x v="2"/>
  </r>
  <r>
    <x v="3"/>
    <x v="11"/>
  </r>
  <r>
    <x v="0"/>
    <x v="8"/>
  </r>
  <r>
    <x v="0"/>
    <x v="18"/>
  </r>
  <r>
    <x v="0"/>
    <x v="12"/>
  </r>
  <r>
    <x v="0"/>
    <x v="16"/>
  </r>
  <r>
    <x v="1"/>
    <x v="7"/>
  </r>
  <r>
    <x v="0"/>
    <x v="16"/>
  </r>
  <r>
    <x v="0"/>
    <x v="10"/>
  </r>
  <r>
    <x v="3"/>
    <x v="6"/>
  </r>
  <r>
    <x v="0"/>
    <x v="16"/>
  </r>
  <r>
    <x v="0"/>
    <x v="12"/>
  </r>
  <r>
    <x v="4"/>
    <x v="12"/>
  </r>
  <r>
    <x v="0"/>
    <x v="17"/>
  </r>
  <r>
    <x v="0"/>
    <x v="5"/>
  </r>
  <r>
    <x v="0"/>
    <x v="2"/>
  </r>
  <r>
    <x v="0"/>
    <x v="6"/>
  </r>
  <r>
    <x v="0"/>
    <x v="6"/>
  </r>
  <r>
    <x v="0"/>
    <x v="8"/>
  </r>
  <r>
    <x v="0"/>
    <x v="5"/>
  </r>
  <r>
    <x v="0"/>
    <x v="9"/>
  </r>
  <r>
    <x v="0"/>
    <x v="11"/>
  </r>
  <r>
    <x v="0"/>
    <x v="10"/>
  </r>
  <r>
    <x v="0"/>
    <x v="3"/>
  </r>
  <r>
    <x v="0"/>
    <x v="10"/>
  </r>
  <r>
    <x v="0"/>
    <x v="3"/>
  </r>
  <r>
    <x v="0"/>
    <x v="9"/>
  </r>
  <r>
    <x v="0"/>
    <x v="7"/>
  </r>
  <r>
    <x v="0"/>
    <x v="5"/>
  </r>
  <r>
    <x v="0"/>
    <x v="13"/>
  </r>
  <r>
    <x v="0"/>
    <x v="7"/>
  </r>
  <r>
    <x v="0"/>
    <x v="3"/>
  </r>
  <r>
    <x v="0"/>
    <x v="18"/>
  </r>
  <r>
    <x v="0"/>
    <x v="5"/>
  </r>
  <r>
    <x v="0"/>
    <x v="5"/>
  </r>
  <r>
    <x v="0"/>
    <x v="3"/>
  </r>
  <r>
    <x v="0"/>
    <x v="7"/>
  </r>
  <r>
    <x v="0"/>
    <x v="3"/>
  </r>
  <r>
    <x v="0"/>
    <x v="8"/>
  </r>
  <r>
    <x v="0"/>
    <x v="5"/>
  </r>
  <r>
    <x v="0"/>
    <x v="9"/>
  </r>
  <r>
    <x v="1"/>
    <x v="6"/>
  </r>
  <r>
    <x v="0"/>
    <x v="11"/>
  </r>
  <r>
    <x v="0"/>
    <x v="12"/>
  </r>
  <r>
    <x v="0"/>
    <x v="5"/>
  </r>
  <r>
    <x v="0"/>
    <x v="5"/>
  </r>
  <r>
    <x v="0"/>
    <x v="10"/>
  </r>
  <r>
    <x v="0"/>
    <x v="13"/>
  </r>
  <r>
    <x v="1"/>
    <x v="7"/>
  </r>
  <r>
    <x v="0"/>
    <x v="3"/>
  </r>
  <r>
    <x v="0"/>
    <x v="7"/>
  </r>
  <r>
    <x v="2"/>
    <x v="10"/>
  </r>
  <r>
    <x v="0"/>
    <x v="9"/>
  </r>
  <r>
    <x v="0"/>
    <x v="8"/>
  </r>
  <r>
    <x v="0"/>
    <x v="16"/>
  </r>
  <r>
    <x v="0"/>
    <x v="10"/>
  </r>
  <r>
    <x v="0"/>
    <x v="6"/>
  </r>
  <r>
    <x v="0"/>
    <x v="2"/>
  </r>
  <r>
    <x v="0"/>
    <x v="5"/>
  </r>
  <r>
    <x v="0"/>
    <x v="13"/>
  </r>
  <r>
    <x v="0"/>
    <x v="10"/>
  </r>
  <r>
    <x v="0"/>
    <x v="7"/>
  </r>
  <r>
    <x v="0"/>
    <x v="10"/>
  </r>
  <r>
    <x v="0"/>
    <x v="0"/>
  </r>
  <r>
    <x v="0"/>
    <x v="2"/>
  </r>
  <r>
    <x v="0"/>
    <x v="7"/>
  </r>
  <r>
    <x v="0"/>
    <x v="16"/>
  </r>
  <r>
    <x v="0"/>
    <x v="3"/>
  </r>
  <r>
    <x v="1"/>
    <x v="7"/>
  </r>
  <r>
    <x v="0"/>
    <x v="6"/>
  </r>
  <r>
    <x v="0"/>
    <x v="9"/>
  </r>
  <r>
    <x v="1"/>
    <x v="2"/>
  </r>
  <r>
    <x v="0"/>
    <x v="18"/>
  </r>
  <r>
    <x v="0"/>
    <x v="11"/>
  </r>
  <r>
    <x v="0"/>
    <x v="8"/>
  </r>
  <r>
    <x v="0"/>
    <x v="19"/>
  </r>
  <r>
    <x v="0"/>
    <x v="8"/>
  </r>
  <r>
    <x v="0"/>
    <x v="6"/>
  </r>
  <r>
    <x v="0"/>
    <x v="2"/>
  </r>
  <r>
    <x v="0"/>
    <x v="15"/>
  </r>
  <r>
    <x v="1"/>
    <x v="6"/>
  </r>
  <r>
    <x v="2"/>
    <x v="10"/>
  </r>
  <r>
    <x v="0"/>
    <x v="10"/>
  </r>
  <r>
    <x v="0"/>
    <x v="7"/>
  </r>
  <r>
    <x v="0"/>
    <x v="3"/>
  </r>
  <r>
    <x v="0"/>
    <x v="13"/>
  </r>
  <r>
    <x v="0"/>
    <x v="2"/>
  </r>
  <r>
    <x v="0"/>
    <x v="10"/>
  </r>
  <r>
    <x v="0"/>
    <x v="9"/>
  </r>
  <r>
    <x v="1"/>
    <x v="6"/>
  </r>
  <r>
    <x v="0"/>
    <x v="6"/>
  </r>
  <r>
    <x v="0"/>
    <x v="8"/>
  </r>
  <r>
    <x v="0"/>
    <x v="3"/>
  </r>
  <r>
    <x v="0"/>
    <x v="6"/>
  </r>
  <r>
    <x v="0"/>
    <x v="2"/>
  </r>
  <r>
    <x v="0"/>
    <x v="3"/>
  </r>
  <r>
    <x v="0"/>
    <x v="0"/>
  </r>
  <r>
    <x v="0"/>
    <x v="5"/>
  </r>
  <r>
    <x v="2"/>
    <x v="6"/>
  </r>
  <r>
    <x v="1"/>
    <x v="6"/>
  </r>
  <r>
    <x v="0"/>
    <x v="6"/>
  </r>
  <r>
    <x v="0"/>
    <x v="10"/>
  </r>
  <r>
    <x v="0"/>
    <x v="3"/>
  </r>
  <r>
    <x v="0"/>
    <x v="3"/>
  </r>
  <r>
    <x v="0"/>
    <x v="6"/>
  </r>
  <r>
    <x v="0"/>
    <x v="6"/>
  </r>
  <r>
    <x v="0"/>
    <x v="11"/>
  </r>
  <r>
    <x v="0"/>
    <x v="6"/>
  </r>
  <r>
    <x v="0"/>
    <x v="8"/>
  </r>
  <r>
    <x v="0"/>
    <x v="3"/>
  </r>
  <r>
    <x v="0"/>
    <x v="10"/>
  </r>
  <r>
    <x v="0"/>
    <x v="10"/>
  </r>
  <r>
    <x v="1"/>
    <x v="6"/>
  </r>
  <r>
    <x v="3"/>
    <x v="11"/>
  </r>
  <r>
    <x v="0"/>
    <x v="8"/>
  </r>
  <r>
    <x v="0"/>
    <x v="2"/>
  </r>
  <r>
    <x v="0"/>
    <x v="2"/>
  </r>
  <r>
    <x v="0"/>
    <x v="8"/>
  </r>
  <r>
    <x v="0"/>
    <x v="6"/>
  </r>
  <r>
    <x v="0"/>
    <x v="2"/>
  </r>
  <r>
    <x v="0"/>
    <x v="2"/>
  </r>
  <r>
    <x v="0"/>
    <x v="3"/>
  </r>
  <r>
    <x v="0"/>
    <x v="16"/>
  </r>
  <r>
    <x v="5"/>
    <x v="6"/>
  </r>
  <r>
    <x v="0"/>
    <x v="7"/>
  </r>
  <r>
    <x v="0"/>
    <x v="7"/>
  </r>
  <r>
    <x v="0"/>
    <x v="12"/>
  </r>
  <r>
    <x v="0"/>
    <x v="10"/>
  </r>
  <r>
    <x v="0"/>
    <x v="9"/>
  </r>
  <r>
    <x v="4"/>
    <x v="9"/>
  </r>
  <r>
    <x v="0"/>
    <x v="7"/>
  </r>
  <r>
    <x v="0"/>
    <x v="9"/>
  </r>
  <r>
    <x v="0"/>
    <x v="9"/>
  </r>
  <r>
    <x v="0"/>
    <x v="9"/>
  </r>
  <r>
    <x v="0"/>
    <x v="2"/>
  </r>
  <r>
    <x v="0"/>
    <x v="10"/>
  </r>
  <r>
    <x v="0"/>
    <x v="6"/>
  </r>
  <r>
    <x v="0"/>
    <x v="8"/>
  </r>
  <r>
    <x v="0"/>
    <x v="10"/>
  </r>
  <r>
    <x v="0"/>
    <x v="10"/>
  </r>
  <r>
    <x v="0"/>
    <x v="10"/>
  </r>
  <r>
    <x v="0"/>
    <x v="8"/>
  </r>
  <r>
    <x v="0"/>
    <x v="1"/>
  </r>
  <r>
    <x v="0"/>
    <x v="8"/>
  </r>
  <r>
    <x v="0"/>
    <x v="6"/>
  </r>
  <r>
    <x v="0"/>
    <x v="10"/>
  </r>
  <r>
    <x v="0"/>
    <x v="8"/>
  </r>
  <r>
    <x v="0"/>
    <x v="8"/>
  </r>
  <r>
    <x v="0"/>
    <x v="7"/>
  </r>
  <r>
    <x v="0"/>
    <x v="0"/>
  </r>
  <r>
    <x v="0"/>
    <x v="3"/>
  </r>
  <r>
    <x v="0"/>
    <x v="3"/>
  </r>
  <r>
    <x v="0"/>
    <x v="3"/>
  </r>
  <r>
    <x v="0"/>
    <x v="10"/>
  </r>
  <r>
    <x v="0"/>
    <x v="16"/>
  </r>
  <r>
    <x v="0"/>
    <x v="11"/>
  </r>
  <r>
    <x v="0"/>
    <x v="8"/>
  </r>
  <r>
    <x v="0"/>
    <x v="10"/>
  </r>
  <r>
    <x v="0"/>
    <x v="2"/>
  </r>
  <r>
    <x v="0"/>
    <x v="10"/>
  </r>
  <r>
    <x v="0"/>
    <x v="9"/>
  </r>
  <r>
    <x v="0"/>
    <x v="9"/>
  </r>
  <r>
    <x v="1"/>
    <x v="6"/>
  </r>
  <r>
    <x v="0"/>
    <x v="10"/>
  </r>
  <r>
    <x v="0"/>
    <x v="2"/>
  </r>
  <r>
    <x v="0"/>
    <x v="2"/>
  </r>
  <r>
    <x v="0"/>
    <x v="6"/>
  </r>
  <r>
    <x v="0"/>
    <x v="8"/>
  </r>
  <r>
    <x v="0"/>
    <x v="7"/>
  </r>
  <r>
    <x v="0"/>
    <x v="0"/>
  </r>
  <r>
    <x v="0"/>
    <x v="10"/>
  </r>
  <r>
    <x v="0"/>
    <x v="3"/>
  </r>
  <r>
    <x v="4"/>
    <x v="9"/>
  </r>
  <r>
    <x v="0"/>
    <x v="6"/>
  </r>
  <r>
    <x v="0"/>
    <x v="5"/>
  </r>
  <r>
    <x v="0"/>
    <x v="3"/>
  </r>
  <r>
    <x v="0"/>
    <x v="3"/>
  </r>
  <r>
    <x v="0"/>
    <x v="10"/>
  </r>
  <r>
    <x v="0"/>
    <x v="7"/>
  </r>
  <r>
    <x v="0"/>
    <x v="6"/>
  </r>
  <r>
    <x v="0"/>
    <x v="6"/>
  </r>
  <r>
    <x v="1"/>
    <x v="6"/>
  </r>
  <r>
    <x v="1"/>
    <x v="6"/>
  </r>
  <r>
    <x v="1"/>
    <x v="6"/>
  </r>
  <r>
    <x v="0"/>
    <x v="11"/>
  </r>
  <r>
    <x v="0"/>
    <x v="0"/>
  </r>
  <r>
    <x v="0"/>
    <x v="7"/>
  </r>
  <r>
    <x v="0"/>
    <x v="0"/>
  </r>
  <r>
    <x v="1"/>
    <x v="6"/>
  </r>
  <r>
    <x v="0"/>
    <x v="8"/>
  </r>
  <r>
    <x v="0"/>
    <x v="8"/>
  </r>
  <r>
    <x v="0"/>
    <x v="6"/>
  </r>
  <r>
    <x v="1"/>
    <x v="6"/>
  </r>
  <r>
    <x v="0"/>
    <x v="16"/>
  </r>
  <r>
    <x v="0"/>
    <x v="2"/>
  </r>
  <r>
    <x v="0"/>
    <x v="2"/>
  </r>
  <r>
    <x v="1"/>
    <x v="6"/>
  </r>
  <r>
    <x v="0"/>
    <x v="9"/>
  </r>
  <r>
    <x v="0"/>
    <x v="2"/>
  </r>
  <r>
    <x v="0"/>
    <x v="0"/>
  </r>
  <r>
    <x v="0"/>
    <x v="9"/>
  </r>
  <r>
    <x v="0"/>
    <x v="9"/>
  </r>
  <r>
    <x v="4"/>
    <x v="9"/>
  </r>
  <r>
    <x v="4"/>
    <x v="9"/>
  </r>
  <r>
    <x v="0"/>
    <x v="10"/>
  </r>
  <r>
    <x v="2"/>
    <x v="6"/>
  </r>
  <r>
    <x v="0"/>
    <x v="2"/>
  </r>
  <r>
    <x v="0"/>
    <x v="2"/>
  </r>
  <r>
    <x v="0"/>
    <x v="3"/>
  </r>
  <r>
    <x v="0"/>
    <x v="9"/>
  </r>
  <r>
    <x v="0"/>
    <x v="8"/>
  </r>
  <r>
    <x v="0"/>
    <x v="6"/>
  </r>
  <r>
    <x v="0"/>
    <x v="3"/>
  </r>
  <r>
    <x v="0"/>
    <x v="9"/>
  </r>
  <r>
    <x v="0"/>
    <x v="8"/>
  </r>
  <r>
    <x v="0"/>
    <x v="16"/>
  </r>
  <r>
    <x v="0"/>
    <x v="10"/>
  </r>
  <r>
    <x v="0"/>
    <x v="9"/>
  </r>
  <r>
    <x v="0"/>
    <x v="8"/>
  </r>
  <r>
    <x v="0"/>
    <x v="10"/>
  </r>
  <r>
    <x v="0"/>
    <x v="6"/>
  </r>
  <r>
    <x v="0"/>
    <x v="6"/>
  </r>
  <r>
    <x v="0"/>
    <x v="8"/>
  </r>
  <r>
    <x v="0"/>
    <x v="8"/>
  </r>
  <r>
    <x v="0"/>
    <x v="9"/>
  </r>
  <r>
    <x v="0"/>
    <x v="9"/>
  </r>
  <r>
    <x v="0"/>
    <x v="9"/>
  </r>
  <r>
    <x v="0"/>
    <x v="8"/>
  </r>
  <r>
    <x v="0"/>
    <x v="8"/>
  </r>
  <r>
    <x v="0"/>
    <x v="10"/>
  </r>
  <r>
    <x v="0"/>
    <x v="8"/>
  </r>
  <r>
    <x v="0"/>
    <x v="10"/>
  </r>
  <r>
    <x v="0"/>
    <x v="8"/>
  </r>
  <r>
    <x v="0"/>
    <x v="8"/>
  </r>
  <r>
    <x v="0"/>
    <x v="8"/>
  </r>
  <r>
    <x v="0"/>
    <x v="7"/>
  </r>
  <r>
    <x v="0"/>
    <x v="8"/>
  </r>
  <r>
    <x v="0"/>
    <x v="8"/>
  </r>
  <r>
    <x v="0"/>
    <x v="8"/>
  </r>
  <r>
    <x v="0"/>
    <x v="10"/>
  </r>
  <r>
    <x v="5"/>
    <x v="10"/>
  </r>
  <r>
    <x v="0"/>
    <x v="9"/>
  </r>
  <r>
    <x v="4"/>
    <x v="9"/>
  </r>
  <r>
    <x v="0"/>
    <x v="8"/>
  </r>
  <r>
    <x v="3"/>
    <x v="8"/>
  </r>
  <r>
    <x v="0"/>
    <x v="3"/>
  </r>
  <r>
    <x v="0"/>
    <x v="3"/>
  </r>
  <r>
    <x v="0"/>
    <x v="10"/>
  </r>
  <r>
    <x v="0"/>
    <x v="8"/>
  </r>
  <r>
    <x v="0"/>
    <x v="8"/>
  </r>
  <r>
    <x v="0"/>
    <x v="6"/>
  </r>
  <r>
    <x v="0"/>
    <x v="6"/>
  </r>
  <r>
    <x v="0"/>
    <x v="6"/>
  </r>
  <r>
    <x v="0"/>
    <x v="8"/>
  </r>
  <r>
    <x v="0"/>
    <x v="6"/>
  </r>
  <r>
    <x v="0"/>
    <x v="6"/>
  </r>
  <r>
    <x v="0"/>
    <x v="9"/>
  </r>
  <r>
    <x v="0"/>
    <x v="8"/>
  </r>
  <r>
    <x v="0"/>
    <x v="10"/>
  </r>
  <r>
    <x v="0"/>
    <x v="8"/>
  </r>
  <r>
    <x v="3"/>
    <x v="8"/>
  </r>
  <r>
    <x v="0"/>
    <x v="6"/>
  </r>
  <r>
    <x v="0"/>
    <x v="10"/>
  </r>
  <r>
    <x v="3"/>
    <x v="8"/>
  </r>
  <r>
    <x v="0"/>
    <x v="8"/>
  </r>
  <r>
    <x v="0"/>
    <x v="10"/>
  </r>
  <r>
    <x v="0"/>
    <x v="8"/>
  </r>
  <r>
    <x v="0"/>
    <x v="8"/>
  </r>
  <r>
    <x v="0"/>
    <x v="10"/>
  </r>
  <r>
    <x v="0"/>
    <x v="10"/>
  </r>
  <r>
    <x v="0"/>
    <x v="8"/>
  </r>
  <r>
    <x v="0"/>
    <x v="10"/>
  </r>
  <r>
    <x v="0"/>
    <x v="6"/>
  </r>
  <r>
    <x v="0"/>
    <x v="1"/>
  </r>
  <r>
    <x v="0"/>
    <x v="10"/>
  </r>
  <r>
    <x v="1"/>
    <x v="6"/>
  </r>
  <r>
    <x v="0"/>
    <x v="7"/>
  </r>
  <r>
    <x v="0"/>
    <x v="3"/>
  </r>
  <r>
    <x v="4"/>
    <x v="9"/>
  </r>
  <r>
    <x v="2"/>
    <x v="6"/>
  </r>
  <r>
    <x v="0"/>
    <x v="3"/>
  </r>
  <r>
    <x v="5"/>
    <x v="6"/>
  </r>
  <r>
    <x v="2"/>
    <x v="6"/>
  </r>
  <r>
    <x v="2"/>
    <x v="9"/>
  </r>
  <r>
    <x v="0"/>
    <x v="10"/>
  </r>
  <r>
    <x v="3"/>
    <x v="8"/>
  </r>
  <r>
    <x v="0"/>
    <x v="7"/>
  </r>
  <r>
    <x v="0"/>
    <x v="6"/>
  </r>
  <r>
    <x v="0"/>
    <x v="9"/>
  </r>
  <r>
    <x v="0"/>
    <x v="7"/>
  </r>
  <r>
    <x v="0"/>
    <x v="6"/>
  </r>
  <r>
    <x v="0"/>
    <x v="18"/>
  </r>
  <r>
    <x v="0"/>
    <x v="10"/>
  </r>
  <r>
    <x v="0"/>
    <x v="10"/>
  </r>
  <r>
    <x v="0"/>
    <x v="8"/>
  </r>
  <r>
    <x v="0"/>
    <x v="8"/>
  </r>
  <r>
    <x v="0"/>
    <x v="16"/>
  </r>
  <r>
    <x v="2"/>
    <x v="6"/>
  </r>
  <r>
    <x v="0"/>
    <x v="6"/>
  </r>
  <r>
    <x v="3"/>
    <x v="10"/>
  </r>
  <r>
    <x v="0"/>
    <x v="10"/>
  </r>
  <r>
    <x v="2"/>
    <x v="9"/>
  </r>
  <r>
    <x v="0"/>
    <x v="9"/>
  </r>
  <r>
    <x v="0"/>
    <x v="9"/>
  </r>
  <r>
    <x v="0"/>
    <x v="8"/>
  </r>
  <r>
    <x v="0"/>
    <x v="8"/>
  </r>
  <r>
    <x v="0"/>
    <x v="10"/>
  </r>
  <r>
    <x v="3"/>
    <x v="8"/>
  </r>
  <r>
    <x v="3"/>
    <x v="8"/>
  </r>
  <r>
    <x v="0"/>
    <x v="10"/>
  </r>
  <r>
    <x v="0"/>
    <x v="10"/>
  </r>
  <r>
    <x v="0"/>
    <x v="10"/>
  </r>
  <r>
    <x v="0"/>
    <x v="10"/>
  </r>
  <r>
    <x v="3"/>
    <x v="8"/>
  </r>
  <r>
    <x v="0"/>
    <x v="10"/>
  </r>
  <r>
    <x v="6"/>
    <x v="10"/>
  </r>
  <r>
    <x v="0"/>
    <x v="10"/>
  </r>
  <r>
    <x v="0"/>
    <x v="10"/>
  </r>
  <r>
    <x v="0"/>
    <x v="8"/>
  </r>
  <r>
    <x v="0"/>
    <x v="10"/>
  </r>
  <r>
    <x v="0"/>
    <x v="10"/>
  </r>
  <r>
    <x v="0"/>
    <x v="1"/>
  </r>
  <r>
    <x v="5"/>
    <x v="8"/>
  </r>
  <r>
    <x v="2"/>
    <x v="6"/>
  </r>
  <r>
    <x v="0"/>
    <x v="7"/>
  </r>
  <r>
    <x v="1"/>
    <x v="6"/>
  </r>
  <r>
    <x v="0"/>
    <x v="11"/>
  </r>
  <r>
    <x v="0"/>
    <x v="18"/>
  </r>
  <r>
    <x v="0"/>
    <x v="8"/>
  </r>
  <r>
    <x v="0"/>
    <x v="2"/>
  </r>
  <r>
    <x v="0"/>
    <x v="7"/>
  </r>
  <r>
    <x v="0"/>
    <x v="10"/>
  </r>
  <r>
    <x v="1"/>
    <x v="6"/>
  </r>
  <r>
    <x v="1"/>
    <x v="10"/>
  </r>
  <r>
    <x v="0"/>
    <x v="10"/>
  </r>
  <r>
    <x v="0"/>
    <x v="9"/>
  </r>
  <r>
    <x v="0"/>
    <x v="11"/>
  </r>
  <r>
    <x v="0"/>
    <x v="10"/>
  </r>
  <r>
    <x v="0"/>
    <x v="16"/>
  </r>
  <r>
    <x v="0"/>
    <x v="9"/>
  </r>
  <r>
    <x v="0"/>
    <x v="0"/>
  </r>
  <r>
    <x v="0"/>
    <x v="3"/>
  </r>
  <r>
    <x v="0"/>
    <x v="10"/>
  </r>
  <r>
    <x v="0"/>
    <x v="6"/>
  </r>
  <r>
    <x v="0"/>
    <x v="11"/>
  </r>
  <r>
    <x v="2"/>
    <x v="6"/>
  </r>
  <r>
    <x v="0"/>
    <x v="8"/>
  </r>
  <r>
    <x v="2"/>
    <x v="6"/>
  </r>
  <r>
    <x v="0"/>
    <x v="20"/>
  </r>
  <r>
    <x v="0"/>
    <x v="6"/>
  </r>
  <r>
    <x v="0"/>
    <x v="10"/>
  </r>
  <r>
    <x v="4"/>
    <x v="10"/>
  </r>
  <r>
    <x v="0"/>
    <x v="10"/>
  </r>
  <r>
    <x v="0"/>
    <x v="10"/>
  </r>
  <r>
    <x v="0"/>
    <x v="8"/>
  </r>
  <r>
    <x v="0"/>
    <x v="6"/>
  </r>
  <r>
    <x v="0"/>
    <x v="6"/>
  </r>
  <r>
    <x v="0"/>
    <x v="6"/>
  </r>
  <r>
    <x v="0"/>
    <x v="6"/>
  </r>
  <r>
    <x v="0"/>
    <x v="10"/>
  </r>
  <r>
    <x v="0"/>
    <x v="10"/>
  </r>
  <r>
    <x v="4"/>
    <x v="10"/>
  </r>
  <r>
    <x v="0"/>
    <x v="8"/>
  </r>
  <r>
    <x v="0"/>
    <x v="10"/>
  </r>
  <r>
    <x v="0"/>
    <x v="10"/>
  </r>
  <r>
    <x v="0"/>
    <x v="18"/>
  </r>
  <r>
    <x v="0"/>
    <x v="9"/>
  </r>
  <r>
    <x v="0"/>
    <x v="9"/>
  </r>
  <r>
    <x v="2"/>
    <x v="6"/>
  </r>
  <r>
    <x v="1"/>
    <x v="6"/>
  </r>
  <r>
    <x v="1"/>
    <x v="6"/>
  </r>
  <r>
    <x v="0"/>
    <x v="11"/>
  </r>
  <r>
    <x v="0"/>
    <x v="6"/>
  </r>
  <r>
    <x v="0"/>
    <x v="2"/>
  </r>
  <r>
    <x v="1"/>
    <x v="6"/>
  </r>
  <r>
    <x v="0"/>
    <x v="7"/>
  </r>
  <r>
    <x v="0"/>
    <x v="11"/>
  </r>
  <r>
    <x v="1"/>
    <x v="6"/>
  </r>
  <r>
    <x v="1"/>
    <x v="6"/>
  </r>
  <r>
    <x v="2"/>
    <x v="9"/>
  </r>
  <r>
    <x v="2"/>
    <x v="21"/>
  </r>
  <r>
    <x v="0"/>
    <x v="10"/>
  </r>
  <r>
    <x v="2"/>
    <x v="6"/>
  </r>
  <r>
    <x v="0"/>
    <x v="7"/>
  </r>
  <r>
    <x v="0"/>
    <x v="22"/>
  </r>
  <r>
    <x v="0"/>
    <x v="7"/>
  </r>
  <r>
    <x v="0"/>
    <x v="7"/>
  </r>
  <r>
    <x v="0"/>
    <x v="0"/>
  </r>
  <r>
    <x v="5"/>
    <x v="23"/>
  </r>
  <r>
    <x v="5"/>
    <x v="24"/>
  </r>
  <r>
    <x v="0"/>
    <x v="8"/>
  </r>
  <r>
    <x v="7"/>
    <x v="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x v="0"/>
    <x v="0"/>
  </r>
  <r>
    <x v="1"/>
    <x v="0"/>
    <x v="0"/>
  </r>
  <r>
    <x v="2"/>
    <x v="0"/>
    <x v="0"/>
  </r>
  <r>
    <x v="3"/>
    <x v="1"/>
    <x v="0"/>
  </r>
  <r>
    <x v="4"/>
    <x v="1"/>
    <x v="0"/>
  </r>
  <r>
    <x v="5"/>
    <x v="0"/>
    <x v="0"/>
  </r>
  <r>
    <x v="6"/>
    <x v="0"/>
    <x v="0"/>
  </r>
  <r>
    <x v="7"/>
    <x v="0"/>
    <x v="0"/>
  </r>
  <r>
    <x v="8"/>
    <x v="1"/>
    <x v="0"/>
  </r>
  <r>
    <x v="9"/>
    <x v="0"/>
    <x v="0"/>
  </r>
  <r>
    <x v="2"/>
    <x v="1"/>
    <x v="0"/>
  </r>
  <r>
    <x v="10"/>
    <x v="1"/>
    <x v="0"/>
  </r>
  <r>
    <x v="11"/>
    <x v="0"/>
    <x v="0"/>
  </r>
  <r>
    <x v="12"/>
    <x v="2"/>
    <x v="1"/>
  </r>
  <r>
    <x v="13"/>
    <x v="1"/>
    <x v="0"/>
  </r>
  <r>
    <x v="4"/>
    <x v="0"/>
    <x v="0"/>
  </r>
  <r>
    <x v="14"/>
    <x v="0"/>
    <x v="0"/>
  </r>
  <r>
    <x v="15"/>
    <x v="0"/>
    <x v="0"/>
  </r>
  <r>
    <x v="11"/>
    <x v="0"/>
    <x v="0"/>
  </r>
  <r>
    <x v="16"/>
    <x v="0"/>
    <x v="0"/>
  </r>
  <r>
    <x v="17"/>
    <x v="1"/>
    <x v="0"/>
  </r>
  <r>
    <x v="11"/>
    <x v="0"/>
    <x v="0"/>
  </r>
  <r>
    <x v="16"/>
    <x v="0"/>
    <x v="0"/>
  </r>
  <r>
    <x v="18"/>
    <x v="0"/>
    <x v="0"/>
  </r>
  <r>
    <x v="19"/>
    <x v="0"/>
    <x v="0"/>
  </r>
  <r>
    <x v="11"/>
    <x v="0"/>
    <x v="0"/>
  </r>
  <r>
    <x v="4"/>
    <x v="1"/>
    <x v="0"/>
  </r>
  <r>
    <x v="6"/>
    <x v="0"/>
    <x v="0"/>
  </r>
  <r>
    <x v="20"/>
    <x v="2"/>
    <x v="1"/>
  </r>
  <r>
    <x v="7"/>
    <x v="0"/>
    <x v="0"/>
  </r>
  <r>
    <x v="21"/>
    <x v="0"/>
    <x v="0"/>
  </r>
  <r>
    <x v="22"/>
    <x v="0"/>
    <x v="0"/>
  </r>
  <r>
    <x v="10"/>
    <x v="1"/>
    <x v="0"/>
  </r>
  <r>
    <x v="23"/>
    <x v="0"/>
    <x v="0"/>
  </r>
  <r>
    <x v="16"/>
    <x v="0"/>
    <x v="0"/>
  </r>
  <r>
    <x v="16"/>
    <x v="0"/>
    <x v="0"/>
  </r>
  <r>
    <x v="17"/>
    <x v="1"/>
    <x v="0"/>
  </r>
  <r>
    <x v="14"/>
    <x v="0"/>
    <x v="0"/>
  </r>
  <r>
    <x v="2"/>
    <x v="1"/>
    <x v="0"/>
  </r>
  <r>
    <x v="6"/>
    <x v="1"/>
    <x v="0"/>
  </r>
  <r>
    <x v="24"/>
    <x v="0"/>
    <x v="0"/>
  </r>
  <r>
    <x v="25"/>
    <x v="0"/>
    <x v="0"/>
  </r>
  <r>
    <x v="26"/>
    <x v="0"/>
    <x v="0"/>
  </r>
  <r>
    <x v="9"/>
    <x v="0"/>
    <x v="0"/>
  </r>
  <r>
    <x v="26"/>
    <x v="0"/>
    <x v="0"/>
  </r>
  <r>
    <x v="27"/>
    <x v="1"/>
    <x v="0"/>
  </r>
  <r>
    <x v="27"/>
    <x v="1"/>
    <x v="0"/>
  </r>
  <r>
    <x v="28"/>
    <x v="0"/>
    <x v="0"/>
  </r>
  <r>
    <x v="2"/>
    <x v="0"/>
    <x v="0"/>
  </r>
  <r>
    <x v="29"/>
    <x v="3"/>
    <x v="2"/>
  </r>
  <r>
    <x v="30"/>
    <x v="1"/>
    <x v="0"/>
  </r>
  <r>
    <x v="6"/>
    <x v="0"/>
    <x v="0"/>
  </r>
  <r>
    <x v="31"/>
    <x v="0"/>
    <x v="0"/>
  </r>
  <r>
    <x v="21"/>
    <x v="0"/>
    <x v="0"/>
  </r>
  <r>
    <x v="9"/>
    <x v="0"/>
    <x v="0"/>
  </r>
  <r>
    <x v="7"/>
    <x v="0"/>
    <x v="0"/>
  </r>
  <r>
    <x v="6"/>
    <x v="1"/>
    <x v="0"/>
  </r>
  <r>
    <x v="16"/>
    <x v="0"/>
    <x v="0"/>
  </r>
  <r>
    <x v="2"/>
    <x v="1"/>
    <x v="0"/>
  </r>
  <r>
    <x v="32"/>
    <x v="1"/>
    <x v="0"/>
  </r>
  <r>
    <x v="7"/>
    <x v="0"/>
    <x v="0"/>
  </r>
  <r>
    <x v="9"/>
    <x v="0"/>
    <x v="0"/>
  </r>
  <r>
    <x v="2"/>
    <x v="1"/>
    <x v="0"/>
  </r>
  <r>
    <x v="33"/>
    <x v="0"/>
    <x v="0"/>
  </r>
  <r>
    <x v="7"/>
    <x v="2"/>
    <x v="1"/>
  </r>
  <r>
    <x v="34"/>
    <x v="0"/>
    <x v="0"/>
  </r>
  <r>
    <x v="2"/>
    <x v="0"/>
    <x v="0"/>
  </r>
  <r>
    <x v="9"/>
    <x v="0"/>
    <x v="0"/>
  </r>
  <r>
    <x v="35"/>
    <x v="4"/>
    <x v="3"/>
  </r>
  <r>
    <x v="14"/>
    <x v="0"/>
    <x v="0"/>
  </r>
  <r>
    <x v="33"/>
    <x v="0"/>
    <x v="0"/>
  </r>
  <r>
    <x v="36"/>
    <x v="1"/>
    <x v="0"/>
  </r>
  <r>
    <x v="13"/>
    <x v="1"/>
    <x v="0"/>
  </r>
  <r>
    <x v="26"/>
    <x v="0"/>
    <x v="0"/>
  </r>
  <r>
    <x v="2"/>
    <x v="1"/>
    <x v="0"/>
  </r>
  <r>
    <x v="37"/>
    <x v="0"/>
    <x v="0"/>
  </r>
  <r>
    <x v="38"/>
    <x v="0"/>
    <x v="0"/>
  </r>
  <r>
    <x v="2"/>
    <x v="1"/>
    <x v="0"/>
  </r>
  <r>
    <x v="32"/>
    <x v="1"/>
    <x v="0"/>
  </r>
  <r>
    <x v="39"/>
    <x v="3"/>
    <x v="2"/>
  </r>
  <r>
    <x v="40"/>
    <x v="0"/>
    <x v="0"/>
  </r>
  <r>
    <x v="9"/>
    <x v="0"/>
    <x v="0"/>
  </r>
  <r>
    <x v="7"/>
    <x v="0"/>
    <x v="0"/>
  </r>
  <r>
    <x v="6"/>
    <x v="0"/>
    <x v="0"/>
  </r>
  <r>
    <x v="7"/>
    <x v="0"/>
    <x v="0"/>
  </r>
  <r>
    <x v="21"/>
    <x v="0"/>
    <x v="0"/>
  </r>
  <r>
    <x v="41"/>
    <x v="1"/>
    <x v="0"/>
  </r>
  <r>
    <x v="42"/>
    <x v="0"/>
    <x v="0"/>
  </r>
  <r>
    <x v="6"/>
    <x v="0"/>
    <x v="0"/>
  </r>
  <r>
    <x v="19"/>
    <x v="0"/>
    <x v="0"/>
  </r>
  <r>
    <x v="32"/>
    <x v="0"/>
    <x v="0"/>
  </r>
  <r>
    <x v="11"/>
    <x v="0"/>
    <x v="0"/>
  </r>
  <r>
    <x v="7"/>
    <x v="0"/>
    <x v="0"/>
  </r>
  <r>
    <x v="7"/>
    <x v="4"/>
    <x v="3"/>
  </r>
  <r>
    <x v="6"/>
    <x v="0"/>
    <x v="0"/>
  </r>
  <r>
    <x v="2"/>
    <x v="0"/>
    <x v="0"/>
  </r>
  <r>
    <x v="22"/>
    <x v="0"/>
    <x v="0"/>
  </r>
  <r>
    <x v="26"/>
    <x v="0"/>
    <x v="0"/>
  </r>
  <r>
    <x v="9"/>
    <x v="0"/>
    <x v="0"/>
  </r>
  <r>
    <x v="6"/>
    <x v="0"/>
    <x v="0"/>
  </r>
  <r>
    <x v="11"/>
    <x v="0"/>
    <x v="0"/>
  </r>
  <r>
    <x v="6"/>
    <x v="0"/>
    <x v="0"/>
  </r>
  <r>
    <x v="9"/>
    <x v="0"/>
    <x v="0"/>
  </r>
  <r>
    <x v="43"/>
    <x v="0"/>
    <x v="0"/>
  </r>
  <r>
    <x v="8"/>
    <x v="1"/>
    <x v="0"/>
  </r>
  <r>
    <x v="9"/>
    <x v="2"/>
    <x v="1"/>
  </r>
  <r>
    <x v="2"/>
    <x v="0"/>
    <x v="0"/>
  </r>
  <r>
    <x v="35"/>
    <x v="4"/>
    <x v="3"/>
  </r>
  <r>
    <x v="11"/>
    <x v="0"/>
    <x v="0"/>
  </r>
  <r>
    <x v="40"/>
    <x v="0"/>
    <x v="0"/>
  </r>
  <r>
    <x v="19"/>
    <x v="0"/>
    <x v="0"/>
  </r>
  <r>
    <x v="36"/>
    <x v="1"/>
    <x v="0"/>
  </r>
  <r>
    <x v="9"/>
    <x v="2"/>
    <x v="1"/>
  </r>
  <r>
    <x v="36"/>
    <x v="1"/>
    <x v="0"/>
  </r>
  <r>
    <x v="14"/>
    <x v="0"/>
    <x v="0"/>
  </r>
  <r>
    <x v="7"/>
    <x v="4"/>
    <x v="3"/>
  </r>
  <r>
    <x v="36"/>
    <x v="1"/>
    <x v="0"/>
  </r>
  <r>
    <x v="19"/>
    <x v="0"/>
    <x v="0"/>
  </r>
  <r>
    <x v="44"/>
    <x v="5"/>
    <x v="4"/>
  </r>
  <r>
    <x v="37"/>
    <x v="0"/>
    <x v="0"/>
  </r>
  <r>
    <x v="6"/>
    <x v="0"/>
    <x v="0"/>
  </r>
  <r>
    <x v="2"/>
    <x v="0"/>
    <x v="0"/>
  </r>
  <r>
    <x v="7"/>
    <x v="0"/>
    <x v="0"/>
  </r>
  <r>
    <x v="7"/>
    <x v="0"/>
    <x v="0"/>
  </r>
  <r>
    <x v="11"/>
    <x v="0"/>
    <x v="0"/>
  </r>
  <r>
    <x v="45"/>
    <x v="0"/>
    <x v="0"/>
  </r>
  <r>
    <x v="12"/>
    <x v="0"/>
    <x v="0"/>
  </r>
  <r>
    <x v="46"/>
    <x v="0"/>
    <x v="0"/>
  </r>
  <r>
    <x v="14"/>
    <x v="0"/>
    <x v="0"/>
  </r>
  <r>
    <x v="47"/>
    <x v="0"/>
    <x v="0"/>
  </r>
  <r>
    <x v="14"/>
    <x v="0"/>
    <x v="0"/>
  </r>
  <r>
    <x v="47"/>
    <x v="0"/>
    <x v="0"/>
  </r>
  <r>
    <x v="22"/>
    <x v="0"/>
    <x v="0"/>
  </r>
  <r>
    <x v="9"/>
    <x v="0"/>
    <x v="0"/>
  </r>
  <r>
    <x v="6"/>
    <x v="0"/>
    <x v="0"/>
  </r>
  <r>
    <x v="26"/>
    <x v="0"/>
    <x v="0"/>
  </r>
  <r>
    <x v="9"/>
    <x v="0"/>
    <x v="0"/>
  </r>
  <r>
    <x v="13"/>
    <x v="0"/>
    <x v="0"/>
  </r>
  <r>
    <x v="40"/>
    <x v="0"/>
    <x v="0"/>
  </r>
  <r>
    <x v="6"/>
    <x v="0"/>
    <x v="0"/>
  </r>
  <r>
    <x v="6"/>
    <x v="0"/>
    <x v="0"/>
  </r>
  <r>
    <x v="32"/>
    <x v="1"/>
    <x v="0"/>
  </r>
  <r>
    <x v="9"/>
    <x v="0"/>
    <x v="0"/>
  </r>
  <r>
    <x v="4"/>
    <x v="0"/>
    <x v="0"/>
  </r>
  <r>
    <x v="11"/>
    <x v="0"/>
    <x v="0"/>
  </r>
  <r>
    <x v="6"/>
    <x v="0"/>
    <x v="0"/>
  </r>
  <r>
    <x v="16"/>
    <x v="0"/>
    <x v="0"/>
  </r>
  <r>
    <x v="7"/>
    <x v="2"/>
    <x v="1"/>
  </r>
  <r>
    <x v="48"/>
    <x v="0"/>
    <x v="0"/>
  </r>
  <r>
    <x v="19"/>
    <x v="0"/>
    <x v="0"/>
  </r>
  <r>
    <x v="6"/>
    <x v="0"/>
    <x v="0"/>
  </r>
  <r>
    <x v="6"/>
    <x v="0"/>
    <x v="0"/>
  </r>
  <r>
    <x v="14"/>
    <x v="0"/>
    <x v="0"/>
  </r>
  <r>
    <x v="26"/>
    <x v="0"/>
    <x v="0"/>
  </r>
  <r>
    <x v="9"/>
    <x v="2"/>
    <x v="1"/>
  </r>
  <r>
    <x v="32"/>
    <x v="0"/>
    <x v="0"/>
  </r>
  <r>
    <x v="9"/>
    <x v="0"/>
    <x v="0"/>
  </r>
  <r>
    <x v="29"/>
    <x v="3"/>
    <x v="2"/>
  </r>
  <r>
    <x v="22"/>
    <x v="0"/>
    <x v="0"/>
  </r>
  <r>
    <x v="11"/>
    <x v="0"/>
    <x v="0"/>
  </r>
  <r>
    <x v="36"/>
    <x v="1"/>
    <x v="0"/>
  </r>
  <r>
    <x v="14"/>
    <x v="0"/>
    <x v="0"/>
  </r>
  <r>
    <x v="7"/>
    <x v="0"/>
    <x v="0"/>
  </r>
  <r>
    <x v="2"/>
    <x v="0"/>
    <x v="0"/>
  </r>
  <r>
    <x v="6"/>
    <x v="0"/>
    <x v="0"/>
  </r>
  <r>
    <x v="49"/>
    <x v="1"/>
    <x v="0"/>
  </r>
  <r>
    <x v="14"/>
    <x v="0"/>
    <x v="0"/>
  </r>
  <r>
    <x v="9"/>
    <x v="0"/>
    <x v="0"/>
  </r>
  <r>
    <x v="14"/>
    <x v="0"/>
    <x v="0"/>
  </r>
  <r>
    <x v="50"/>
    <x v="0"/>
    <x v="0"/>
  </r>
  <r>
    <x v="2"/>
    <x v="1"/>
    <x v="0"/>
  </r>
  <r>
    <x v="9"/>
    <x v="0"/>
    <x v="0"/>
  </r>
  <r>
    <x v="36"/>
    <x v="1"/>
    <x v="0"/>
  </r>
  <r>
    <x v="32"/>
    <x v="0"/>
    <x v="0"/>
  </r>
  <r>
    <x v="9"/>
    <x v="2"/>
    <x v="1"/>
  </r>
  <r>
    <x v="7"/>
    <x v="0"/>
    <x v="0"/>
  </r>
  <r>
    <x v="22"/>
    <x v="0"/>
    <x v="0"/>
  </r>
  <r>
    <x v="2"/>
    <x v="2"/>
    <x v="1"/>
  </r>
  <r>
    <x v="40"/>
    <x v="0"/>
    <x v="0"/>
  </r>
  <r>
    <x v="15"/>
    <x v="0"/>
    <x v="0"/>
  </r>
  <r>
    <x v="11"/>
    <x v="0"/>
    <x v="0"/>
  </r>
  <r>
    <x v="51"/>
    <x v="0"/>
    <x v="0"/>
  </r>
  <r>
    <x v="11"/>
    <x v="0"/>
    <x v="0"/>
  </r>
  <r>
    <x v="7"/>
    <x v="0"/>
    <x v="0"/>
  </r>
  <r>
    <x v="52"/>
    <x v="0"/>
    <x v="0"/>
  </r>
  <r>
    <x v="53"/>
    <x v="0"/>
    <x v="0"/>
  </r>
  <r>
    <x v="7"/>
    <x v="2"/>
    <x v="1"/>
  </r>
  <r>
    <x v="29"/>
    <x v="3"/>
    <x v="2"/>
  </r>
  <r>
    <x v="14"/>
    <x v="0"/>
    <x v="0"/>
  </r>
  <r>
    <x v="9"/>
    <x v="0"/>
    <x v="0"/>
  </r>
  <r>
    <x v="54"/>
    <x v="0"/>
    <x v="0"/>
  </r>
  <r>
    <x v="55"/>
    <x v="0"/>
    <x v="0"/>
  </r>
  <r>
    <x v="52"/>
    <x v="0"/>
    <x v="0"/>
  </r>
  <r>
    <x v="14"/>
    <x v="0"/>
    <x v="0"/>
  </r>
  <r>
    <x v="22"/>
    <x v="0"/>
    <x v="0"/>
  </r>
  <r>
    <x v="7"/>
    <x v="2"/>
    <x v="1"/>
  </r>
  <r>
    <x v="7"/>
    <x v="0"/>
    <x v="0"/>
  </r>
  <r>
    <x v="11"/>
    <x v="0"/>
    <x v="0"/>
  </r>
  <r>
    <x v="4"/>
    <x v="0"/>
    <x v="0"/>
  </r>
  <r>
    <x v="7"/>
    <x v="0"/>
    <x v="0"/>
  </r>
  <r>
    <x v="52"/>
    <x v="0"/>
    <x v="0"/>
  </r>
  <r>
    <x v="56"/>
    <x v="0"/>
    <x v="0"/>
  </r>
  <r>
    <x v="28"/>
    <x v="0"/>
    <x v="0"/>
  </r>
  <r>
    <x v="6"/>
    <x v="0"/>
    <x v="0"/>
  </r>
  <r>
    <x v="7"/>
    <x v="3"/>
    <x v="2"/>
  </r>
  <r>
    <x v="20"/>
    <x v="2"/>
    <x v="1"/>
  </r>
  <r>
    <x v="7"/>
    <x v="0"/>
    <x v="0"/>
  </r>
  <r>
    <x v="14"/>
    <x v="0"/>
    <x v="0"/>
  </r>
  <r>
    <x v="47"/>
    <x v="1"/>
    <x v="0"/>
  </r>
  <r>
    <x v="57"/>
    <x v="0"/>
    <x v="0"/>
  </r>
  <r>
    <x v="7"/>
    <x v="0"/>
    <x v="0"/>
  </r>
  <r>
    <x v="7"/>
    <x v="0"/>
    <x v="0"/>
  </r>
  <r>
    <x v="48"/>
    <x v="0"/>
    <x v="0"/>
  </r>
  <r>
    <x v="58"/>
    <x v="0"/>
    <x v="0"/>
  </r>
  <r>
    <x v="11"/>
    <x v="0"/>
    <x v="0"/>
  </r>
  <r>
    <x v="4"/>
    <x v="0"/>
    <x v="0"/>
  </r>
  <r>
    <x v="59"/>
    <x v="0"/>
    <x v="0"/>
  </r>
  <r>
    <x v="60"/>
    <x v="0"/>
    <x v="0"/>
  </r>
  <r>
    <x v="7"/>
    <x v="2"/>
    <x v="1"/>
  </r>
  <r>
    <x v="35"/>
    <x v="4"/>
    <x v="3"/>
  </r>
  <r>
    <x v="11"/>
    <x v="0"/>
    <x v="0"/>
  </r>
  <r>
    <x v="2"/>
    <x v="0"/>
    <x v="0"/>
  </r>
  <r>
    <x v="2"/>
    <x v="0"/>
    <x v="0"/>
  </r>
  <r>
    <x v="11"/>
    <x v="0"/>
    <x v="0"/>
  </r>
  <r>
    <x v="7"/>
    <x v="0"/>
    <x v="0"/>
  </r>
  <r>
    <x v="52"/>
    <x v="0"/>
    <x v="0"/>
  </r>
  <r>
    <x v="2"/>
    <x v="0"/>
    <x v="0"/>
  </r>
  <r>
    <x v="32"/>
    <x v="0"/>
    <x v="0"/>
  </r>
  <r>
    <x v="36"/>
    <x v="1"/>
    <x v="0"/>
  </r>
  <r>
    <x v="61"/>
    <x v="6"/>
    <x v="5"/>
  </r>
  <r>
    <x v="9"/>
    <x v="0"/>
    <x v="0"/>
  </r>
  <r>
    <x v="9"/>
    <x v="0"/>
    <x v="0"/>
  </r>
  <r>
    <x v="19"/>
    <x v="0"/>
    <x v="0"/>
  </r>
  <r>
    <x v="14"/>
    <x v="0"/>
    <x v="0"/>
  </r>
  <r>
    <x v="22"/>
    <x v="0"/>
    <x v="0"/>
  </r>
  <r>
    <x v="22"/>
    <x v="5"/>
    <x v="4"/>
  </r>
  <r>
    <x v="9"/>
    <x v="0"/>
    <x v="0"/>
  </r>
  <r>
    <x v="22"/>
    <x v="0"/>
    <x v="0"/>
  </r>
  <r>
    <x v="22"/>
    <x v="0"/>
    <x v="0"/>
  </r>
  <r>
    <x v="22"/>
    <x v="0"/>
    <x v="0"/>
  </r>
  <r>
    <x v="2"/>
    <x v="0"/>
    <x v="0"/>
  </r>
  <r>
    <x v="62"/>
    <x v="0"/>
    <x v="0"/>
  </r>
  <r>
    <x v="63"/>
    <x v="0"/>
    <x v="0"/>
  </r>
  <r>
    <x v="11"/>
    <x v="0"/>
    <x v="0"/>
  </r>
  <r>
    <x v="14"/>
    <x v="0"/>
    <x v="0"/>
  </r>
  <r>
    <x v="14"/>
    <x v="0"/>
    <x v="0"/>
  </r>
  <r>
    <x v="14"/>
    <x v="0"/>
    <x v="0"/>
  </r>
  <r>
    <x v="11"/>
    <x v="0"/>
    <x v="0"/>
  </r>
  <r>
    <x v="1"/>
    <x v="0"/>
    <x v="0"/>
  </r>
  <r>
    <x v="11"/>
    <x v="0"/>
    <x v="0"/>
  </r>
  <r>
    <x v="7"/>
    <x v="0"/>
    <x v="0"/>
  </r>
  <r>
    <x v="14"/>
    <x v="0"/>
    <x v="0"/>
  </r>
  <r>
    <x v="11"/>
    <x v="0"/>
    <x v="0"/>
  </r>
  <r>
    <x v="11"/>
    <x v="0"/>
    <x v="0"/>
  </r>
  <r>
    <x v="9"/>
    <x v="0"/>
    <x v="0"/>
  </r>
  <r>
    <x v="64"/>
    <x v="0"/>
    <x v="0"/>
  </r>
  <r>
    <x v="4"/>
    <x v="0"/>
    <x v="0"/>
  </r>
  <r>
    <x v="32"/>
    <x v="0"/>
    <x v="0"/>
  </r>
  <r>
    <x v="47"/>
    <x v="1"/>
    <x v="0"/>
  </r>
  <r>
    <x v="14"/>
    <x v="0"/>
    <x v="0"/>
  </r>
  <r>
    <x v="36"/>
    <x v="1"/>
    <x v="0"/>
  </r>
  <r>
    <x v="48"/>
    <x v="0"/>
    <x v="0"/>
  </r>
  <r>
    <x v="11"/>
    <x v="0"/>
    <x v="0"/>
  </r>
  <r>
    <x v="14"/>
    <x v="0"/>
    <x v="0"/>
  </r>
  <r>
    <x v="2"/>
    <x v="0"/>
    <x v="0"/>
  </r>
  <r>
    <x v="14"/>
    <x v="0"/>
    <x v="0"/>
  </r>
  <r>
    <x v="16"/>
    <x v="0"/>
    <x v="0"/>
  </r>
  <r>
    <x v="16"/>
    <x v="0"/>
    <x v="0"/>
  </r>
  <r>
    <x v="20"/>
    <x v="2"/>
    <x v="1"/>
  </r>
  <r>
    <x v="14"/>
    <x v="0"/>
    <x v="0"/>
  </r>
  <r>
    <x v="2"/>
    <x v="1"/>
    <x v="0"/>
  </r>
  <r>
    <x v="2"/>
    <x v="1"/>
    <x v="0"/>
  </r>
  <r>
    <x v="7"/>
    <x v="0"/>
    <x v="0"/>
  </r>
  <r>
    <x v="11"/>
    <x v="0"/>
    <x v="0"/>
  </r>
  <r>
    <x v="9"/>
    <x v="0"/>
    <x v="0"/>
  </r>
  <r>
    <x v="64"/>
    <x v="0"/>
    <x v="0"/>
  </r>
  <r>
    <x v="14"/>
    <x v="0"/>
    <x v="0"/>
  </r>
  <r>
    <x v="4"/>
    <x v="1"/>
    <x v="0"/>
  </r>
  <r>
    <x v="22"/>
    <x v="5"/>
    <x v="4"/>
  </r>
  <r>
    <x v="7"/>
    <x v="0"/>
    <x v="0"/>
  </r>
  <r>
    <x v="6"/>
    <x v="0"/>
    <x v="0"/>
  </r>
  <r>
    <x v="65"/>
    <x v="0"/>
    <x v="0"/>
  </r>
  <r>
    <x v="65"/>
    <x v="0"/>
    <x v="0"/>
  </r>
  <r>
    <x v="14"/>
    <x v="0"/>
    <x v="0"/>
  </r>
  <r>
    <x v="9"/>
    <x v="0"/>
    <x v="0"/>
  </r>
  <r>
    <x v="7"/>
    <x v="0"/>
    <x v="0"/>
  </r>
  <r>
    <x v="66"/>
    <x v="0"/>
    <x v="0"/>
  </r>
  <r>
    <x v="7"/>
    <x v="2"/>
    <x v="1"/>
  </r>
  <r>
    <x v="7"/>
    <x v="2"/>
    <x v="1"/>
  </r>
  <r>
    <x v="7"/>
    <x v="2"/>
    <x v="1"/>
  </r>
  <r>
    <x v="15"/>
    <x v="0"/>
    <x v="0"/>
  </r>
  <r>
    <x v="64"/>
    <x v="0"/>
    <x v="0"/>
  </r>
  <r>
    <x v="9"/>
    <x v="0"/>
    <x v="0"/>
  </r>
  <r>
    <x v="50"/>
    <x v="0"/>
    <x v="0"/>
  </r>
  <r>
    <x v="7"/>
    <x v="2"/>
    <x v="1"/>
  </r>
  <r>
    <x v="11"/>
    <x v="0"/>
    <x v="0"/>
  </r>
  <r>
    <x v="11"/>
    <x v="0"/>
    <x v="0"/>
  </r>
  <r>
    <x v="7"/>
    <x v="0"/>
    <x v="0"/>
  </r>
  <r>
    <x v="7"/>
    <x v="2"/>
    <x v="1"/>
  </r>
  <r>
    <x v="36"/>
    <x v="1"/>
    <x v="0"/>
  </r>
  <r>
    <x v="2"/>
    <x v="0"/>
    <x v="0"/>
  </r>
  <r>
    <x v="2"/>
    <x v="0"/>
    <x v="0"/>
  </r>
  <r>
    <x v="20"/>
    <x v="2"/>
    <x v="1"/>
  </r>
  <r>
    <x v="43"/>
    <x v="0"/>
    <x v="0"/>
  </r>
  <r>
    <x v="2"/>
    <x v="1"/>
    <x v="0"/>
  </r>
  <r>
    <x v="64"/>
    <x v="0"/>
    <x v="0"/>
  </r>
  <r>
    <x v="22"/>
    <x v="0"/>
    <x v="0"/>
  </r>
  <r>
    <x v="22"/>
    <x v="0"/>
    <x v="0"/>
  </r>
  <r>
    <x v="43"/>
    <x v="5"/>
    <x v="4"/>
  </r>
  <r>
    <x v="43"/>
    <x v="5"/>
    <x v="4"/>
  </r>
  <r>
    <x v="60"/>
    <x v="0"/>
    <x v="0"/>
  </r>
  <r>
    <x v="20"/>
    <x v="3"/>
    <x v="2"/>
  </r>
  <r>
    <x v="52"/>
    <x v="0"/>
    <x v="0"/>
  </r>
  <r>
    <x v="52"/>
    <x v="1"/>
    <x v="0"/>
  </r>
  <r>
    <x v="4"/>
    <x v="0"/>
    <x v="0"/>
  </r>
  <r>
    <x v="43"/>
    <x v="0"/>
    <x v="0"/>
  </r>
  <r>
    <x v="11"/>
    <x v="0"/>
    <x v="0"/>
  </r>
  <r>
    <x v="58"/>
    <x v="0"/>
    <x v="0"/>
  </r>
  <r>
    <x v="4"/>
    <x v="0"/>
    <x v="0"/>
  </r>
  <r>
    <x v="22"/>
    <x v="0"/>
    <x v="0"/>
  </r>
  <r>
    <x v="11"/>
    <x v="0"/>
    <x v="0"/>
  </r>
  <r>
    <x v="36"/>
    <x v="1"/>
    <x v="0"/>
  </r>
  <r>
    <x v="14"/>
    <x v="0"/>
    <x v="0"/>
  </r>
  <r>
    <x v="22"/>
    <x v="0"/>
    <x v="0"/>
  </r>
  <r>
    <x v="11"/>
    <x v="0"/>
    <x v="0"/>
  </r>
  <r>
    <x v="14"/>
    <x v="0"/>
    <x v="0"/>
  </r>
  <r>
    <x v="7"/>
    <x v="0"/>
    <x v="0"/>
  </r>
  <r>
    <x v="7"/>
    <x v="0"/>
    <x v="0"/>
  </r>
  <r>
    <x v="11"/>
    <x v="0"/>
    <x v="0"/>
  </r>
  <r>
    <x v="11"/>
    <x v="0"/>
    <x v="0"/>
  </r>
  <r>
    <x v="22"/>
    <x v="0"/>
    <x v="0"/>
  </r>
  <r>
    <x v="22"/>
    <x v="0"/>
    <x v="0"/>
  </r>
  <r>
    <x v="22"/>
    <x v="0"/>
    <x v="0"/>
  </r>
  <r>
    <x v="11"/>
    <x v="0"/>
    <x v="0"/>
  </r>
  <r>
    <x v="11"/>
    <x v="0"/>
    <x v="0"/>
  </r>
  <r>
    <x v="14"/>
    <x v="0"/>
    <x v="0"/>
  </r>
  <r>
    <x v="11"/>
    <x v="0"/>
    <x v="0"/>
  </r>
  <r>
    <x v="14"/>
    <x v="0"/>
    <x v="0"/>
  </r>
  <r>
    <x v="11"/>
    <x v="0"/>
    <x v="0"/>
  </r>
  <r>
    <x v="11"/>
    <x v="0"/>
    <x v="0"/>
  </r>
  <r>
    <x v="11"/>
    <x v="0"/>
    <x v="0"/>
  </r>
  <r>
    <x v="9"/>
    <x v="0"/>
    <x v="0"/>
  </r>
  <r>
    <x v="11"/>
    <x v="0"/>
    <x v="0"/>
  </r>
  <r>
    <x v="11"/>
    <x v="0"/>
    <x v="0"/>
  </r>
  <r>
    <x v="11"/>
    <x v="0"/>
    <x v="0"/>
  </r>
  <r>
    <x v="14"/>
    <x v="0"/>
    <x v="0"/>
  </r>
  <r>
    <x v="14"/>
    <x v="6"/>
    <x v="5"/>
  </r>
  <r>
    <x v="22"/>
    <x v="0"/>
    <x v="0"/>
  </r>
  <r>
    <x v="22"/>
    <x v="5"/>
    <x v="4"/>
  </r>
  <r>
    <x v="11"/>
    <x v="0"/>
    <x v="0"/>
  </r>
  <r>
    <x v="11"/>
    <x v="4"/>
    <x v="3"/>
  </r>
  <r>
    <x v="67"/>
    <x v="0"/>
    <x v="0"/>
  </r>
  <r>
    <x v="4"/>
    <x v="0"/>
    <x v="0"/>
  </r>
  <r>
    <x v="14"/>
    <x v="0"/>
    <x v="0"/>
  </r>
  <r>
    <x v="11"/>
    <x v="0"/>
    <x v="0"/>
  </r>
  <r>
    <x v="11"/>
    <x v="0"/>
    <x v="0"/>
  </r>
  <r>
    <x v="7"/>
    <x v="0"/>
    <x v="0"/>
  </r>
  <r>
    <x v="7"/>
    <x v="0"/>
    <x v="0"/>
  </r>
  <r>
    <x v="7"/>
    <x v="0"/>
    <x v="0"/>
  </r>
  <r>
    <x v="11"/>
    <x v="0"/>
    <x v="0"/>
  </r>
  <r>
    <x v="7"/>
    <x v="0"/>
    <x v="0"/>
  </r>
  <r>
    <x v="7"/>
    <x v="0"/>
    <x v="0"/>
  </r>
  <r>
    <x v="22"/>
    <x v="0"/>
    <x v="0"/>
  </r>
  <r>
    <x v="11"/>
    <x v="0"/>
    <x v="0"/>
  </r>
  <r>
    <x v="14"/>
    <x v="0"/>
    <x v="0"/>
  </r>
  <r>
    <x v="11"/>
    <x v="0"/>
    <x v="0"/>
  </r>
  <r>
    <x v="11"/>
    <x v="4"/>
    <x v="3"/>
  </r>
  <r>
    <x v="7"/>
    <x v="0"/>
    <x v="0"/>
  </r>
  <r>
    <x v="14"/>
    <x v="0"/>
    <x v="0"/>
  </r>
  <r>
    <x v="11"/>
    <x v="4"/>
    <x v="3"/>
  </r>
  <r>
    <x v="11"/>
    <x v="0"/>
    <x v="0"/>
  </r>
  <r>
    <x v="14"/>
    <x v="0"/>
    <x v="0"/>
  </r>
  <r>
    <x v="11"/>
    <x v="0"/>
    <x v="0"/>
  </r>
  <r>
    <x v="11"/>
    <x v="0"/>
    <x v="0"/>
  </r>
  <r>
    <x v="14"/>
    <x v="0"/>
    <x v="0"/>
  </r>
  <r>
    <x v="14"/>
    <x v="0"/>
    <x v="0"/>
  </r>
  <r>
    <x v="11"/>
    <x v="0"/>
    <x v="0"/>
  </r>
  <r>
    <x v="14"/>
    <x v="0"/>
    <x v="0"/>
  </r>
  <r>
    <x v="7"/>
    <x v="0"/>
    <x v="0"/>
  </r>
  <r>
    <x v="1"/>
    <x v="0"/>
    <x v="0"/>
  </r>
  <r>
    <x v="14"/>
    <x v="0"/>
    <x v="0"/>
  </r>
  <r>
    <x v="20"/>
    <x v="2"/>
    <x v="1"/>
  </r>
  <r>
    <x v="9"/>
    <x v="0"/>
    <x v="0"/>
  </r>
  <r>
    <x v="68"/>
    <x v="0"/>
    <x v="0"/>
  </r>
  <r>
    <x v="69"/>
    <x v="5"/>
    <x v="4"/>
  </r>
  <r>
    <x v="20"/>
    <x v="3"/>
    <x v="2"/>
  </r>
  <r>
    <x v="4"/>
    <x v="0"/>
    <x v="0"/>
  </r>
  <r>
    <x v="61"/>
    <x v="6"/>
    <x v="5"/>
  </r>
  <r>
    <x v="20"/>
    <x v="3"/>
    <x v="2"/>
  </r>
  <r>
    <x v="43"/>
    <x v="3"/>
    <x v="2"/>
  </r>
  <r>
    <x v="14"/>
    <x v="0"/>
    <x v="0"/>
  </r>
  <r>
    <x v="11"/>
    <x v="4"/>
    <x v="3"/>
  </r>
  <r>
    <x v="9"/>
    <x v="0"/>
    <x v="0"/>
  </r>
  <r>
    <x v="7"/>
    <x v="0"/>
    <x v="0"/>
  </r>
  <r>
    <x v="16"/>
    <x v="0"/>
    <x v="0"/>
  </r>
  <r>
    <x v="9"/>
    <x v="0"/>
    <x v="0"/>
  </r>
  <r>
    <x v="7"/>
    <x v="0"/>
    <x v="0"/>
  </r>
  <r>
    <x v="40"/>
    <x v="0"/>
    <x v="0"/>
  </r>
  <r>
    <x v="14"/>
    <x v="0"/>
    <x v="0"/>
  </r>
  <r>
    <x v="14"/>
    <x v="0"/>
    <x v="0"/>
  </r>
  <r>
    <x v="11"/>
    <x v="0"/>
    <x v="0"/>
  </r>
  <r>
    <x v="11"/>
    <x v="0"/>
    <x v="0"/>
  </r>
  <r>
    <x v="36"/>
    <x v="1"/>
    <x v="0"/>
  </r>
  <r>
    <x v="7"/>
    <x v="3"/>
    <x v="2"/>
  </r>
  <r>
    <x v="7"/>
    <x v="0"/>
    <x v="0"/>
  </r>
  <r>
    <x v="14"/>
    <x v="4"/>
    <x v="3"/>
  </r>
  <r>
    <x v="14"/>
    <x v="0"/>
    <x v="0"/>
  </r>
  <r>
    <x v="43"/>
    <x v="3"/>
    <x v="2"/>
  </r>
  <r>
    <x v="16"/>
    <x v="0"/>
    <x v="0"/>
  </r>
  <r>
    <x v="22"/>
    <x v="0"/>
    <x v="0"/>
  </r>
  <r>
    <x v="11"/>
    <x v="0"/>
    <x v="0"/>
  </r>
  <r>
    <x v="11"/>
    <x v="0"/>
    <x v="0"/>
  </r>
  <r>
    <x v="14"/>
    <x v="0"/>
    <x v="0"/>
  </r>
  <r>
    <x v="11"/>
    <x v="4"/>
    <x v="3"/>
  </r>
  <r>
    <x v="11"/>
    <x v="4"/>
    <x v="3"/>
  </r>
  <r>
    <x v="14"/>
    <x v="0"/>
    <x v="0"/>
  </r>
  <r>
    <x v="14"/>
    <x v="0"/>
    <x v="0"/>
  </r>
  <r>
    <x v="14"/>
    <x v="0"/>
    <x v="0"/>
  </r>
  <r>
    <x v="14"/>
    <x v="0"/>
    <x v="0"/>
  </r>
  <r>
    <x v="11"/>
    <x v="4"/>
    <x v="3"/>
  </r>
  <r>
    <x v="14"/>
    <x v="0"/>
    <x v="0"/>
  </r>
  <r>
    <x v="14"/>
    <x v="7"/>
    <x v="6"/>
  </r>
  <r>
    <x v="14"/>
    <x v="0"/>
    <x v="0"/>
  </r>
  <r>
    <x v="14"/>
    <x v="0"/>
    <x v="0"/>
  </r>
  <r>
    <x v="11"/>
    <x v="0"/>
    <x v="0"/>
  </r>
  <r>
    <x v="14"/>
    <x v="0"/>
    <x v="0"/>
  </r>
  <r>
    <x v="14"/>
    <x v="0"/>
    <x v="0"/>
  </r>
  <r>
    <x v="1"/>
    <x v="0"/>
    <x v="0"/>
  </r>
  <r>
    <x v="11"/>
    <x v="6"/>
    <x v="5"/>
  </r>
  <r>
    <x v="7"/>
    <x v="3"/>
    <x v="2"/>
  </r>
  <r>
    <x v="9"/>
    <x v="0"/>
    <x v="0"/>
  </r>
  <r>
    <x v="20"/>
    <x v="2"/>
    <x v="1"/>
  </r>
  <r>
    <x v="48"/>
    <x v="0"/>
    <x v="0"/>
  </r>
  <r>
    <x v="40"/>
    <x v="0"/>
    <x v="0"/>
  </r>
  <r>
    <x v="11"/>
    <x v="0"/>
    <x v="0"/>
  </r>
  <r>
    <x v="52"/>
    <x v="0"/>
    <x v="0"/>
  </r>
  <r>
    <x v="9"/>
    <x v="0"/>
    <x v="0"/>
  </r>
  <r>
    <x v="14"/>
    <x v="0"/>
    <x v="0"/>
  </r>
  <r>
    <x v="20"/>
    <x v="2"/>
    <x v="1"/>
  </r>
  <r>
    <x v="62"/>
    <x v="2"/>
    <x v="1"/>
  </r>
  <r>
    <x v="14"/>
    <x v="0"/>
    <x v="0"/>
  </r>
  <r>
    <x v="22"/>
    <x v="0"/>
    <x v="0"/>
  </r>
  <r>
    <x v="48"/>
    <x v="0"/>
    <x v="0"/>
  </r>
  <r>
    <x v="14"/>
    <x v="0"/>
    <x v="0"/>
  </r>
  <r>
    <x v="36"/>
    <x v="1"/>
    <x v="0"/>
  </r>
  <r>
    <x v="22"/>
    <x v="0"/>
    <x v="0"/>
  </r>
  <r>
    <x v="64"/>
    <x v="0"/>
    <x v="0"/>
  </r>
  <r>
    <x v="68"/>
    <x v="1"/>
    <x v="0"/>
  </r>
  <r>
    <x v="70"/>
    <x v="0"/>
    <x v="0"/>
  </r>
  <r>
    <x v="7"/>
    <x v="0"/>
    <x v="0"/>
  </r>
  <r>
    <x v="48"/>
    <x v="0"/>
    <x v="0"/>
  </r>
  <r>
    <x v="20"/>
    <x v="3"/>
    <x v="2"/>
  </r>
  <r>
    <x v="11"/>
    <x v="0"/>
    <x v="0"/>
  </r>
  <r>
    <x v="20"/>
    <x v="3"/>
    <x v="2"/>
  </r>
  <r>
    <x v="71"/>
    <x v="0"/>
    <x v="0"/>
  </r>
  <r>
    <x v="7"/>
    <x v="0"/>
    <x v="0"/>
  </r>
  <r>
    <x v="14"/>
    <x v="0"/>
    <x v="0"/>
  </r>
  <r>
    <x v="14"/>
    <x v="5"/>
    <x v="4"/>
  </r>
  <r>
    <x v="14"/>
    <x v="0"/>
    <x v="0"/>
  </r>
  <r>
    <x v="14"/>
    <x v="0"/>
    <x v="0"/>
  </r>
  <r>
    <x v="11"/>
    <x v="0"/>
    <x v="0"/>
  </r>
  <r>
    <x v="7"/>
    <x v="0"/>
    <x v="0"/>
  </r>
  <r>
    <x v="7"/>
    <x v="0"/>
    <x v="0"/>
  </r>
  <r>
    <x v="7"/>
    <x v="0"/>
    <x v="0"/>
  </r>
  <r>
    <x v="7"/>
    <x v="0"/>
    <x v="0"/>
  </r>
  <r>
    <x v="14"/>
    <x v="0"/>
    <x v="0"/>
  </r>
  <r>
    <x v="14"/>
    <x v="0"/>
    <x v="0"/>
  </r>
  <r>
    <x v="14"/>
    <x v="5"/>
    <x v="4"/>
  </r>
  <r>
    <x v="11"/>
    <x v="0"/>
    <x v="0"/>
  </r>
  <r>
    <x v="14"/>
    <x v="0"/>
    <x v="0"/>
  </r>
  <r>
    <x v="14"/>
    <x v="0"/>
    <x v="0"/>
  </r>
  <r>
    <x v="40"/>
    <x v="0"/>
    <x v="0"/>
  </r>
  <r>
    <x v="22"/>
    <x v="0"/>
    <x v="0"/>
  </r>
  <r>
    <x v="22"/>
    <x v="0"/>
    <x v="0"/>
  </r>
  <r>
    <x v="20"/>
    <x v="3"/>
    <x v="2"/>
  </r>
  <r>
    <x v="20"/>
    <x v="2"/>
    <x v="1"/>
  </r>
  <r>
    <x v="20"/>
    <x v="2"/>
    <x v="1"/>
  </r>
  <r>
    <x v="72"/>
    <x v="0"/>
    <x v="0"/>
  </r>
  <r>
    <x v="7"/>
    <x v="0"/>
    <x v="0"/>
  </r>
  <r>
    <x v="52"/>
    <x v="1"/>
    <x v="0"/>
  </r>
  <r>
    <x v="20"/>
    <x v="2"/>
    <x v="1"/>
  </r>
  <r>
    <x v="9"/>
    <x v="0"/>
    <x v="0"/>
  </r>
  <r>
    <x v="72"/>
    <x v="0"/>
    <x v="0"/>
  </r>
  <r>
    <x v="20"/>
    <x v="2"/>
    <x v="1"/>
  </r>
  <r>
    <x v="20"/>
    <x v="2"/>
    <x v="1"/>
  </r>
  <r>
    <x v="16"/>
    <x v="3"/>
    <x v="2"/>
  </r>
  <r>
    <x v="73"/>
    <x v="3"/>
    <x v="2"/>
  </r>
  <r>
    <x v="74"/>
    <x v="0"/>
    <x v="0"/>
  </r>
  <r>
    <x v="7"/>
    <x v="3"/>
    <x v="2"/>
  </r>
  <r>
    <x v="75"/>
    <x v="0"/>
    <x v="0"/>
  </r>
  <r>
    <x v="76"/>
    <x v="0"/>
    <x v="0"/>
  </r>
  <r>
    <x v="9"/>
    <x v="0"/>
    <x v="0"/>
  </r>
  <r>
    <x v="9"/>
    <x v="0"/>
    <x v="0"/>
  </r>
  <r>
    <x v="0"/>
    <x v="0"/>
    <x v="0"/>
  </r>
  <r>
    <x v="77"/>
    <x v="6"/>
    <x v="5"/>
  </r>
  <r>
    <x v="78"/>
    <x v="6"/>
    <x v="5"/>
  </r>
  <r>
    <x v="11"/>
    <x v="0"/>
    <x v="0"/>
  </r>
  <r>
    <x v="79"/>
    <x v="8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s v="H29"/>
    <m/>
    <s v="StxOp3298_Stx2b_23"/>
    <s v="Stx2b_23"/>
    <s v="Meat"/>
    <x v="0"/>
  </r>
  <r>
    <x v="1"/>
    <s v="H7"/>
    <m/>
    <s v="ND"/>
    <s v="ND"/>
    <s v="Meat"/>
    <x v="0"/>
  </r>
  <r>
    <x v="2"/>
    <s v="H21"/>
    <m/>
    <s v="StxOp1036_Stx1c_12"/>
    <s v="Stx1c_12"/>
    <s v="Meat"/>
    <x v="0"/>
  </r>
  <r>
    <x v="3"/>
    <s v="H2"/>
    <m/>
    <s v="StxOp2108_Stx1c_27"/>
    <s v="Stx1c_27"/>
    <s v="Lamb"/>
    <x v="0"/>
  </r>
  <r>
    <x v="3"/>
    <s v="H2"/>
    <m/>
    <s v="StxOp1348_Stx2b_110 | StxOp4754_Stx1c_708"/>
    <s v="Stx2b_110,Stx1c_708"/>
    <s v="Lamb"/>
    <x v="0"/>
  </r>
  <r>
    <x v="0"/>
    <s v="H29"/>
    <m/>
    <s v="StxOp1448_Stx2c_152 | StxOp3298_Stx2b_23"/>
    <s v="Stx2c_152,Stx2b_23"/>
    <s v="Meat"/>
    <x v="0"/>
  </r>
  <r>
    <x v="4"/>
    <s v="H14"/>
    <m/>
    <s v="StxOp675_Stx2b_116 | StxOp13_Stx1a_19"/>
    <s v="Stx2b_116,Stx1a_19"/>
    <s v="Meat"/>
    <x v="0"/>
  </r>
  <r>
    <x v="1"/>
    <s v="H7"/>
    <m/>
    <s v="StxOp1089_Stx2a_1"/>
    <s v="Stx2a_1"/>
    <s v="Meat"/>
    <x v="0"/>
  </r>
  <r>
    <x v="4"/>
    <s v="H14"/>
    <m/>
    <s v="StxOp1348_Stx2b_110 | StxOp13_Stx1a_19"/>
    <s v="Stx2b_110,Stx1a_19"/>
    <s v="Lamb"/>
    <x v="0"/>
  </r>
  <r>
    <x v="5"/>
    <s v="H23"/>
    <m/>
    <s v="StxOp1580_Stx1a_9"/>
    <s v="Stx1a_9"/>
    <s v="Meat"/>
    <x v="0"/>
  </r>
  <r>
    <x v="0"/>
    <s v="H8"/>
    <m/>
    <s v="StxOp1036_Stx1c_12"/>
    <s v="Stx1c_12"/>
    <s v="Lamb"/>
    <x v="0"/>
  </r>
  <r>
    <x v="0"/>
    <s v="H2"/>
    <m/>
    <s v="StxOp1348_Stx2b_110 | StxOp400_Stx1c_22"/>
    <s v="Stx2b_110,Stx1c_22"/>
    <s v="Lamb"/>
    <x v="0"/>
  </r>
  <r>
    <x v="1"/>
    <s v="H7"/>
    <m/>
    <s v="StxOp3_Stx1a_9 | StxOp1089_Stx2a_1"/>
    <s v="Stx1a_9,Stx2a_1"/>
    <s v="Meat"/>
    <x v="0"/>
  </r>
  <r>
    <x v="0"/>
    <s v="H2"/>
    <m/>
    <s v="StxOp1450_Stx2c_152"/>
    <s v="Stx2c_152"/>
    <s v="Flour"/>
    <x v="1"/>
  </r>
  <r>
    <x v="6"/>
    <s v="H4"/>
    <m/>
    <s v="StxOp1339_Stx2b_109 | StxOp1037_Stx1c_26"/>
    <s v="Stx2b_109,Stx1c_26"/>
    <s v="Lamb"/>
    <x v="0"/>
  </r>
  <r>
    <x v="3"/>
    <s v="H2"/>
    <m/>
    <s v="StxOp1348_Stx2b_110 | StxOp4754_Stx1c_708"/>
    <s v="Stx2b_110,Stx1c_708"/>
    <s v="Meat"/>
    <x v="0"/>
  </r>
  <r>
    <x v="1"/>
    <s v="H7"/>
    <m/>
    <s v="StxOp1089_Stx2a_1 | StxOp3_Stx1a_9"/>
    <s v="Stx2a_1,Stx1a_9"/>
    <s v="Meat"/>
    <x v="0"/>
  </r>
  <r>
    <x v="0"/>
    <s v="H2"/>
    <m/>
    <s v="StxOp841_Stx2d_100"/>
    <s v="Stx2d_100"/>
    <s v="Meat"/>
    <x v="0"/>
  </r>
  <r>
    <x v="1"/>
    <s v="H7"/>
    <m/>
    <s v="StxOp3_Stx1a_9 | StxOp1089_Stx2a_1"/>
    <s v="Stx1a_9,Stx2a_1"/>
    <s v="Meat"/>
    <x v="0"/>
  </r>
  <r>
    <x v="7"/>
    <s v="H21"/>
    <m/>
    <s v="StxOp1365_Stx2c_7"/>
    <s v="Stx2c_7"/>
    <s v="Meat"/>
    <x v="0"/>
  </r>
  <r>
    <x v="4"/>
    <s v="H14"/>
    <m/>
    <s v="StxOp678_Stx2b_122 | StxOp13_Stx1a_19"/>
    <s v="Stx2b_122,Stx1a_19"/>
    <s v="Lamb"/>
    <x v="0"/>
  </r>
  <r>
    <x v="1"/>
    <s v="H7"/>
    <m/>
    <s v="StxOp3_Stx1a_9 | StxOp1089_Stx2a_1"/>
    <s v="Stx1a_9,Stx2a_1"/>
    <s v="Meat"/>
    <x v="0"/>
  </r>
  <r>
    <x v="7"/>
    <s v="H21"/>
    <m/>
    <s v="StxOp1365_Stx2c_7"/>
    <s v="Stx2c_7"/>
    <s v="Meat"/>
    <x v="0"/>
  </r>
  <r>
    <x v="1"/>
    <s v="H7"/>
    <m/>
    <s v="StxOp3231_Stx2a_1126 | StxOp3_Stx1a_9"/>
    <s v="Stx2a_1126,Stx1a_9"/>
    <s v="Meat"/>
    <x v="0"/>
  </r>
  <r>
    <x v="1"/>
    <s v="H7"/>
    <m/>
    <s v="StxOp702_Stx2c_17 | StxOp3_Stx1a_9"/>
    <s v="Stx2c_17,Stx1a_9"/>
    <s v="Meat"/>
    <x v="0"/>
  </r>
  <r>
    <x v="1"/>
    <s v="H7"/>
    <m/>
    <s v="StxOp3_Stx1a_9 | StxOp1089_Stx2a_1"/>
    <s v="Stx1a_9,Stx2a_1"/>
    <s v="Meat"/>
    <x v="0"/>
  </r>
  <r>
    <x v="3"/>
    <s v="H2"/>
    <m/>
    <s v="StxOp1348_Stx2b_110 | StxOp4754_Stx1c_708"/>
    <s v="Stx2b_110,Stx1c_708"/>
    <s v="Lamb"/>
    <x v="0"/>
  </r>
  <r>
    <x v="4"/>
    <s v="H14"/>
    <m/>
    <s v="StxOp675_Stx2b_116 | StxOp13_Stx1a_19"/>
    <s v="Stx2b_116,Stx1a_19"/>
    <s v="Meat"/>
    <x v="0"/>
  </r>
  <r>
    <x v="0"/>
    <s v="H19"/>
    <m/>
    <s v="StxOp432_Stx2a_30"/>
    <s v="Stx2a_30"/>
    <s v="Flour"/>
    <x v="1"/>
  </r>
  <r>
    <x v="1"/>
    <s v="H7"/>
    <m/>
    <s v="StxOp1089_Stx2a_1"/>
    <s v="Stx2a_1"/>
    <s v="Meat"/>
    <x v="0"/>
  </r>
  <r>
    <x v="0"/>
    <s v="H8"/>
    <m/>
    <s v="StxOp1336_Stx2b_109 | StxOp399_Stx1c_12"/>
    <s v="Stx2b_109,Stx1c_12"/>
    <s v="Meat"/>
    <x v="0"/>
  </r>
  <r>
    <x v="1"/>
    <s v="H7"/>
    <m/>
    <s v="StxOp702_Stx2c_17"/>
    <s v="Stx2c_17"/>
    <s v="Meat"/>
    <x v="0"/>
  </r>
  <r>
    <x v="3"/>
    <s v="H2"/>
    <m/>
    <s v="StxOp1348_Stx2b_110 | StxOp400_Stx1c_22"/>
    <s v="Stx2b_110,Stx1c_22"/>
    <s v="Lamb"/>
    <x v="0"/>
  </r>
  <r>
    <x v="0"/>
    <s v="H10"/>
    <m/>
    <s v="StxOp1339_Stx2b_109 | StxOp401_Stx1c_23"/>
    <s v="Stx2b_109,Stx1c_23"/>
    <s v="Meat"/>
    <x v="0"/>
  </r>
  <r>
    <x v="7"/>
    <s v="H21"/>
    <m/>
    <s v="StxOp1365_Stx2c_7"/>
    <s v="Stx2c_7"/>
    <s v="Meat"/>
    <x v="0"/>
  </r>
  <r>
    <x v="0"/>
    <s v="H2"/>
    <m/>
    <s v="StxOp1364_Stx2c_7"/>
    <s v="Stx2c_7"/>
    <s v="Meat"/>
    <x v="0"/>
  </r>
  <r>
    <x v="4"/>
    <s v="H14"/>
    <m/>
    <s v="StxOp678_Stx2b_122 | StxOp13_Stx1a_19"/>
    <s v="Stx2b_122,Stx1a_19"/>
    <s v="Lamb"/>
    <x v="0"/>
  </r>
  <r>
    <x v="1"/>
    <s v="H7"/>
    <m/>
    <s v="StxOp1089_Stx2a_1 | StxOp3_Stx1a_9"/>
    <s v="Stx2a_1,Stx1a_9"/>
    <s v="Meat"/>
    <x v="0"/>
  </r>
  <r>
    <x v="0"/>
    <s v="H8"/>
    <m/>
    <s v="StxOp1036_Stx1c_12"/>
    <s v="Stx1c_12"/>
    <s v="Lamb"/>
    <x v="0"/>
  </r>
  <r>
    <x v="4"/>
    <s v="H14"/>
    <m/>
    <s v="StxOp675_Stx2b_116 | StxOp13_Stx1a_19"/>
    <s v="Stx2b_116,Stx1a_19"/>
    <s v="Lamb"/>
    <x v="0"/>
  </r>
  <r>
    <x v="3"/>
    <s v="H2"/>
    <m/>
    <s v="StxOp1348_Stx2b_110 | StxOp402_Stx1c_25"/>
    <s v="Stx2b_110,Stx1c_25"/>
    <s v="Meat"/>
    <x v="0"/>
  </r>
  <r>
    <x v="8"/>
    <s v="H9"/>
    <m/>
    <s v="StxOp9_Stx1a_15"/>
    <s v="Stx1a_15"/>
    <s v="Meat"/>
    <x v="0"/>
  </r>
  <r>
    <x v="9"/>
    <s v="H32"/>
    <m/>
    <s v="StxOp4587_Stx2e_25"/>
    <s v="Stx2e_25"/>
    <s v="Meat"/>
    <x v="0"/>
  </r>
  <r>
    <x v="10"/>
    <s v="H25"/>
    <m/>
    <s v="StxOp1577_Stx1a_9"/>
    <s v="Stx1a_9"/>
    <s v="Meat"/>
    <x v="0"/>
  </r>
  <r>
    <x v="11"/>
    <s v="HUT"/>
    <m/>
    <s v="StxOp4587_Stx2e_25"/>
    <s v="Stx2e_25"/>
    <s v="Meat"/>
    <x v="0"/>
  </r>
  <r>
    <x v="4"/>
    <s v="H14"/>
    <m/>
    <s v="StxOp1329_Stx2b_101 | StxOp13_Stx1a_19"/>
    <s v="Stx2b_101,Stx1a_19"/>
    <s v="Lamb"/>
    <x v="0"/>
  </r>
  <r>
    <x v="4"/>
    <s v="H14"/>
    <m/>
    <s v="StxOp1329_Stx2b_101 | StxOp13_Stx1a_19"/>
    <s v="Stx2b_101,Stx1a_19"/>
    <s v="Lamb"/>
    <x v="0"/>
  </r>
  <r>
    <x v="4"/>
    <s v="H14"/>
    <m/>
    <s v="StxOp675_Stx2b_116"/>
    <s v="Stx2b_116"/>
    <s v="Meat"/>
    <x v="0"/>
  </r>
  <r>
    <x v="2"/>
    <s v="H21"/>
    <m/>
    <s v="StxOp1036_Stx1c_12"/>
    <s v="Stx1c_12"/>
    <s v="Meat"/>
    <x v="0"/>
  </r>
  <r>
    <x v="0"/>
    <s v="H18"/>
    <m/>
    <s v="StxOp1168_Stx2a_16 | StxOp966_Stx1a_18"/>
    <s v="Stx2a_16,Stx1a_18"/>
    <s v="Nuts/Seeds"/>
    <x v="2"/>
  </r>
  <r>
    <x v="3"/>
    <s v="H2"/>
    <m/>
    <s v="StxOp4754_Stx1c_708 | StxOp1348_Stx2b_110"/>
    <s v="Stx1c_708,Stx2b_110"/>
    <s v="Lamb"/>
    <x v="0"/>
  </r>
  <r>
    <x v="4"/>
    <s v="H14"/>
    <m/>
    <s v="StxOp675_Stx2b_116 | StxOp13_Stx1a_19"/>
    <s v="Stx2b_116,Stx1a_19"/>
    <s v="Meat"/>
    <x v="0"/>
  </r>
  <r>
    <x v="12"/>
    <s v="H16"/>
    <m/>
    <s v="StxOp927_Stx2g_147"/>
    <s v="Stx2g_147"/>
    <s v="Meat"/>
    <x v="0"/>
  </r>
  <r>
    <x v="13"/>
    <s v="H8"/>
    <m/>
    <s v="StxOp1336_Stx2b_109 | StxOp399_Stx1c_12"/>
    <s v="Stx2b_109,Stx1c_12"/>
    <s v="Meat"/>
    <x v="0"/>
  </r>
  <r>
    <x v="14"/>
    <s v="H25"/>
    <m/>
    <s v="StxOp1577_Stx1a_9"/>
    <s v="Stx1a_9"/>
    <s v="Meat"/>
    <x v="0"/>
  </r>
  <r>
    <x v="1"/>
    <s v="H7"/>
    <m/>
    <s v="StxOp1089_Stx2a_1"/>
    <s v="Stx2a_1"/>
    <s v="Meat"/>
    <x v="0"/>
  </r>
  <r>
    <x v="4"/>
    <s v="H14"/>
    <m/>
    <s v="StxOp675_Stx2b_116 | StxOp13_Stx1a_19"/>
    <s v="Stx2b_116,Stx1a_19"/>
    <s v="Lamb"/>
    <x v="0"/>
  </r>
  <r>
    <x v="7"/>
    <s v="H21"/>
    <m/>
    <s v="StxOp1365_Stx2c_7"/>
    <s v="Stx2c_7"/>
    <s v="Meat"/>
    <x v="0"/>
  </r>
  <r>
    <x v="15"/>
    <s v="H7"/>
    <m/>
    <s v="StxOp1036_Stx1c_12"/>
    <s v="Stx1c_12"/>
    <s v="Lamb"/>
    <x v="0"/>
  </r>
  <r>
    <x v="3"/>
    <s v="H2"/>
    <m/>
    <s v="StxOp1348_Stx2b_110 | StxOp399_Stx1c_12"/>
    <s v="Stx2b_110,Stx1c_12"/>
    <s v="Lamb"/>
    <x v="0"/>
  </r>
  <r>
    <x v="1"/>
    <s v="H7"/>
    <m/>
    <s v="StxOp1089_Stx2a_1"/>
    <s v="Stx2a_1"/>
    <s v="Meat"/>
    <x v="0"/>
  </r>
  <r>
    <x v="4"/>
    <s v="H14"/>
    <m/>
    <s v="StxOp4_Stx1a_9"/>
    <s v="Stx1a_9"/>
    <s v="Meat"/>
    <x v="0"/>
  </r>
  <r>
    <x v="0"/>
    <s v="H16"/>
    <m/>
    <s v="StxOp1036_Stx1c_12"/>
    <s v="Stx1c_12"/>
    <s v="Lamb"/>
    <x v="0"/>
  </r>
  <r>
    <x v="6"/>
    <s v="H4"/>
    <m/>
    <s v="StxOp1037_Stx1c_26"/>
    <s v="Stx1c_26"/>
    <s v="Meat"/>
    <x v="0"/>
  </r>
  <r>
    <x v="16"/>
    <s v="H19"/>
    <m/>
    <s v="StxOp419_Stx2a_1"/>
    <s v="Stx2a_1"/>
    <s v="Flour"/>
    <x v="1"/>
  </r>
  <r>
    <x v="4"/>
    <s v="H14"/>
    <m/>
    <s v="StxOp675_Stx2b_116 | StxOp1593_Stx1a_9"/>
    <s v="Stx2b_116,Stx1a_9"/>
    <s v="Meat"/>
    <x v="0"/>
  </r>
  <r>
    <x v="17"/>
    <s v="H10"/>
    <m/>
    <s v="StxOp1036_Stx1c_12"/>
    <s v="Stx1c_12"/>
    <s v="Meat"/>
    <x v="0"/>
  </r>
  <r>
    <x v="18"/>
    <s v="H5"/>
    <m/>
    <s v="StxOp1594_Stx1a_9"/>
    <s v="Stx1a_9"/>
    <s v="Meat"/>
    <x v="0"/>
  </r>
  <r>
    <x v="19"/>
    <s v="H18"/>
    <m/>
    <s v="StxOp829_Stx2d_27"/>
    <s v="Stx2d_27"/>
    <s v="Dairy"/>
    <x v="3"/>
  </r>
  <r>
    <x v="1"/>
    <s v="H7"/>
    <m/>
    <s v="StxOp1089_Stx2a_1 | StxOp3_Stx1a_9"/>
    <s v="Stx2a_1,Stx1a_9"/>
    <s v="Meat"/>
    <x v="0"/>
  </r>
  <r>
    <x v="6"/>
    <s v="H4"/>
    <m/>
    <s v="StxOp1037_Stx1c_26"/>
    <s v="Stx1c_26"/>
    <s v="Meat"/>
    <x v="0"/>
  </r>
  <r>
    <x v="0"/>
    <s v="H21"/>
    <m/>
    <s v="StxOp933_Stx2i_43"/>
    <s v="Stx2i_43"/>
    <s v="Lamb"/>
    <x v="0"/>
  </r>
  <r>
    <x v="6"/>
    <s v="H4"/>
    <m/>
    <s v="StxOp1339_Stx2b_109 | StxOp1037_Stx1c_26"/>
    <s v="Stx2b_109,Stx1c_26"/>
    <s v="Lamb"/>
    <x v="0"/>
  </r>
  <r>
    <x v="16"/>
    <s v="H10"/>
    <m/>
    <s v="StxOp4587_Stx2e_25"/>
    <s v="Stx2e_25"/>
    <s v="Meat"/>
    <x v="0"/>
  </r>
  <r>
    <x v="20"/>
    <s v="H8"/>
    <m/>
    <s v="StxOp1036_Stx1c_12"/>
    <s v="Stx1c_12"/>
    <s v="Lamb"/>
    <x v="0"/>
  </r>
  <r>
    <x v="21"/>
    <s v="H4"/>
    <m/>
    <s v="StxOp840_Stx2d_99 | StxOp4_Stx1a_9"/>
    <s v="Stx2d_99,Stx1a_9"/>
    <s v="Meat"/>
    <x v="0"/>
  </r>
  <r>
    <x v="4"/>
    <s v="H21"/>
    <m/>
    <s v="StxOp16_Stx1a_24 | StxOp1096_Stx2a_6"/>
    <s v="Stx1a_24,Stx2a_6"/>
    <s v="Meat"/>
    <x v="0"/>
  </r>
  <r>
    <x v="20"/>
    <s v="H8"/>
    <m/>
    <s v="StxOp1036_Stx1c_12"/>
    <s v="Stx1c_12"/>
    <s v="Lamb"/>
    <x v="0"/>
  </r>
  <r>
    <x v="3"/>
    <s v="H2"/>
    <m/>
    <s v="StxOp1348_Stx2b_110 | StxOp399_Stx1c_12"/>
    <s v="Stx2b_110,Stx1c_12"/>
    <s v="Lamb"/>
    <x v="0"/>
  </r>
  <r>
    <x v="0"/>
    <s v="H18"/>
    <m/>
    <s v="StxOp966_Stx1a_18 | StxOp1168_Stx2a_16"/>
    <s v="Stx1a_18,Stx2a_16"/>
    <s v="Nuts/Seeds"/>
    <x v="2"/>
  </r>
  <r>
    <x v="1"/>
    <s v="H7"/>
    <m/>
    <s v="StxOp1577_Stx1a_9 | StxOp702_Stx2c_17"/>
    <s v="Stx1a_9,Stx2c_17"/>
    <s v="Meat"/>
    <x v="0"/>
  </r>
  <r>
    <x v="10"/>
    <s v="H25"/>
    <m/>
    <s v="StxOp1577_Stx1a_9"/>
    <s v="Stx1a_9"/>
    <s v="Meat"/>
    <x v="0"/>
  </r>
  <r>
    <x v="1"/>
    <s v="H7"/>
    <m/>
    <s v="StxOp1089_Stx2a_1"/>
    <s v="Stx2a_1"/>
    <s v="Meat"/>
    <x v="0"/>
  </r>
  <r>
    <x v="4"/>
    <s v="H14"/>
    <m/>
    <s v="StxOp675_Stx2b_116 | StxOp13_Stx1a_19"/>
    <s v="Stx2b_116,Stx1a_19"/>
    <s v="Meat"/>
    <x v="0"/>
  </r>
  <r>
    <x v="1"/>
    <s v="H7"/>
    <m/>
    <s v="StxOp1089_Stx2a_1"/>
    <s v="Stx2a_1"/>
    <s v="Meat"/>
    <x v="0"/>
  </r>
  <r>
    <x v="22"/>
    <s v="H10"/>
    <m/>
    <s v="StxOp1339_Stx2b_109 | StxOp399_Stx1c_12"/>
    <s v="Stx2b_109,Stx1c_12"/>
    <s v="Meat"/>
    <x v="0"/>
  </r>
  <r>
    <x v="23"/>
    <s v="H21"/>
    <m/>
    <s v="StxOp1348_Stx2b_110 | StxOp2167_Stx1c_500"/>
    <s v="Stx2b_110,Stx1c_500"/>
    <s v="Lamb"/>
    <x v="0"/>
  </r>
  <r>
    <x v="21"/>
    <s v="H4"/>
    <m/>
    <s v="StxOp840_Stx2d_99"/>
    <s v="Stx2d_99"/>
    <s v="Meat"/>
    <x v="0"/>
  </r>
  <r>
    <x v="4"/>
    <s v="H14"/>
    <m/>
    <s v="StxOp675_Stx2b_116 | StxOp13_Stx1a_19"/>
    <s v="Stx2b_116,Stx1a_19"/>
    <s v="Meat"/>
    <x v="0"/>
  </r>
  <r>
    <x v="1"/>
    <s v="H7"/>
    <m/>
    <s v="StxOp702_Stx2c_17 | StxOp3_Stx1a_9"/>
    <s v="Stx2c_17,Stx1a_9"/>
    <s v="Meat"/>
    <x v="0"/>
  </r>
  <r>
    <x v="0"/>
    <s v="H2"/>
    <m/>
    <s v="StxOp1348_Stx2b_110 | StxOp399_Stx1c_12"/>
    <s v="Stx2b_110,Stx1c_12"/>
    <s v="Meat"/>
    <x v="0"/>
  </r>
  <r>
    <x v="1"/>
    <s v="H7"/>
    <m/>
    <s v="StxOp3_Stx1a_9 | StxOp1089_Stx2a_1"/>
    <s v="Stx1a_9,Stx2a_1"/>
    <s v="Meat"/>
    <x v="0"/>
  </r>
  <r>
    <x v="24"/>
    <s v="H18"/>
    <m/>
    <s v="StxOp1089_Stx2a_1"/>
    <s v="Stx2a_1"/>
    <s v="Meat"/>
    <x v="0"/>
  </r>
  <r>
    <x v="1"/>
    <s v="H7"/>
    <m/>
    <s v="StxOp1089_Stx2a_1"/>
    <s v="Stx2a_1"/>
    <s v="Dairy"/>
    <x v="3"/>
  </r>
  <r>
    <x v="4"/>
    <s v="H14"/>
    <m/>
    <s v="StxOp675_Stx2b_116 | StxOp13_Stx1a_19"/>
    <s v="Stx2b_116,Stx1a_19"/>
    <s v="Meat"/>
    <x v="0"/>
  </r>
  <r>
    <x v="15"/>
    <s v="H7"/>
    <m/>
    <s v="StxOp1036_Stx1c_12"/>
    <s v="Stx1c_12"/>
    <s v="Meat"/>
    <x v="0"/>
  </r>
  <r>
    <x v="1"/>
    <s v="H7"/>
    <m/>
    <s v="StxOp702_Stx2c_17"/>
    <s v="Stx2c_17"/>
    <s v="Meat"/>
    <x v="0"/>
  </r>
  <r>
    <x v="0"/>
    <s v="H38"/>
    <m/>
    <s v="StxOp898_Stx2e_25"/>
    <s v="Stx2e_25"/>
    <s v="Meat"/>
    <x v="0"/>
  </r>
  <r>
    <x v="4"/>
    <s v="H14"/>
    <m/>
    <s v="StxOp4_Stx1a_9"/>
    <s v="Stx1a_9"/>
    <s v="Meat"/>
    <x v="0"/>
  </r>
  <r>
    <x v="4"/>
    <s v="H14"/>
    <m/>
    <s v="StxOp675_Stx2b_116 | StxOp13_Stx1a_19"/>
    <s v="Stx2b_116,Stx1a_19"/>
    <s v="Meat"/>
    <x v="0"/>
  </r>
  <r>
    <x v="1"/>
    <s v="H7"/>
    <m/>
    <s v="StxOp3_Stx1a_9 | StxOp1089_Stx2a_1"/>
    <s v="Stx1a_9,Stx2a_1"/>
    <s v="Meat"/>
    <x v="0"/>
  </r>
  <r>
    <x v="4"/>
    <s v="H14"/>
    <m/>
    <s v="StxOp675_Stx2b_116 | StxOp13_Stx1a_19"/>
    <s v="Stx2b_116,Stx1a_19"/>
    <s v="Meat"/>
    <x v="0"/>
  </r>
  <r>
    <x v="25"/>
    <s v="H19"/>
    <m/>
    <s v="StxOp4_Stx1a_9"/>
    <s v="Stx1a_9"/>
    <s v="Meat"/>
    <x v="0"/>
  </r>
  <r>
    <x v="1"/>
    <s v="H7"/>
    <m/>
    <s v="StxOp4081_Stx2c_106"/>
    <s v="Stx2c_106"/>
    <s v="Meat"/>
    <x v="0"/>
  </r>
  <r>
    <x v="4"/>
    <s v="H14"/>
    <m/>
    <s v="StxOp1346_Stx2b_110 | StxOp13_Stx1a_19"/>
    <s v="Stx2b_110,Stx1a_19"/>
    <s v="Lamb"/>
    <x v="0"/>
  </r>
  <r>
    <x v="14"/>
    <s v="H25"/>
    <m/>
    <s v="StxOp4_Stx1a_9"/>
    <s v="Stx1a_9"/>
    <s v="Flour"/>
    <x v="1"/>
  </r>
  <r>
    <x v="15"/>
    <s v="H7"/>
    <m/>
    <s v="StxOp1036_Stx1c_12"/>
    <s v="Stx1c_12"/>
    <s v="Meat"/>
    <x v="0"/>
  </r>
  <r>
    <x v="19"/>
    <s v="H18"/>
    <m/>
    <s v="StxOp829_Stx2d_27"/>
    <s v="Stx2d_27"/>
    <s v="Dairy"/>
    <x v="3"/>
  </r>
  <r>
    <x v="1"/>
    <s v="H7"/>
    <m/>
    <s v="StxOp3_Stx1a_9 | StxOp1089_Stx2a_1"/>
    <s v="Stx1a_9,Stx2a_1"/>
    <s v="Meat"/>
    <x v="0"/>
  </r>
  <r>
    <x v="1"/>
    <s v="H7"/>
    <m/>
    <s v="StxOp1687_Stx1a_9 | StxOp702_Stx2c_17"/>
    <s v="Stx1a_9,Stx2c_17"/>
    <s v="Meat"/>
    <x v="0"/>
  </r>
  <r>
    <x v="1"/>
    <s v="H7"/>
    <m/>
    <s v="StxOp702_Stx2c_17 | StxOp1577_Stx1a_9"/>
    <s v="Stx2c_17,Stx1a_9"/>
    <s v="Meat"/>
    <x v="0"/>
  </r>
  <r>
    <x v="26"/>
    <s v="H30"/>
    <m/>
    <s v="StxOp933_Stx2i_43"/>
    <s v="Stx2i_43"/>
    <s v="Lamb"/>
    <x v="0"/>
  </r>
  <r>
    <x v="14"/>
    <s v="H25"/>
    <m/>
    <s v="StxOp4_Stx1a_9"/>
    <s v="Stx1a_9"/>
    <s v="Flour"/>
    <x v="1"/>
  </r>
  <r>
    <x v="0"/>
    <s v="H21"/>
    <m/>
    <s v="StxOp933_Stx2i_43"/>
    <s v="Stx2i_43"/>
    <s v="Lamb"/>
    <x v="0"/>
  </r>
  <r>
    <x v="1"/>
    <s v="H7"/>
    <m/>
    <s v="StxOp1089_Stx2a_1 | StxOp3_Stx1a_9"/>
    <s v="Stx2a_1,Stx1a_9"/>
    <s v="Meat"/>
    <x v="0"/>
  </r>
  <r>
    <x v="1"/>
    <s v="H7"/>
    <m/>
    <s v="StxOp1089_Stx2a_1"/>
    <s v="Stx2a_1"/>
    <s v="Dairy"/>
    <x v="3"/>
  </r>
  <r>
    <x v="0"/>
    <s v="H21"/>
    <m/>
    <s v="StxOp933_Stx2i_43"/>
    <s v="Stx2i_43"/>
    <s v="Lamb"/>
    <x v="0"/>
  </r>
  <r>
    <x v="1"/>
    <s v="H7"/>
    <m/>
    <s v="StxOp702_Stx2c_17 | StxOp1577_Stx1a_9"/>
    <s v="Stx2c_17,Stx1a_9"/>
    <s v="Meat"/>
    <x v="0"/>
  </r>
  <r>
    <x v="1"/>
    <s v="H7"/>
    <m/>
    <s v="StxOp4081_Stx2c_106 | StxOp3_Stx1a_9"/>
    <s v="Stx2c_106,Stx1a_9"/>
    <s v="Environment"/>
    <x v="4"/>
  </r>
  <r>
    <x v="21"/>
    <s v="H4"/>
    <m/>
    <s v="StxOp840_Stx2d_99 | StxOp4_Stx1a_9"/>
    <s v="Stx2d_99,Stx1a_9"/>
    <s v="Meat"/>
    <x v="0"/>
  </r>
  <r>
    <x v="4"/>
    <s v="H14"/>
    <m/>
    <s v="StxOp675_Stx2b_116 | StxOp13_Stx1a_19"/>
    <s v="Stx2b_116,Stx1a_19"/>
    <s v="Meat"/>
    <x v="0"/>
  </r>
  <r>
    <x v="0"/>
    <s v="H8"/>
    <m/>
    <s v="StxOp1036_Stx1c_12"/>
    <s v="Stx1c_12"/>
    <s v="Meat"/>
    <x v="0"/>
  </r>
  <r>
    <x v="1"/>
    <s v="H7"/>
    <m/>
    <s v="StxOp1089_Stx2a_1"/>
    <s v="Stx2a_1"/>
    <s v="Meat"/>
    <x v="0"/>
  </r>
  <r>
    <x v="24"/>
    <s v="H18"/>
    <m/>
    <s v="StxOp1089_Stx2a_1"/>
    <s v="Stx2a_1"/>
    <s v="Meat"/>
    <x v="0"/>
  </r>
  <r>
    <x v="1"/>
    <s v="H7"/>
    <m/>
    <s v="StxOp3_Stx1a_9 | StxOp1089_Stx2a_1"/>
    <s v="Stx1a_9,Stx2a_1"/>
    <s v="Meat"/>
    <x v="0"/>
  </r>
  <r>
    <x v="13"/>
    <s v="H8"/>
    <m/>
    <s v="StxOp1336_Stx2b_109 | StxOp13_Stx1a_19"/>
    <s v="Stx2b_109,Stx1a_19"/>
    <s v="Meat"/>
    <x v="0"/>
  </r>
  <r>
    <x v="0"/>
    <s v="H29"/>
    <m/>
    <s v="StxOp1448_Stx2c_152"/>
    <s v="Stx2c_152"/>
    <s v="Meat"/>
    <x v="0"/>
  </r>
  <r>
    <x v="0"/>
    <s v="H10"/>
    <m/>
    <s v="StxOp826_Stx2d_9"/>
    <s v="Stx2d_9"/>
    <s v="Meat"/>
    <x v="0"/>
  </r>
  <r>
    <x v="1"/>
    <s v="H7"/>
    <m/>
    <s v="StxOp1089_Stx2a_1 | StxOp3_Stx1a_9"/>
    <s v="Stx2a_1,Stx1a_9"/>
    <s v="Meat"/>
    <x v="0"/>
  </r>
  <r>
    <x v="27"/>
    <s v="H10"/>
    <m/>
    <s v="StxOp1339_Stx2b_109 | StxOp4754_Stx1c_708"/>
    <s v="Stx2b_109,Stx1c_708"/>
    <s v="Meat"/>
    <x v="0"/>
  </r>
  <r>
    <x v="1"/>
    <s v="H7"/>
    <m/>
    <s v="StxOp1089_Stx2a_1 | StxOp3_Stx1a_9"/>
    <s v="Stx2a_1,Stx1a_9"/>
    <s v="Meat"/>
    <x v="0"/>
  </r>
  <r>
    <x v="0"/>
    <s v="H19"/>
    <m/>
    <s v="StxOp1339_Stx2b_109 | StxOp4754_Stx1c_708"/>
    <s v="Stx2b_109,Stx1c_708"/>
    <s v="Meat"/>
    <x v="0"/>
  </r>
  <r>
    <x v="1"/>
    <s v="H7"/>
    <m/>
    <s v="StxOp702_Stx2c_17"/>
    <s v="Stx2c_17"/>
    <s v="Meat"/>
    <x v="0"/>
  </r>
  <r>
    <x v="4"/>
    <s v="H14"/>
    <m/>
    <s v="StxOp4_Stx1a_9"/>
    <s v="Stx1a_9"/>
    <s v="Meat"/>
    <x v="0"/>
  </r>
  <r>
    <x v="4"/>
    <s v="H14"/>
    <m/>
    <s v="StxOp675_Stx2b_116 | StxOp13_Stx1a_19"/>
    <s v="Stx2b_116,Stx1a_19"/>
    <s v="Meat"/>
    <x v="0"/>
  </r>
  <r>
    <x v="16"/>
    <s v="H10"/>
    <m/>
    <s v="StxOp4587_Stx2e_25"/>
    <s v="Stx2e_25"/>
    <s v="Meat"/>
    <x v="0"/>
  </r>
  <r>
    <x v="28"/>
    <s v="H12"/>
    <m/>
    <s v="StxOp1580_Stx1a_9"/>
    <s v="Stx1a_9"/>
    <s v="Meat"/>
    <x v="0"/>
  </r>
  <r>
    <x v="6"/>
    <s v="H4"/>
    <m/>
    <s v="StxOp1339_Stx2b_109 | StxOp1037_Stx1c_26"/>
    <s v="Stx2b_109,Stx1c_26"/>
    <s v="Meat"/>
    <x v="0"/>
  </r>
  <r>
    <x v="1"/>
    <s v="H7"/>
    <m/>
    <s v="StxOp1577_Stx1a_9 | StxOp702_Stx2c_17"/>
    <s v="Stx1a_9,Stx2c_17"/>
    <s v="Meat"/>
    <x v="0"/>
  </r>
  <r>
    <x v="4"/>
    <s v="H14"/>
    <m/>
    <s v="StxOp675_Stx2b_116 | StxOp13_Stx1a_19"/>
    <s v="Stx2b_116,Stx1a_19"/>
    <s v="Meat"/>
    <x v="0"/>
  </r>
  <r>
    <x v="4"/>
    <s v="H14"/>
    <m/>
    <s v="StxOp675_Stx2b_116 | StxOp13_Stx1a_19"/>
    <s v="Stx2b_116,Stx1a_19"/>
    <s v="Meat"/>
    <x v="0"/>
  </r>
  <r>
    <x v="4"/>
    <s v="H14"/>
    <m/>
    <s v="StxOp1346_Stx2b_110 | StxOp399_Stx1c_12"/>
    <s v="Stx2b_110,Stx1c_12"/>
    <s v="Lamb"/>
    <x v="0"/>
  </r>
  <r>
    <x v="4"/>
    <s v="H14"/>
    <m/>
    <s v="StxOp4_Stx1a_9"/>
    <s v="Stx1a_9"/>
    <s v="Meat"/>
    <x v="0"/>
  </r>
  <r>
    <x v="3"/>
    <s v="H2"/>
    <m/>
    <s v="StxOp1348_Stx2b_110 | StxOp4754_Stx1c_708"/>
    <s v="Stx2b_110,Stx1c_708"/>
    <s v="Meat"/>
    <x v="0"/>
  </r>
  <r>
    <x v="1"/>
    <s v="H7"/>
    <m/>
    <s v="StxOp3_Stx1a_9 | StxOp1089_Stx2a_1"/>
    <s v="Stx1a_9,Stx2a_1"/>
    <s v="Meat"/>
    <x v="0"/>
  </r>
  <r>
    <x v="4"/>
    <s v="H14"/>
    <m/>
    <s v="StxOp675_Stx2b_116 | StxOp13_Stx1a_19"/>
    <s v="Stx2b_116,Stx1a_19"/>
    <s v="Meat"/>
    <x v="0"/>
  </r>
  <r>
    <x v="7"/>
    <s v="H21"/>
    <m/>
    <s v="StxOp1365_Stx2c_7"/>
    <s v="Stx2c_7"/>
    <s v="Meat"/>
    <x v="0"/>
  </r>
  <r>
    <x v="16"/>
    <s v="H19"/>
    <m/>
    <s v="StxOp419_Stx2a_1"/>
    <s v="Stx2a_1"/>
    <s v="Flour"/>
    <x v="1"/>
  </r>
  <r>
    <x v="21"/>
    <s v="H21"/>
    <m/>
    <s v="StxOp827_Stx2d_10"/>
    <s v="Stx2d_10"/>
    <s v="Meat"/>
    <x v="0"/>
  </r>
  <r>
    <x v="1"/>
    <s v="H7"/>
    <m/>
    <s v="StxOp702_Stx2c_17 | StxOp1577_Stx1a_9"/>
    <s v="Stx2c_17,Stx1a_9"/>
    <s v="Meat"/>
    <x v="0"/>
  </r>
  <r>
    <x v="4"/>
    <s v="H14"/>
    <m/>
    <s v="StxOp675_Stx2b_116 | StxOp13_Stx1a_19"/>
    <s v="Stx2b_116,Stx1a_19"/>
    <s v="Meat"/>
    <x v="0"/>
  </r>
  <r>
    <x v="4"/>
    <s v="H14"/>
    <m/>
    <s v="StxOp675_Stx2b_116 | StxOp13_Stx1a_19"/>
    <s v="Stx2b_116,Stx1a_19"/>
    <s v="Meat"/>
    <x v="0"/>
  </r>
  <r>
    <x v="1"/>
    <s v="H7"/>
    <m/>
    <s v="StxOp1081_Stx2a_1 | StxOp3_Stx1a_9"/>
    <s v="Stx2a_1,Stx1a_9"/>
    <s v="Meat"/>
    <x v="0"/>
  </r>
  <r>
    <x v="16"/>
    <s v="H10"/>
    <m/>
    <s v="StxOp4587_Stx2e_25"/>
    <s v="Stx2e_25"/>
    <s v="Meat"/>
    <x v="0"/>
  </r>
  <r>
    <x v="14"/>
    <s v="H25"/>
    <m/>
    <s v="StxOp4_Stx1a_9"/>
    <s v="Stx1a_9"/>
    <s v="Flour"/>
    <x v="1"/>
  </r>
  <r>
    <x v="3"/>
    <s v="H2"/>
    <m/>
    <s v="StxOp1348_Stx2b_110 | StxOp399_Stx1c_12"/>
    <s v="Stx2b_110,Stx1c_12"/>
    <s v="Meat"/>
    <x v="0"/>
  </r>
  <r>
    <x v="28"/>
    <s v="H12"/>
    <m/>
    <s v="StxOp1580_Stx1a_9"/>
    <s v="Stx1a_9"/>
    <s v="Meat"/>
    <x v="0"/>
  </r>
  <r>
    <x v="0"/>
    <s v="H18"/>
    <m/>
    <s v="StxOp1168_Stx2a_16 | StxOp966_Stx1a_18"/>
    <s v="Stx2a_16,Stx1a_18"/>
    <s v="Nuts/Seeds"/>
    <x v="2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0"/>
    <s v="H21"/>
    <m/>
    <s v="StxOp933_Stx2i_43"/>
    <s v="Stx2i_43"/>
    <s v="Lamb"/>
    <x v="0"/>
  </r>
  <r>
    <x v="1"/>
    <s v="H7"/>
    <m/>
    <s v="StxOp1089_Stx2a_1 | StxOp3_Stx1a_9"/>
    <s v="Stx2a_1,Stx1a_9"/>
    <s v="Meat"/>
    <x v="0"/>
  </r>
  <r>
    <x v="1"/>
    <s v="H7"/>
    <m/>
    <s v="StxOp1089_Stx2a_1"/>
    <s v="Stx2a_1"/>
    <s v="Meat"/>
    <x v="0"/>
  </r>
  <r>
    <x v="20"/>
    <s v="H8"/>
    <m/>
    <s v="StxOp1036_Stx1c_12"/>
    <s v="Stx1c_12"/>
    <s v="Meat"/>
    <x v="0"/>
  </r>
  <r>
    <x v="4"/>
    <s v="H14"/>
    <m/>
    <s v="StxOp1352_Stx2b_116 | StxOp13_Stx1a_19"/>
    <s v="Stx2b_116,Stx1a_19"/>
    <s v="Meat"/>
    <x v="0"/>
  </r>
  <r>
    <x v="5"/>
    <s v="H9"/>
    <m/>
    <s v="StxOp1571_Stx2e_146"/>
    <s v="Stx2e_146"/>
    <s v="Lamb"/>
    <x v="0"/>
  </r>
  <r>
    <x v="1"/>
    <s v="H7"/>
    <m/>
    <s v="StxOp1089_Stx2a_1 | StxOp3_Stx1a_9"/>
    <s v="Stx2a_1,Stx1a_9"/>
    <s v="Meat"/>
    <x v="0"/>
  </r>
  <r>
    <x v="4"/>
    <s v="H14"/>
    <m/>
    <s v="StxOp4_Stx1a_9"/>
    <s v="Stx1a_9"/>
    <s v="Meat"/>
    <x v="0"/>
  </r>
  <r>
    <x v="1"/>
    <s v="H7"/>
    <m/>
    <s v="StxOp1089_Stx2a_1 | StxOp3_Stx1a_9"/>
    <s v="Stx2a_1,Stx1a_9"/>
    <s v="Meat"/>
    <x v="0"/>
  </r>
  <r>
    <x v="29"/>
    <s v="H25"/>
    <m/>
    <s v="StxOp1339_Stx2b_109"/>
    <s v="Stx2b_109"/>
    <s v="Meat"/>
    <x v="0"/>
  </r>
  <r>
    <x v="20"/>
    <s v="H8"/>
    <m/>
    <s v="StxOp1036_Stx1c_12"/>
    <s v="Stx1c_12"/>
    <s v="Lamb"/>
    <x v="0"/>
  </r>
  <r>
    <x v="25"/>
    <s v="H19"/>
    <m/>
    <s v="StxOp4_Stx1a_9"/>
    <s v="Stx1a_9"/>
    <s v="Meat"/>
    <x v="0"/>
  </r>
  <r>
    <x v="5"/>
    <s v="H25"/>
    <m/>
    <s v="StxOp933_Stx2i_43"/>
    <s v="Stx2i_43"/>
    <s v="Lamb"/>
    <x v="0"/>
  </r>
  <r>
    <x v="3"/>
    <s v="H2"/>
    <m/>
    <s v="StxOp1348_Stx2b_110 | StxOp399_Stx1c_12"/>
    <s v="Stx2b_110,Stx1c_12"/>
    <s v="Meat"/>
    <x v="0"/>
  </r>
  <r>
    <x v="14"/>
    <s v="H25"/>
    <m/>
    <s v="StxOp4_Stx1a_9"/>
    <s v="Stx1a_9"/>
    <s v="Flour"/>
    <x v="1"/>
  </r>
  <r>
    <x v="1"/>
    <s v="H7"/>
    <m/>
    <s v="StxOp1089_Stx2a_1"/>
    <s v="Stx2a_1"/>
    <s v="Meat"/>
    <x v="0"/>
  </r>
  <r>
    <x v="1"/>
    <s v="H7"/>
    <m/>
    <s v="StxOp702_Stx2c_17"/>
    <s v="Stx2c_17"/>
    <s v="Meat"/>
    <x v="0"/>
  </r>
  <r>
    <x v="30"/>
    <s v="H52"/>
    <m/>
    <s v="StxOp1036_Stx1c_12"/>
    <s v="Stx1c_12"/>
    <s v="Flour"/>
    <x v="1"/>
  </r>
  <r>
    <x v="1"/>
    <s v="H7"/>
    <m/>
    <s v="StxOp1577_Stx1a_9 | StxOp702_Stx2c_17"/>
    <s v="Stx1a_9,Stx2c_17"/>
    <s v="Meat"/>
    <x v="0"/>
  </r>
  <r>
    <x v="31"/>
    <s v="H2"/>
    <m/>
    <s v="StxOp841_Stx2d_100"/>
    <s v="Stx2d_100"/>
    <s v="Meat"/>
    <x v="0"/>
  </r>
  <r>
    <x v="1"/>
    <s v="H7"/>
    <m/>
    <s v="StxOp3_Stx1a_9 | StxOp1089_Stx2a_1"/>
    <s v="Stx1a_9,Stx2a_1"/>
    <s v="Meat"/>
    <x v="0"/>
  </r>
  <r>
    <x v="3"/>
    <s v="H2"/>
    <m/>
    <s v="StxOp1173_Stx2a_16 | StxOp1348_Stx2b_110 | StxOp400_Stx1c_22"/>
    <s v="Stx2a_16,Stx2b_110,Stx1c_22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32"/>
    <s v="H19"/>
    <m/>
    <s v="StxOp4754_Stx1c_708"/>
    <s v="Stx1c_708"/>
    <s v="Meat"/>
    <x v="0"/>
  </r>
  <r>
    <x v="33"/>
    <s v="H16"/>
    <m/>
    <s v="StxOp923_Stx2g_26"/>
    <s v="Stx2g_26"/>
    <s v="Meat"/>
    <x v="0"/>
  </r>
  <r>
    <x v="16"/>
    <s v="H19"/>
    <m/>
    <s v="StxOp419_Stx2a_1"/>
    <s v="Stx2a_1"/>
    <s v="Flour"/>
    <x v="1"/>
  </r>
  <r>
    <x v="0"/>
    <s v="H18"/>
    <m/>
    <s v="StxOp1168_Stx2a_16 | StxOp966_Stx1a_18"/>
    <s v="Stx2a_16,Stx1a_18"/>
    <s v="Nuts/Seeds"/>
    <x v="2"/>
  </r>
  <r>
    <x v="1"/>
    <s v="H7"/>
    <m/>
    <s v="StxOp1089_Stx2a_1 | StxOp3_Stx1a_9"/>
    <s v="Stx2a_1,Stx1a_9"/>
    <s v="Meat"/>
    <x v="0"/>
  </r>
  <r>
    <x v="1"/>
    <s v="H7"/>
    <m/>
    <s v="StxOp1577_Stx1a_9"/>
    <s v="Stx1a_9"/>
    <s v="Meat"/>
    <x v="0"/>
  </r>
  <r>
    <x v="34"/>
    <s v="H16"/>
    <m/>
    <s v="StxOp3673_Stx2b_508 | StxOp399_Stx1c_12"/>
    <s v="Stx2b_508,Stx1c_12"/>
    <s v="Meat"/>
    <x v="0"/>
  </r>
  <r>
    <x v="0"/>
    <s v="H26"/>
    <m/>
    <s v="StxOp1568_Stx2e_36"/>
    <s v="Stx2e_36"/>
    <s v="Meat"/>
    <x v="0"/>
  </r>
  <r>
    <x v="32"/>
    <s v="H19"/>
    <m/>
    <s v="StxOp4754_Stx1c_708"/>
    <s v="Stx1c_708"/>
    <s v="Meat"/>
    <x v="0"/>
  </r>
  <r>
    <x v="1"/>
    <s v="H7"/>
    <m/>
    <s v="StxOp1089_Stx2a_1 | StxOp3_Stx1a_9"/>
    <s v="Stx2a_1,Stx1a_9"/>
    <s v="Meat"/>
    <x v="0"/>
  </r>
  <r>
    <x v="1"/>
    <s v="H7"/>
    <m/>
    <s v="StxOp702_Stx2c_17"/>
    <s v="Stx2c_17"/>
    <s v="Meat"/>
    <x v="0"/>
  </r>
  <r>
    <x v="16"/>
    <s v="H19"/>
    <m/>
    <s v="StxOp419_Stx2a_1"/>
    <s v="Stx2a_1"/>
    <s v="Flour"/>
    <x v="1"/>
  </r>
  <r>
    <x v="1"/>
    <s v="H7"/>
    <m/>
    <s v="StxOp1089_Stx2a_1"/>
    <s v="Stx2a_1"/>
    <s v="Meat"/>
    <x v="0"/>
  </r>
  <r>
    <x v="1"/>
    <s v="H7"/>
    <m/>
    <s v="StxOp3_Stx1a_9 | StxOp1089_Stx2a_1"/>
    <s v="Stx1a_9,Stx2a_1"/>
    <s v="Meat"/>
    <x v="0"/>
  </r>
  <r>
    <x v="3"/>
    <s v="H2"/>
    <m/>
    <s v="StxOp1348_Stx2b_110 | StxOp4754_Stx1c_708"/>
    <s v="Stx2b_110,Stx1c_708"/>
    <s v="Meat"/>
    <x v="0"/>
  </r>
  <r>
    <x v="24"/>
    <s v="H18"/>
    <m/>
    <s v="StxOp1089_Stx2a_1"/>
    <s v="Stx2a_1"/>
    <s v="Meat"/>
    <x v="0"/>
  </r>
  <r>
    <x v="35"/>
    <s v="H7"/>
    <m/>
    <s v="StxOp4754_Stx1c_708"/>
    <s v="Stx1c_708"/>
    <s v="Meat"/>
    <x v="0"/>
  </r>
  <r>
    <x v="3"/>
    <s v="H2"/>
    <m/>
    <s v="StxOp677_Stx2b_120 | StxOp1037_Stx1c_26"/>
    <s v="Stx2b_120,Stx1c_26"/>
    <s v="Meat"/>
    <x v="0"/>
  </r>
  <r>
    <x v="4"/>
    <s v="H14"/>
    <m/>
    <s v="StxOp675_Stx2b_116"/>
    <s v="Stx2b_116"/>
    <s v="Meat"/>
    <x v="0"/>
  </r>
  <r>
    <x v="4"/>
    <s v="H14"/>
    <m/>
    <s v="StxOp675_Stx2b_116 | StxOp13_Stx1a_19"/>
    <s v="Stx2b_116,Stx1a_19"/>
    <s v="Meat"/>
    <x v="0"/>
  </r>
  <r>
    <x v="36"/>
    <s v="H8"/>
    <m/>
    <s v="StxOp419_Stx2a_1"/>
    <s v="Stx2a_1"/>
    <s v="Nuts/Seeds"/>
    <x v="2"/>
  </r>
  <r>
    <x v="5"/>
    <s v="H28"/>
    <m/>
    <s v="StxOp432_Stx2a_30"/>
    <s v="Stx2a_30"/>
    <s v="Flour"/>
    <x v="1"/>
  </r>
  <r>
    <x v="12"/>
    <s v="H16"/>
    <m/>
    <s v="StxOp419_Stx2a_1"/>
    <s v="Stx2a_1"/>
    <s v="Meat"/>
    <x v="0"/>
  </r>
  <r>
    <x v="1"/>
    <s v="H7"/>
    <m/>
    <s v="StxOp1089_Stx2a_1 | StxOp3_Stx1a_9"/>
    <s v="Stx2a_1,Stx1a_9"/>
    <s v="Meat"/>
    <x v="0"/>
  </r>
  <r>
    <x v="0"/>
    <s v="H26"/>
    <m/>
    <s v="StxOp1339_Stx2b_109 | StxOp4754_Stx1c_708"/>
    <s v="Stx2b_109,Stx1c_708"/>
    <s v="Lamb"/>
    <x v="0"/>
  </r>
  <r>
    <x v="3"/>
    <s v="H2"/>
    <m/>
    <s v="StxOp675_Stx2b_116 | StxOp399_Stx1c_12"/>
    <s v="Stx2b_116,Stx1c_12"/>
    <s v="Meat"/>
    <x v="0"/>
  </r>
  <r>
    <x v="24"/>
    <s v="H18"/>
    <m/>
    <s v="StxOp1089_Stx2a_1"/>
    <s v="Stx2a_1"/>
    <s v="Meat"/>
    <x v="0"/>
  </r>
  <r>
    <x v="1"/>
    <s v="H7"/>
    <m/>
    <s v="StxOp1089_Stx2a_1"/>
    <s v="Stx2a_1"/>
    <s v="Meat"/>
    <x v="0"/>
  </r>
  <r>
    <x v="21"/>
    <s v="H21"/>
    <m/>
    <s v="StxOp827_Stx2d_10"/>
    <s v="Stx2d_10"/>
    <s v="Meat"/>
    <x v="0"/>
  </r>
  <r>
    <x v="0"/>
    <s v="H11"/>
    <m/>
    <s v="StxOp1173_Stx2a_16"/>
    <s v="Stx2a_16"/>
    <s v="Meat"/>
    <x v="0"/>
  </r>
  <r>
    <x v="1"/>
    <s v="H7"/>
    <m/>
    <s v="StxOp3_Stx1a_9 | StxOp1089_Stx2a_1"/>
    <s v="Stx1a_9,Stx2a_1"/>
    <s v="Meat"/>
    <x v="0"/>
  </r>
  <r>
    <x v="37"/>
    <s v="H26"/>
    <m/>
    <s v="StxOp1348_Stx2b_110 | StxOp4754_Stx1c_708"/>
    <s v="Stx2b_110,Stx1c_708"/>
    <s v="Meat"/>
    <x v="0"/>
  </r>
  <r>
    <x v="4"/>
    <s v="H21"/>
    <m/>
    <s v="StxOp1096_Stx2a_6 | StxOp16_Stx1a_24"/>
    <s v="Stx2a_6,Stx1a_24"/>
    <s v="Meat"/>
    <x v="0"/>
  </r>
  <r>
    <x v="35"/>
    <s v="H19"/>
    <m/>
    <s v="StxOp1250_Stx2a_127 | StxOp4_Stx1a_9"/>
    <s v="Stx2a_127,Stx1a_9"/>
    <s v="Meat"/>
    <x v="0"/>
  </r>
  <r>
    <x v="16"/>
    <s v="H19"/>
    <m/>
    <s v="StxOp419_Stx2a_1"/>
    <s v="Stx2a_1"/>
    <s v="Flour"/>
    <x v="1"/>
  </r>
  <r>
    <x v="19"/>
    <s v="H18"/>
    <m/>
    <s v="StxOp829_Stx2d_27"/>
    <s v="Stx2d_27"/>
    <s v="Dairy"/>
    <x v="3"/>
  </r>
  <r>
    <x v="1"/>
    <s v="H7"/>
    <m/>
    <s v="StxOp3_Stx1a_9 | StxOp1089_Stx2a_1"/>
    <s v="Stx1a_9,Stx2a_1"/>
    <s v="Meat"/>
    <x v="0"/>
  </r>
  <r>
    <x v="20"/>
    <s v="H8"/>
    <m/>
    <s v="StxOp1036_Stx1c_12"/>
    <s v="Stx1c_12"/>
    <s v="Meat"/>
    <x v="0"/>
  </r>
  <r>
    <x v="20"/>
    <s v="H8"/>
    <m/>
    <s v="StxOp1036_Stx1c_12"/>
    <s v="Stx1c_12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8"/>
    <s v="H19"/>
    <m/>
    <s v="StxOp4754_Stx1c_708"/>
    <s v="Stx1c_708"/>
    <s v="Meat"/>
    <x v="0"/>
  </r>
  <r>
    <x v="20"/>
    <s v="H8"/>
    <m/>
    <s v="StxOp1036_Stx1c_12"/>
    <s v="Stx1c_12"/>
    <s v="Meat"/>
    <x v="0"/>
  </r>
  <r>
    <x v="3"/>
    <s v="H2"/>
    <m/>
    <s v="StxOp1348_Stx2b_110 | StxOp399_Stx1c_12"/>
    <s v="Stx2b_110,Stx1c_12"/>
    <s v="Meat"/>
    <x v="0"/>
  </r>
  <r>
    <x v="26"/>
    <s v="H30"/>
    <m/>
    <s v="StxOp933_Stx2i_43"/>
    <s v="Stx2i_43"/>
    <s v="Lamb"/>
    <x v="0"/>
  </r>
  <r>
    <x v="20"/>
    <s v="H32"/>
    <m/>
    <s v="StxOp594_Stx2a_567"/>
    <s v="Stx2a_567"/>
    <s v="Vegetable"/>
    <x v="5"/>
  </r>
  <r>
    <x v="4"/>
    <s v="H14"/>
    <m/>
    <s v="StxOp4_Stx1a_9"/>
    <s v="Stx1a_9"/>
    <s v="Meat"/>
    <x v="0"/>
  </r>
  <r>
    <x v="28"/>
    <s v="H12"/>
    <m/>
    <s v="StxOp1580_Stx1a_9"/>
    <s v="Stx1a_9"/>
    <s v="Meat"/>
    <x v="0"/>
  </r>
  <r>
    <x v="1"/>
    <s v="H7"/>
    <m/>
    <s v="StxOp702_Stx2c_17 | StxOp1577_Stx1a_9"/>
    <s v="Stx2c_17,Stx1a_9"/>
    <s v="Meat"/>
    <x v="0"/>
  </r>
  <r>
    <x v="1"/>
    <s v="H7"/>
    <m/>
    <s v="StxOp1089_Stx2a_1 | StxOp3_Stx1a_9"/>
    <s v="Stx2a_1,Stx1a_9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Environment"/>
    <x v="4"/>
  </r>
  <r>
    <x v="18"/>
    <s v="H5"/>
    <m/>
    <s v="StxOp1594_Stx1a_9"/>
    <s v="Stx1a_9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Meat"/>
    <x v="0"/>
  </r>
  <r>
    <x v="35"/>
    <s v="H7"/>
    <m/>
    <s v="StxOp399_Stx1c_12"/>
    <s v="Stx1c_12"/>
    <s v="Meat"/>
    <x v="0"/>
  </r>
  <r>
    <x v="38"/>
    <s v="H25"/>
    <m/>
    <s v="StxOp1157_Stx2a_6 | StxOp4_Stx1a_9"/>
    <s v="Stx2a_6,Stx1a_9"/>
    <s v="Meat"/>
    <x v="0"/>
  </r>
  <r>
    <x v="21"/>
    <s v="H21"/>
    <m/>
    <s v="StxOp439_Stx2a_107"/>
    <s v="Stx2a_107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ND"/>
    <s v="ND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4"/>
    <s v="H14"/>
    <m/>
    <s v="StxOp4_Stx1a_9"/>
    <s v="Stx1a_9"/>
    <s v="Meat"/>
    <x v="0"/>
  </r>
  <r>
    <x v="5"/>
    <s v="H2"/>
    <m/>
    <s v="StxOp669_Stx2b_105"/>
    <s v="Stx2b_105"/>
    <s v="Meat"/>
    <x v="0"/>
  </r>
  <r>
    <x v="3"/>
    <s v="H2"/>
    <m/>
    <s v="StxOp1348_Stx2b_110 | StxOp4754_Stx1c_708"/>
    <s v="Stx2b_110,Stx1c_708"/>
    <s v="Meat"/>
    <x v="0"/>
  </r>
  <r>
    <x v="37"/>
    <s v="H26"/>
    <m/>
    <s v="StxOp1348_Stx2b_110 | StxOp399_Stx1c_12"/>
    <s v="Stx2b_110,Stx1c_12"/>
    <s v="Meat"/>
    <x v="0"/>
  </r>
  <r>
    <x v="13"/>
    <s v="H8"/>
    <m/>
    <s v="StxOp1339_Stx2b_109 | StxOp4754_Stx1c_708"/>
    <s v="Stx2b_109,Stx1c_708"/>
    <s v="Lamb"/>
    <x v="0"/>
  </r>
  <r>
    <x v="1"/>
    <s v="H7"/>
    <m/>
    <s v="StxOp1089_Stx2a_1 | StxOp3_Stx1a_9"/>
    <s v="Stx2a_1,Stx1a_9"/>
    <s v="Meat"/>
    <x v="0"/>
  </r>
  <r>
    <x v="0"/>
    <s v="H21"/>
    <m/>
    <s v="StxOp933_Stx2i_43"/>
    <s v="Stx2i_43"/>
    <s v="Lamb"/>
    <x v="0"/>
  </r>
  <r>
    <x v="21"/>
    <s v="H21"/>
    <m/>
    <s v="StxOp827_Stx2d_10"/>
    <s v="Stx2d_10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20"/>
    <s v="H8"/>
    <m/>
    <s v="StxOp1036_Stx1c_12"/>
    <s v="Stx1c_12"/>
    <s v="Meat"/>
    <x v="0"/>
  </r>
  <r>
    <x v="1"/>
    <s v="H7"/>
    <m/>
    <s v="StxOp1089_Stx2a_1 | StxOp3_Stx1a_9"/>
    <s v="Stx2a_1,Stx1a_9"/>
    <s v="Meat"/>
    <x v="0"/>
  </r>
  <r>
    <x v="7"/>
    <s v="H21"/>
    <m/>
    <s v="StxOp1365_Stx2c_7"/>
    <s v="Stx2c_7"/>
    <s v="Meat"/>
    <x v="0"/>
  </r>
  <r>
    <x v="7"/>
    <s v="H21"/>
    <m/>
    <s v="StxOp1365_Stx2c_7"/>
    <s v="Stx2c_7"/>
    <s v="Meat"/>
    <x v="0"/>
  </r>
  <r>
    <x v="39"/>
    <s v="H19"/>
    <m/>
    <s v="StxOp432_Stx2a_30"/>
    <s v="Stx2a_30"/>
    <s v="Flour"/>
    <x v="1"/>
  </r>
  <r>
    <x v="1"/>
    <s v="H7"/>
    <m/>
    <s v="StxOp1089_Stx2a_1 | StxOp3_Stx1a_9"/>
    <s v="Stx2a_1,Stx1a_9"/>
    <s v="Meat"/>
    <x v="0"/>
  </r>
  <r>
    <x v="15"/>
    <s v="H7"/>
    <m/>
    <s v="StxOp1036_Stx1c_12"/>
    <s v="Stx1c_12"/>
    <s v="Lamb"/>
    <x v="0"/>
  </r>
  <r>
    <x v="15"/>
    <s v="H7"/>
    <m/>
    <s v="StxOp1036_Stx1c_12"/>
    <s v="Stx1c_12"/>
    <s v="Lamb"/>
    <x v="0"/>
  </r>
  <r>
    <x v="1"/>
    <s v="H7"/>
    <m/>
    <s v="StxOp1089_Stx2a_1"/>
    <s v="Stx2a_1"/>
    <s v="Meat"/>
    <x v="0"/>
  </r>
  <r>
    <x v="1"/>
    <s v="H7"/>
    <m/>
    <s v="StxOp3_Stx1a_9 | StxOp1089_Stx2a_1"/>
    <s v="Stx1a_9,Stx2a_1"/>
    <s v="Meat"/>
    <x v="0"/>
  </r>
  <r>
    <x v="40"/>
    <s v="H2"/>
    <m/>
    <s v="StxOp1577_Stx1a_9"/>
    <s v="Stx1a_9"/>
    <s v="Meat"/>
    <x v="0"/>
  </r>
  <r>
    <x v="5"/>
    <s v="H2"/>
    <m/>
    <s v="StxOp669_Stx2b_105"/>
    <s v="Stx2b_105"/>
    <s v="Meat"/>
    <x v="0"/>
  </r>
  <r>
    <x v="1"/>
    <s v="H7"/>
    <m/>
    <s v="StxOp1089_Stx2a_1 | StxOp3_Stx1a_9"/>
    <s v="Stx2a_1,Stx1a_9"/>
    <s v="Meat"/>
    <x v="0"/>
  </r>
  <r>
    <x v="3"/>
    <s v="H2"/>
    <m/>
    <s v="StxOp1348_Stx2b_110 | StxOp4754_Stx1c_708"/>
    <s v="Stx2b_110,Stx1c_708"/>
    <s v="Lamb"/>
    <x v="0"/>
  </r>
  <r>
    <x v="1"/>
    <s v="H7"/>
    <m/>
    <s v="StxOp702_Stx2c_17"/>
    <s v="Stx2c_17"/>
    <s v="Environment"/>
    <x v="4"/>
  </r>
  <r>
    <x v="1"/>
    <s v="H7"/>
    <m/>
    <s v="StxOp1089_Stx2a_1"/>
    <s v="Stx2a_1"/>
    <s v="Meat"/>
    <x v="0"/>
  </r>
  <r>
    <x v="4"/>
    <s v="H14"/>
    <m/>
    <s v="StxOp675_Stx2b_116 | StxOp13_Stx1a_19"/>
    <s v="Stx2b_116,Stx1a_19"/>
    <s v="Meat"/>
    <x v="0"/>
  </r>
  <r>
    <x v="3"/>
    <s v="H2"/>
    <m/>
    <s v="StxOp1348_Stx2b_110 | StxOp1037_Stx1c_26"/>
    <s v="Stx2b_110,Stx1c_26"/>
    <s v="Meat"/>
    <x v="0"/>
  </r>
  <r>
    <x v="3"/>
    <s v="H2"/>
    <m/>
    <s v="StxOp1348_Stx2b_110 | StxOp1037_Stx1c_26"/>
    <s v="Stx2b_110,Stx1c_26"/>
    <s v="Meat"/>
    <x v="0"/>
  </r>
  <r>
    <x v="1"/>
    <s v="H7"/>
    <m/>
    <s v="StxOp1089_Stx2a_1 | StxOp3_Stx1a_9"/>
    <s v="Stx2a_1,Stx1a_9"/>
    <s v="Meat"/>
    <x v="0"/>
  </r>
  <r>
    <x v="4"/>
    <s v="H14"/>
    <m/>
    <s v="StxOp4_Stx1a_9"/>
    <s v="Stx1a_9"/>
    <s v="Meat"/>
    <x v="0"/>
  </r>
  <r>
    <x v="1"/>
    <s v="H7"/>
    <m/>
    <s v="StxOp1043_Stx2a_1"/>
    <s v="Stx2a_1"/>
    <s v="Meat"/>
    <x v="0"/>
  </r>
  <r>
    <x v="31"/>
    <s v="H2"/>
    <m/>
    <s v="StxOp1287_Stx2a_183"/>
    <s v="Stx2a_183"/>
    <s v="Meat"/>
    <x v="0"/>
  </r>
  <r>
    <x v="16"/>
    <s v="H19"/>
    <m/>
    <s v="StxOp419_Stx2a_1"/>
    <s v="Stx2a_1"/>
    <s v="Flour"/>
    <x v="1"/>
  </r>
  <r>
    <x v="16"/>
    <s v="H19"/>
    <m/>
    <s v="StxOp419_Stx2a_1"/>
    <s v="Stx2a_1"/>
    <s v="Flour"/>
    <x v="1"/>
  </r>
  <r>
    <x v="16"/>
    <s v="H19"/>
    <m/>
    <s v="StxOp419_Stx2a_1"/>
    <s v="Stx2a_1"/>
    <s v="Flour"/>
    <x v="1"/>
  </r>
  <r>
    <x v="31"/>
    <s v="H2"/>
    <m/>
    <s v="StxOp841_Stx2d_100"/>
    <s v="Stx2d_100"/>
    <s v="Meat"/>
    <x v="0"/>
  </r>
  <r>
    <x v="5"/>
    <s v="H2"/>
    <m/>
    <s v="StxOp669_Stx2b_105"/>
    <s v="Stx2b_105"/>
    <s v="Meat"/>
    <x v="0"/>
  </r>
  <r>
    <x v="28"/>
    <s v="H12"/>
    <m/>
    <s v="StxOp1580_Stx1a_9"/>
    <s v="Stx1a_9"/>
    <s v="Meat"/>
    <x v="0"/>
  </r>
  <r>
    <x v="32"/>
    <s v="H19"/>
    <m/>
    <s v="StxOp1344_Stx2b_109"/>
    <s v="Stx2b_109"/>
    <s v="Meat"/>
    <x v="0"/>
  </r>
  <r>
    <x v="16"/>
    <s v="H19"/>
    <m/>
    <s v="StxOp419_Stx2a_1"/>
    <s v="Stx2a_1"/>
    <s v="Flour"/>
    <x v="1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43_Stx2a_1"/>
    <s v="Stx2a_1"/>
    <s v="Meat"/>
    <x v="0"/>
  </r>
  <r>
    <x v="16"/>
    <s v="H19"/>
    <m/>
    <s v="StxOp419_Stx2a_1"/>
    <s v="Stx2a_1"/>
    <s v="Flour"/>
    <x v="1"/>
  </r>
  <r>
    <x v="0"/>
    <s v="H21"/>
    <m/>
    <s v="StxOp933_Stx2i_43"/>
    <s v="Stx2i_43"/>
    <s v="Lamb"/>
    <x v="0"/>
  </r>
  <r>
    <x v="35"/>
    <s v="H7"/>
    <m/>
    <s v="StxOp399_Stx1c_12"/>
    <s v="Stx1c_12"/>
    <s v="Meat"/>
    <x v="0"/>
  </r>
  <r>
    <x v="35"/>
    <s v="H7"/>
    <m/>
    <s v="StxOp399_Stx1c_12"/>
    <s v="Stx1c_12"/>
    <s v="Meat"/>
    <x v="0"/>
  </r>
  <r>
    <x v="5"/>
    <s v="H28"/>
    <m/>
    <s v="StxOp432_Stx2a_30"/>
    <s v="Stx2a_30"/>
    <s v="Flour"/>
    <x v="1"/>
  </r>
  <r>
    <x v="41"/>
    <s v="H7"/>
    <m/>
    <s v="StxOp716_Stx2c_106"/>
    <s v="Stx2c_106"/>
    <s v="Meat"/>
    <x v="0"/>
  </r>
  <r>
    <x v="15"/>
    <s v="H7"/>
    <m/>
    <s v="StxOp1036_Stx1c_12"/>
    <s v="Stx1c_12"/>
    <s v="Lamb"/>
    <x v="0"/>
  </r>
  <r>
    <x v="5"/>
    <s v="H2"/>
    <m/>
    <s v="StxOp669_Stx2b_105"/>
    <s v="Stx2b_105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Meat"/>
    <x v="0"/>
  </r>
  <r>
    <x v="1"/>
    <s v="H7"/>
    <m/>
    <s v="StxOp4081_Stx2c_106"/>
    <s v="Stx2c_106"/>
    <s v="Environment"/>
    <x v="4"/>
  </r>
  <r>
    <x v="1"/>
    <s v="H7"/>
    <m/>
    <s v="StxOp4081_Stx2c_106"/>
    <s v="Stx2c_106"/>
    <s v="Environment"/>
    <x v="4"/>
  </r>
  <r>
    <x v="35"/>
    <s v="H19"/>
    <m/>
    <s v="StxOp1250_Stx2a_127 | StxOp4_Stx1a_9"/>
    <s v="Stx2a_127,Stx1a_9"/>
    <s v="Meat"/>
    <x v="0"/>
  </r>
  <r>
    <x v="39"/>
    <s v="H19"/>
    <m/>
    <s v="StxOp432_Stx2a_30"/>
    <s v="Stx2a_30"/>
    <s v="Nuts/Seeds"/>
    <x v="2"/>
  </r>
  <r>
    <x v="32"/>
    <s v="H19"/>
    <m/>
    <s v="StxOp4754_Stx1c_708"/>
    <s v="Stx1c_708"/>
    <s v="Meat"/>
    <x v="0"/>
  </r>
  <r>
    <x v="32"/>
    <s v="H19"/>
    <m/>
    <s v="StxOp4754_Stx1c_708"/>
    <s v="Stx1c_708"/>
    <s v="Lamb"/>
    <x v="0"/>
  </r>
  <r>
    <x v="3"/>
    <s v="H2"/>
    <m/>
    <s v="StxOp1348_Stx2b_110 | StxOp4754_Stx1c_708"/>
    <s v="Stx2b_110,Stx1c_708"/>
    <s v="Meat"/>
    <x v="0"/>
  </r>
  <r>
    <x v="41"/>
    <s v="H7"/>
    <m/>
    <s v="StxOp716_Stx2c_106"/>
    <s v="Stx2c_106"/>
    <s v="Meat"/>
    <x v="0"/>
  </r>
  <r>
    <x v="1"/>
    <s v="H7"/>
    <m/>
    <s v="StxOp3_Stx1a_9 | StxOp1089_Stx2a_1"/>
    <s v="Stx1a_9,Stx2a_1"/>
    <s v="Meat"/>
    <x v="0"/>
  </r>
  <r>
    <x v="0"/>
    <s v="H11"/>
    <m/>
    <s v="StxOp1173_Stx2a_16"/>
    <s v="Stx2a_16"/>
    <s v="Meat"/>
    <x v="0"/>
  </r>
  <r>
    <x v="3"/>
    <s v="H2"/>
    <m/>
    <s v="StxOp1348_Stx2b_110 | StxOp4754_Stx1c_708"/>
    <s v="Stx2b_110,Stx1c_708"/>
    <s v="Meat"/>
    <x v="0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5"/>
    <s v="H19"/>
    <m/>
    <s v="StxOp933_Stx2i_43"/>
    <s v="Stx2i_43"/>
    <s v="Lamb"/>
    <x v="0"/>
  </r>
  <r>
    <x v="1"/>
    <s v="H7"/>
    <m/>
    <s v="StxOp1089_Stx2a_1 | StxOp3_Stx1a_9"/>
    <s v="Stx2a_1,Stx1a_9"/>
    <s v="Meat"/>
    <x v="0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43_Stx2a_1"/>
    <s v="Stx2a_1"/>
    <s v="Meat"/>
    <x v="0"/>
  </r>
  <r>
    <x v="1"/>
    <s v="H7"/>
    <m/>
    <s v="StxOp1089_Stx2a_1"/>
    <s v="Stx2a_1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Meat"/>
    <x v="0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28"/>
    <s v="H12"/>
    <m/>
    <s v="StxOp1580_Stx1a_9"/>
    <s v="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Vegetable"/>
    <x v="5"/>
  </r>
  <r>
    <x v="1"/>
    <s v="H7"/>
    <m/>
    <s v="StxOp702_Stx2c_17"/>
    <s v="Stx2c_17"/>
    <s v="Meat"/>
    <x v="0"/>
  </r>
  <r>
    <x v="1"/>
    <s v="H7"/>
    <m/>
    <s v="StxOp702_Stx2c_17"/>
    <s v="Stx2c_17"/>
    <s v="Environment"/>
    <x v="4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Dairy"/>
    <x v="3"/>
  </r>
  <r>
    <x v="8"/>
    <s v="H19"/>
    <m/>
    <s v="StxOp653_Stx2b_23 | StxOp399_Stx1c_12"/>
    <s v="Stx2b_23,Stx1c_12"/>
    <s v="Meat"/>
    <x v="0"/>
  </r>
  <r>
    <x v="37"/>
    <s v="H26"/>
    <m/>
    <s v="StxOp1348_Stx2b_110 | StxOp4754_Stx1c_708"/>
    <s v="Stx2b_110,Stx1c_708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1"/>
    <s v="H7"/>
    <m/>
    <s v="StxOp1089_Stx2a_1"/>
    <s v="Stx2a_1"/>
    <s v="Meat"/>
    <x v="0"/>
  </r>
  <r>
    <x v="1"/>
    <s v="H7"/>
    <m/>
    <s v="StxOp1089_Stx2a_1"/>
    <s v="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1"/>
    <s v="H7"/>
    <m/>
    <s v="StxOp1089_Stx2a_1"/>
    <s v="Stx2a_1"/>
    <s v="Meat"/>
    <x v="0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Dairy"/>
    <x v="3"/>
  </r>
  <r>
    <x v="1"/>
    <s v="H7"/>
    <m/>
    <s v="StxOp1043_Stx2a_1"/>
    <s v="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Dairy"/>
    <x v="3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"/>
    <s v="Stx2a_1"/>
    <s v="Meat"/>
    <x v="0"/>
  </r>
  <r>
    <x v="1"/>
    <s v="H7"/>
    <m/>
    <s v="ND"/>
    <s v="ND"/>
    <s v="Meat"/>
    <x v="0"/>
  </r>
  <r>
    <x v="1"/>
    <s v="H7"/>
    <m/>
    <s v="StxOp1089_Stx2a_1 | StxOp3_Stx1a_9"/>
    <s v="Stx2a_1,Stx1a_9"/>
    <s v="Meat"/>
    <x v="0"/>
  </r>
  <r>
    <x v="5"/>
    <s v="H28"/>
    <m/>
    <s v="StxOp432_Stx2a_30"/>
    <s v="Stx2a_30"/>
    <s v="Flour"/>
    <x v="1"/>
  </r>
  <r>
    <x v="28"/>
    <s v="H12"/>
    <m/>
    <s v="StxOp1580_Stx1a_9"/>
    <s v="Stx1a_9"/>
    <s v="Meat"/>
    <x v="0"/>
  </r>
  <r>
    <x v="8"/>
    <s v="H19"/>
    <m/>
    <s v="StxOp3320_Stx2b_101 | StxOp4754_Stx1c_708"/>
    <s v="Stx2b_101,Stx1c_708"/>
    <s v="Meat"/>
    <x v="0"/>
  </r>
  <r>
    <x v="1"/>
    <s v="H7"/>
    <m/>
    <s v="StxOp4303_Stx2c_1247"/>
    <s v="Stx2c_1247"/>
    <s v="Environment"/>
    <x v="4"/>
  </r>
  <r>
    <x v="39"/>
    <s v="H19"/>
    <m/>
    <s v="StxOp432_Stx2a_30"/>
    <s v="Stx2a_30"/>
    <s v="Nuts/Seeds"/>
    <x v="2"/>
  </r>
  <r>
    <x v="3"/>
    <s v="H2"/>
    <m/>
    <s v="StxOp671_Stx2b_110 | StxOp4754_Stx1c_708"/>
    <s v="Stx2b_110,Stx1c_708"/>
    <s v="Meat"/>
    <x v="0"/>
  </r>
  <r>
    <x v="20"/>
    <s v="H32"/>
    <m/>
    <s v="StxOp594_Stx2a_567"/>
    <s v="Stx2a_567"/>
    <s v="Vegetable"/>
    <x v="5"/>
  </r>
  <r>
    <x v="39"/>
    <s v="H19"/>
    <m/>
    <s v="StxOp432_Stx2a_30"/>
    <s v="Stx2a_30"/>
    <s v="Nuts/Seeds"/>
    <x v="2"/>
  </r>
  <r>
    <x v="41"/>
    <s v="H7"/>
    <m/>
    <s v="StxOp716_Stx2c_106"/>
    <s v="Stx2c_106"/>
    <s v="Nuts/Seeds"/>
    <x v="2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Dairy"/>
    <x v="3"/>
  </r>
  <r>
    <x v="14"/>
    <s v="H2"/>
    <m/>
    <s v="StxOp1577_Stx1a_9"/>
    <s v="Stx1a_9"/>
    <s v="Meat"/>
    <x v="0"/>
  </r>
  <r>
    <x v="1"/>
    <s v="H7"/>
    <m/>
    <s v="StxOp1089_Stx2a_1"/>
    <s v="Stx2a_1"/>
    <s v="Meat"/>
    <x v="0"/>
  </r>
  <r>
    <x v="7"/>
    <s v="H21"/>
    <m/>
    <s v="StxOp1365_Stx2c_7"/>
    <s v="Stx2c_7"/>
    <s v="Meat"/>
    <x v="0"/>
  </r>
  <r>
    <x v="28"/>
    <s v="H12"/>
    <m/>
    <s v="StxOp1580_Stx1a_9"/>
    <s v="Stx1a_9"/>
    <s v="Meat"/>
    <x v="0"/>
  </r>
  <r>
    <x v="1"/>
    <s v="H7"/>
    <m/>
    <s v="StxOp1089_Stx2a_1"/>
    <s v="Stx2a_1"/>
    <s v="Meat"/>
    <x v="0"/>
  </r>
  <r>
    <x v="1"/>
    <s v="H7"/>
    <m/>
    <s v="StxOp3_Stx1a_9 | StxOp702_Stx2c_17"/>
    <s v="Stx1a_9,Stx2c_17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0"/>
    <s v="H21"/>
    <m/>
    <s v="StxOp933_Stx2i_43"/>
    <s v="Stx2i_43"/>
    <s v="Lamb"/>
    <x v="0"/>
  </r>
  <r>
    <x v="24"/>
    <s v="H18"/>
    <m/>
    <s v="StxOp1089_Stx2a_1"/>
    <s v="Stx2a_1"/>
    <s v="Nuts/Seeds"/>
    <x v="2"/>
  </r>
  <r>
    <x v="1"/>
    <s v="H7"/>
    <m/>
    <s v="StxOp1089_Stx2a_1"/>
    <s v="Stx2a_1"/>
    <s v="Meat"/>
    <x v="0"/>
  </r>
  <r>
    <x v="1"/>
    <s v="H7"/>
    <m/>
    <s v="StxOp1089_Stx2a_1 | StxOp3_Stx1a_9"/>
    <s v="Stx2a_1,Stx1a_9"/>
    <s v="Dairy"/>
    <x v="3"/>
  </r>
  <r>
    <x v="1"/>
    <s v="H7"/>
    <m/>
    <s v="StxOp1089_Stx2a_1 | StxOp3_Stx1a_9"/>
    <s v="Stx2a_1,Stx1a_9"/>
    <s v="Meat"/>
    <x v="0"/>
  </r>
  <r>
    <x v="41"/>
    <s v="H7"/>
    <m/>
    <s v="StxOp716_Stx2c_106"/>
    <s v="Stx2c_106"/>
    <s v="Nuts/Seeds"/>
    <x v="2"/>
  </r>
  <r>
    <x v="7"/>
    <s v="H21"/>
    <m/>
    <s v="StxOp1365_Stx2c_7"/>
    <s v="Stx2c_7"/>
    <s v="Meat"/>
    <x v="0"/>
  </r>
  <r>
    <x v="1"/>
    <s v="H7"/>
    <m/>
    <s v="StxOp702_Stx2c_17"/>
    <s v="Stx2c_17"/>
    <s v="Meat"/>
    <x v="0"/>
  </r>
  <r>
    <x v="1"/>
    <s v="H7"/>
    <m/>
    <s v="StxOp3_Stx1a_9 | StxOp1089_Stx2a_1"/>
    <s v="Stx1a_9,Stx2a_1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Dairy"/>
    <x v="3"/>
  </r>
  <r>
    <x v="1"/>
    <s v="H7"/>
    <m/>
    <s v="StxOp3_Stx1a_9 | StxOp1089_Stx2a_1"/>
    <s v="Stx1a_9,Stx2a_1"/>
    <s v="Dairy"/>
    <x v="3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Dairy"/>
    <x v="3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Other"/>
    <x v="6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42"/>
    <s v="H32"/>
    <m/>
    <s v="ND"/>
    <s v="ND"/>
    <s v="Meat"/>
    <x v="0"/>
  </r>
  <r>
    <x v="1"/>
    <s v="H7"/>
    <m/>
    <s v="StxOp1577_Stx1a_9 | StxOp419_Stx2a_1"/>
    <s v="Stx1a_9,Stx2a_1"/>
    <s v="Vegetable"/>
    <x v="5"/>
  </r>
  <r>
    <x v="36"/>
    <s v="H8"/>
    <m/>
    <s v="StxOp419_Stx2a_1"/>
    <s v="Stx2a_1"/>
    <s v="Nuts/Seeds"/>
    <x v="2"/>
  </r>
  <r>
    <x v="28"/>
    <s v="H12"/>
    <m/>
    <s v="StxOp1580_Stx1a_9"/>
    <s v="Stx1a_9"/>
    <s v="Meat"/>
    <x v="0"/>
  </r>
  <r>
    <x v="39"/>
    <s v="H19"/>
    <m/>
    <s v="StxOp432_Stx2a_30"/>
    <s v="Stx2a_30"/>
    <s v="Flour"/>
    <x v="1"/>
  </r>
  <r>
    <x v="21"/>
    <s v="H21"/>
    <m/>
    <s v="StxOp827_Stx2d_10"/>
    <s v="Stx2d_10"/>
    <s v="Meat"/>
    <x v="0"/>
  </r>
  <r>
    <x v="1"/>
    <s v="H7"/>
    <m/>
    <s v="StxOp3_Stx1a_9 | StxOp702_Stx2c_17"/>
    <s v="Stx1a_9,Stx2c_17"/>
    <s v="Meat"/>
    <x v="0"/>
  </r>
  <r>
    <x v="1"/>
    <s v="H7"/>
    <m/>
    <s v="StxOp3_Stx1a_9 | StxOp1089_Stx2a_1"/>
    <s v="Stx1a_9,Stx2a_1"/>
    <s v="Meat"/>
    <x v="0"/>
  </r>
  <r>
    <x v="32"/>
    <s v="H19"/>
    <m/>
    <s v="StxOp4754_Stx1c_708"/>
    <s v="Stx1c_708"/>
    <s v="Meat"/>
    <x v="0"/>
  </r>
  <r>
    <x v="4"/>
    <s v="H14"/>
    <m/>
    <s v="StxOp4_Stx1a_9"/>
    <s v="Stx1a_9"/>
    <s v="Meat"/>
    <x v="0"/>
  </r>
  <r>
    <x v="1"/>
    <s v="H7"/>
    <m/>
    <s v="StxOp1089_Stx2a_1 | StxOp3_Stx1a_9"/>
    <s v="Stx2a_1,Stx1a_9"/>
    <s v="Meat"/>
    <x v="0"/>
  </r>
  <r>
    <x v="5"/>
    <s v="H19"/>
    <m/>
    <s v="StxOp432_Stx2a_30"/>
    <s v="Stx2a_30"/>
    <s v="Flour"/>
    <x v="1"/>
  </r>
  <r>
    <x v="38"/>
    <s v="H25"/>
    <m/>
    <s v="StxOp1157_Stx2a_6 | StxOp4_Stx1a_9"/>
    <s v="Stx2a_6,Stx1a_9"/>
    <s v="Flour"/>
    <x v="1"/>
  </r>
  <r>
    <x v="1"/>
    <s v="H7"/>
    <m/>
    <s v="StxOp1089_Stx2a_1 | StxOp3_Stx1a_9"/>
    <s v="Stx2a_1,Stx1a_9"/>
    <s v="Meat"/>
    <x v="0"/>
  </r>
  <r>
    <x v="1"/>
    <s v="H7"/>
    <m/>
    <s v="StxOp702_Stx2c_17"/>
    <s v="Stx2c_17"/>
    <s v="Meat"/>
    <x v="0"/>
  </r>
  <r>
    <x v="21"/>
    <s v="H21"/>
    <m/>
    <s v="StxOp827_Stx2d_10"/>
    <s v="Stx2d_10"/>
    <s v="Meat"/>
    <x v="0"/>
  </r>
  <r>
    <x v="1"/>
    <s v="H7"/>
    <m/>
    <s v="StxOp1089_Stx2a_1 | StxOp3_Stx1a_9"/>
    <s v="Stx2a_1,Stx1a_9"/>
    <s v="Meat"/>
    <x v="0"/>
  </r>
  <r>
    <x v="0"/>
    <s v="H21"/>
    <m/>
    <s v="StxOp933_Stx2i_43"/>
    <s v="Stx2i_43"/>
    <s v="Lamb"/>
    <x v="0"/>
  </r>
  <r>
    <x v="1"/>
    <s v="H7"/>
    <m/>
    <s v="StxOp702_Stx2c_17"/>
    <s v="Stx2c_17"/>
    <s v="Meat"/>
    <x v="0"/>
  </r>
  <r>
    <x v="5"/>
    <s v="H2"/>
    <m/>
    <s v="StxOp669_Stx2b_105"/>
    <s v="Stx2b_105"/>
    <s v="Meat"/>
    <x v="0"/>
  </r>
  <r>
    <x v="8"/>
    <s v="H19"/>
    <m/>
    <s v="StxOp3320_Stx2b_101 | StxOp4754_Stx1c_708"/>
    <s v="Stx2b_101,Stx1c_708"/>
    <s v="Lamb"/>
    <x v="0"/>
  </r>
  <r>
    <x v="0"/>
    <s v="H20"/>
    <m/>
    <s v="StxOp1173_Stx2a_16 | StxOp969_Stx1a_19"/>
    <s v="Stx2a_16,Stx1a_19"/>
    <s v="Meat"/>
    <x v="0"/>
  </r>
  <r>
    <x v="1"/>
    <s v="H7"/>
    <m/>
    <s v="StxOp1089_Stx2a_1"/>
    <s v="Stx2a_1"/>
    <s v="Meat"/>
    <x v="0"/>
  </r>
  <r>
    <x v="21"/>
    <s v="H21"/>
    <m/>
    <s v="StxOp827_Stx2d_10"/>
    <s v="Stx2d_10"/>
    <s v="Meat"/>
    <x v="0"/>
  </r>
  <r>
    <x v="39"/>
    <s v="H19"/>
    <m/>
    <s v="StxOp432_Stx2a_30"/>
    <s v="Stx2a_30"/>
    <s v="Nuts/Seeds"/>
    <x v="2"/>
  </r>
  <r>
    <x v="1"/>
    <s v="H7"/>
    <m/>
    <s v="StxOp3_Stx1a_9 | StxOp1089_Stx2a_1"/>
    <s v="Stx1a_9,Stx2a_1"/>
    <s v="Meat"/>
    <x v="0"/>
  </r>
  <r>
    <x v="39"/>
    <s v="H19"/>
    <m/>
    <s v="StxOp432_Stx2a_30"/>
    <s v="Stx2a_30"/>
    <s v="Nuts/Seeds"/>
    <x v="2"/>
  </r>
  <r>
    <x v="39"/>
    <s v="H19"/>
    <m/>
    <s v="StxOp943_Stx2k_40 | StxOp432_Stx2a_30"/>
    <s v="Stx2k_40,Stx2a_30"/>
    <s v="Meat"/>
    <x v="0"/>
  </r>
  <r>
    <x v="1"/>
    <s v="H7"/>
    <m/>
    <s v="StxOp1089_Stx2a_1"/>
    <s v="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Environment"/>
    <x v="4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1089_Stx2a_1"/>
    <s v="Stx1a_9,Stx2a_1"/>
    <s v="Meat"/>
    <x v="0"/>
  </r>
  <r>
    <x v="1"/>
    <s v="H7"/>
    <m/>
    <s v="StxOp1089_Stx2a_1"/>
    <s v="Stx2a_1"/>
    <s v="Meat"/>
    <x v="0"/>
  </r>
  <r>
    <x v="1"/>
    <s v="H7"/>
    <m/>
    <s v="StxOp1043_Stx2a_1"/>
    <s v="Stx2a_1"/>
    <s v="Meat"/>
    <x v="0"/>
  </r>
  <r>
    <x v="1"/>
    <s v="H7"/>
    <m/>
    <s v="StxOp1043_Stx2a_1"/>
    <s v="Stx2a_1"/>
    <s v="Meat"/>
    <x v="0"/>
  </r>
  <r>
    <x v="1"/>
    <s v="H7"/>
    <m/>
    <s v="StxOp1043_Stx2a_1"/>
    <s v="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Environment"/>
    <x v="4"/>
  </r>
  <r>
    <x v="1"/>
    <s v="H7"/>
    <m/>
    <s v="StxOp3_Stx1a_9 | StxOp1089_Stx2a_1"/>
    <s v="Stx1a_9,Stx2a_1"/>
    <s v="Meat"/>
    <x v="0"/>
  </r>
  <r>
    <x v="1"/>
    <s v="H7"/>
    <m/>
    <s v="StxOp1089_Stx2a_1 | StxOp3_Stx1a_9"/>
    <s v="Stx2a_1,Stx1a_9"/>
    <s v="Meat"/>
    <x v="0"/>
  </r>
  <r>
    <x v="1"/>
    <s v="H7"/>
    <m/>
    <s v="StxOp1089_Stx2a_1 | StxOp3_Stx1a_9"/>
    <s v="Stx2a_1,Stx1a_9"/>
    <s v="Meat"/>
    <x v="0"/>
  </r>
  <r>
    <x v="1"/>
    <s v="H7"/>
    <m/>
    <s v="StxOp3_Stx1a_9 | StxOp702_Stx2c_17"/>
    <s v="Stx1a_9,Stx2c_17"/>
    <s v="Meat"/>
    <x v="0"/>
  </r>
  <r>
    <x v="1"/>
    <s v="H7"/>
    <m/>
    <s v="StxOp702_Stx2c_17"/>
    <s v="Stx2c_17"/>
    <s v="Meat"/>
    <x v="0"/>
  </r>
  <r>
    <x v="41"/>
    <s v="H7"/>
    <m/>
    <s v="StxOp702_Stx2c_17"/>
    <s v="Stx2c_17"/>
    <s v="Meat"/>
    <x v="0"/>
  </r>
  <r>
    <x v="5"/>
    <s v="H19"/>
    <m/>
    <s v="StxOp432_Stx2a_30"/>
    <s v="Stx2a_30"/>
    <s v="Nuts/Seeds"/>
    <x v="2"/>
  </r>
  <r>
    <x v="5"/>
    <s v="H28"/>
    <m/>
    <s v="StxOp432_Stx2a_30"/>
    <s v="Stx2a_30"/>
    <s v="Flour"/>
    <x v="1"/>
  </r>
  <r>
    <x v="5"/>
    <s v="H28"/>
    <m/>
    <s v="StxOp432_Stx2a_30"/>
    <s v="Stx2a_30"/>
    <s v="Flour"/>
    <x v="1"/>
  </r>
  <r>
    <x v="0"/>
    <s v="H29"/>
    <m/>
    <s v="StxOp1486_Stx2d_112"/>
    <s v="Stx2d_112"/>
    <s v="Meat"/>
    <x v="0"/>
  </r>
  <r>
    <x v="1"/>
    <s v="H7"/>
    <m/>
    <s v="StxOp1089_Stx2a_1"/>
    <s v="Stx2a_1"/>
    <s v="Meat"/>
    <x v="0"/>
  </r>
  <r>
    <x v="8"/>
    <s v="H19"/>
    <m/>
    <s v="StxOp4754_Stx1c_708"/>
    <s v="Stx1c_708"/>
    <s v="Lamb"/>
    <x v="0"/>
  </r>
  <r>
    <x v="5"/>
    <s v="H28"/>
    <m/>
    <s v="StxOp432_Stx2a_30"/>
    <s v="Stx2a_30"/>
    <s v="Flour"/>
    <x v="1"/>
  </r>
  <r>
    <x v="43"/>
    <s v="H10"/>
    <m/>
    <s v="StxOp4_Stx1a_9"/>
    <s v="Stx1a_9"/>
    <s v="Meat"/>
    <x v="0"/>
  </r>
  <r>
    <x v="0"/>
    <s v="H29"/>
    <m/>
    <s v="StxOp1486_Stx2d_112"/>
    <s v="Stx2d_112"/>
    <s v="Meat"/>
    <x v="0"/>
  </r>
  <r>
    <x v="5"/>
    <s v="H28"/>
    <m/>
    <s v="StxOp432_Stx2a_30"/>
    <s v="Stx2a_30"/>
    <s v="Flour"/>
    <x v="1"/>
  </r>
  <r>
    <x v="5"/>
    <s v="H28"/>
    <m/>
    <s v="StxOp432_Stx2a_30"/>
    <s v="Stx2a_30"/>
    <s v="Flour"/>
    <x v="1"/>
  </r>
  <r>
    <x v="7"/>
    <s v="H21"/>
    <m/>
    <s v="StxOp1364_Stx2c_7"/>
    <s v="Stx2c_7"/>
    <s v="Nuts/Seeds"/>
    <x v="2"/>
  </r>
  <r>
    <x v="44"/>
    <s v="H38"/>
    <m/>
    <s v="StxOp1038_Stx1d_4"/>
    <s v="Stx1d_4"/>
    <s v="Nuts/Seeds"/>
    <x v="2"/>
  </r>
  <r>
    <x v="45"/>
    <s v="H18"/>
    <m/>
    <s v="StxOp1168_Stx2a_16 | StxOp1645_Stx1a_9"/>
    <s v="Stx2a_16,Stx1a_9"/>
    <s v="Meat"/>
    <x v="0"/>
  </r>
  <r>
    <x v="1"/>
    <s v="H7"/>
    <m/>
    <s v="StxOp1043_Stx2a_1"/>
    <s v="Stx2a_1"/>
    <s v="Nuts/Seeds"/>
    <x v="2"/>
  </r>
  <r>
    <x v="18"/>
    <s v="H5"/>
    <m/>
    <s v="StxOp15_Stx1a_21"/>
    <s v="Stx1a_21"/>
    <s v="Meat"/>
    <x v="0"/>
  </r>
  <r>
    <x v="46"/>
    <s v="H16"/>
    <m/>
    <s v="StxOp3564_Stx2b_118 | StxOp1339_Stx2b_109"/>
    <s v="Stx2b_118,Stx2b_109"/>
    <s v="Meat"/>
    <x v="0"/>
  </r>
  <r>
    <x v="47"/>
    <s v="H16"/>
    <m/>
    <s v="StxOp1580_Stx1a_9"/>
    <s v="Stx1a_9"/>
    <s v="Meat"/>
    <x v="0"/>
  </r>
  <r>
    <x v="47"/>
    <s v="H16"/>
    <m/>
    <s v="StxOp1580_Stx1a_9"/>
    <s v="Stx1a_9"/>
    <s v="Meat"/>
    <x v="0"/>
  </r>
  <r>
    <x v="46"/>
    <s v="H16"/>
    <m/>
    <s v="StxOp3298_Stx2b_23"/>
    <s v="Stx2b_23"/>
    <s v="Meat"/>
    <x v="0"/>
  </r>
  <r>
    <x v="48"/>
    <s v="NM"/>
    <m/>
    <s v="StxOp932_Stx2h_49"/>
    <s v="Stx2h_49"/>
    <s v="Vegetable"/>
    <x v="5"/>
  </r>
  <r>
    <x v="0"/>
    <s v="H23"/>
    <m/>
    <s v="StxOp936_Stx2j_104"/>
    <s v="Stx2j_104"/>
    <s v="Vegetable"/>
    <x v="5"/>
  </r>
  <r>
    <x v="1"/>
    <s v="H7"/>
    <m/>
    <s v="StxOp3_Stx1a_9 | StxOp1089_Stx2a_1"/>
    <s v="Stx1a_9,Stx2a_1"/>
    <s v="Meat"/>
    <x v="0"/>
  </r>
  <r>
    <x v="49"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96147-4D07-4866-965E-808768D1EC2B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29" firstHeaderRow="1" firstDataRow="2" firstDataCol="1"/>
  <pivotFields count="2">
    <pivotField axis="axisCol" dataField="1" showAll="0">
      <items count="9">
        <item x="3"/>
        <item x="4"/>
        <item x="1"/>
        <item x="0"/>
        <item x="2"/>
        <item x="6"/>
        <item x="5"/>
        <item x="7"/>
        <item t="default"/>
      </items>
    </pivotField>
    <pivotField axis="axisRow" showAll="0">
      <items count="27">
        <item x="1"/>
        <item x="7"/>
        <item x="8"/>
        <item x="18"/>
        <item x="2"/>
        <item x="14"/>
        <item x="21"/>
        <item x="6"/>
        <item x="10"/>
        <item x="19"/>
        <item x="0"/>
        <item x="5"/>
        <item x="3"/>
        <item x="22"/>
        <item x="9"/>
        <item x="12"/>
        <item x="4"/>
        <item x="11"/>
        <item x="17"/>
        <item x="13"/>
        <item x="15"/>
        <item x="23"/>
        <item x="16"/>
        <item x="24"/>
        <item x="20"/>
        <item x="25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ource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AA74D-8D48-422F-81C3-538D2F488044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49" firstHeaderRow="1" firstDataRow="2" firstDataCol="1"/>
  <pivotFields count="5">
    <pivotField axis="axisCol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/>
    <pivotField showAll="0"/>
    <pivotField showAll="0"/>
    <pivotField axis="axisRow" dataField="1" showAll="0">
      <items count="45">
        <item x="36"/>
        <item x="33"/>
        <item x="11"/>
        <item x="29"/>
        <item x="39"/>
        <item x="32"/>
        <item x="30"/>
        <item x="37"/>
        <item x="35"/>
        <item x="34"/>
        <item x="38"/>
        <item x="31"/>
        <item x="40"/>
        <item x="4"/>
        <item x="28"/>
        <item x="21"/>
        <item x="12"/>
        <item x="1"/>
        <item x="41"/>
        <item x="3"/>
        <item x="9"/>
        <item x="13"/>
        <item x="2"/>
        <item x="17"/>
        <item x="25"/>
        <item x="14"/>
        <item x="8"/>
        <item x="24"/>
        <item x="0"/>
        <item x="26"/>
        <item x="15"/>
        <item x="18"/>
        <item x="19"/>
        <item x="22"/>
        <item x="27"/>
        <item x="5"/>
        <item x="6"/>
        <item x="23"/>
        <item x="20"/>
        <item x="16"/>
        <item x="7"/>
        <item x="42"/>
        <item x="10"/>
        <item x="43"/>
        <item t="default"/>
      </items>
    </pivotField>
  </pivotFields>
  <rowFields count="1">
    <field x="4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Vtx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2B932-DC23-45E6-A359-06B437186319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85" firstHeaderRow="1" firstDataRow="2" firstDataCol="1"/>
  <pivotFields count="3">
    <pivotField axis="axisRow" showAll="0">
      <items count="81">
        <item x="1"/>
        <item x="25"/>
        <item x="39"/>
        <item x="75"/>
        <item x="38"/>
        <item x="9"/>
        <item x="11"/>
        <item x="40"/>
        <item x="2"/>
        <item x="33"/>
        <item x="3"/>
        <item x="52"/>
        <item x="30"/>
        <item x="73"/>
        <item x="7"/>
        <item x="14"/>
        <item x="63"/>
        <item x="18"/>
        <item x="60"/>
        <item x="58"/>
        <item x="29"/>
        <item x="70"/>
        <item x="74"/>
        <item x="51"/>
        <item x="66"/>
        <item x="20"/>
        <item x="61"/>
        <item x="59"/>
        <item x="62"/>
        <item x="27"/>
        <item x="68"/>
        <item x="64"/>
        <item x="50"/>
        <item x="45"/>
        <item x="21"/>
        <item x="23"/>
        <item x="13"/>
        <item x="47"/>
        <item x="8"/>
        <item x="32"/>
        <item x="10"/>
        <item x="24"/>
        <item x="65"/>
        <item x="41"/>
        <item x="4"/>
        <item x="28"/>
        <item x="6"/>
        <item x="34"/>
        <item x="57"/>
        <item x="76"/>
        <item x="56"/>
        <item x="17"/>
        <item x="0"/>
        <item x="67"/>
        <item x="54"/>
        <item x="43"/>
        <item x="44"/>
        <item x="69"/>
        <item x="12"/>
        <item x="5"/>
        <item x="22"/>
        <item x="19"/>
        <item x="16"/>
        <item x="48"/>
        <item x="15"/>
        <item x="72"/>
        <item x="35"/>
        <item x="46"/>
        <item x="42"/>
        <item x="37"/>
        <item x="49"/>
        <item x="26"/>
        <item x="55"/>
        <item x="31"/>
        <item x="53"/>
        <item x="77"/>
        <item x="36"/>
        <item x="78"/>
        <item x="71"/>
        <item x="79"/>
        <item t="default"/>
      </items>
    </pivotField>
    <pivotField showAll="0">
      <items count="10">
        <item x="4"/>
        <item x="5"/>
        <item x="2"/>
        <item x="1"/>
        <item x="0"/>
        <item x="3"/>
        <item x="7"/>
        <item x="6"/>
        <item x="8"/>
        <item t="default"/>
      </items>
    </pivotField>
    <pivotField axis="axisCol" dataField="1" showAll="0">
      <items count="9">
        <item x="3"/>
        <item x="4"/>
        <item x="1"/>
        <item x="0"/>
        <item x="2"/>
        <item x="6"/>
        <item x="5"/>
        <item x="7"/>
        <item t="default"/>
      </items>
    </pivotField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ource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E9BB9-ADE8-4A40-B26A-E4BCB7C0FF76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55" firstHeaderRow="1" firstDataRow="2" firstDataCol="1"/>
  <pivotFields count="7">
    <pivotField axis="axisRow" showAll="0">
      <items count="51">
        <item x="14"/>
        <item x="15"/>
        <item x="2"/>
        <item x="18"/>
        <item x="21"/>
        <item x="43"/>
        <item x="12"/>
        <item x="40"/>
        <item x="16"/>
        <item x="27"/>
        <item x="22"/>
        <item x="3"/>
        <item x="24"/>
        <item x="44"/>
        <item x="20"/>
        <item x="33"/>
        <item x="29"/>
        <item x="1"/>
        <item x="39"/>
        <item x="25"/>
        <item x="36"/>
        <item x="19"/>
        <item x="31"/>
        <item x="7"/>
        <item x="6"/>
        <item x="48"/>
        <item x="35"/>
        <item x="34"/>
        <item x="45"/>
        <item x="41"/>
        <item x="30"/>
        <item x="42"/>
        <item x="23"/>
        <item x="11"/>
        <item x="37"/>
        <item x="8"/>
        <item x="28"/>
        <item x="17"/>
        <item x="13"/>
        <item x="32"/>
        <item x="47"/>
        <item x="5"/>
        <item x="9"/>
        <item x="46"/>
        <item x="38"/>
        <item x="26"/>
        <item x="4"/>
        <item x="10"/>
        <item x="0"/>
        <item x="49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9">
        <item x="3"/>
        <item x="4"/>
        <item x="1"/>
        <item x="0"/>
        <item x="2"/>
        <item x="6"/>
        <item x="5"/>
        <item x="7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ource1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893EF-2B95-4FFE-9319-946D685C2D15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1" firstHeaderRow="1" firstDataRow="1" firstDataCol="1"/>
  <pivotFields count="7">
    <pivotField showAll="0">
      <items count="9">
        <item x="3"/>
        <item x="4"/>
        <item x="0"/>
        <item x="1"/>
        <item x="2"/>
        <item x="6"/>
        <item x="5"/>
        <item x="7"/>
        <item t="default"/>
      </items>
    </pivotField>
    <pivotField showAll="0"/>
    <pivotField axis="axisRow" showAll="0">
      <items count="106">
        <item x="30"/>
        <item x="0"/>
        <item sd="0" x="70"/>
        <item sd="0" x="29"/>
        <item sd="0" x="42"/>
        <item sd="0" x="25"/>
        <item x="94"/>
        <item x="103"/>
        <item x="66"/>
        <item x="95"/>
        <item x="20"/>
        <item x="21"/>
        <item x="49"/>
        <item x="101"/>
        <item x="35"/>
        <item x="60"/>
        <item x="10"/>
        <item x="96"/>
        <item x="48"/>
        <item x="37"/>
        <item x="98"/>
        <item x="44"/>
        <item x="63"/>
        <item x="67"/>
        <item x="100"/>
        <item x="13"/>
        <item x="40"/>
        <item x="56"/>
        <item x="22"/>
        <item x="53"/>
        <item x="97"/>
        <item x="58"/>
        <item x="47"/>
        <item x="43"/>
        <item x="80"/>
        <item x="86"/>
        <item x="57"/>
        <item x="12"/>
        <item x="3"/>
        <item x="91"/>
        <item x="71"/>
        <item x="50"/>
        <item x="39"/>
        <item x="61"/>
        <item x="28"/>
        <item x="27"/>
        <item x="64"/>
        <item x="7"/>
        <item x="72"/>
        <item x="102"/>
        <item x="11"/>
        <item x="45"/>
        <item x="55"/>
        <item x="84"/>
        <item x="26"/>
        <item x="88"/>
        <item x="62"/>
        <item x="52"/>
        <item x="68"/>
        <item x="36"/>
        <item x="78"/>
        <item x="92"/>
        <item x="73"/>
        <item x="99"/>
        <item x="59"/>
        <item x="6"/>
        <item x="85"/>
        <item x="9"/>
        <item x="87"/>
        <item x="79"/>
        <item x="17"/>
        <item x="24"/>
        <item x="69"/>
        <item x="31"/>
        <item x="76"/>
        <item x="77"/>
        <item x="4"/>
        <item x="34"/>
        <item x="82"/>
        <item x="5"/>
        <item x="89"/>
        <item x="38"/>
        <item x="90"/>
        <item x="33"/>
        <item x="83"/>
        <item x="8"/>
        <item x="19"/>
        <item x="32"/>
        <item x="81"/>
        <item x="15"/>
        <item x="23"/>
        <item x="74"/>
        <item x="65"/>
        <item x="41"/>
        <item x="46"/>
        <item x="1"/>
        <item x="2"/>
        <item x="14"/>
        <item x="18"/>
        <item x="54"/>
        <item x="16"/>
        <item x="93"/>
        <item x="75"/>
        <item x="51"/>
        <item x="104"/>
        <item t="default"/>
      </items>
    </pivotField>
    <pivotField showAll="0"/>
    <pivotField showAll="0"/>
    <pivotField showAll="0"/>
    <pivotField axis="axisRow" dataField="1" showAll="0">
      <items count="101">
        <item x="34"/>
        <item x="33"/>
        <item x="6"/>
        <item x="23"/>
        <item x="62"/>
        <item x="69"/>
        <item x="13"/>
        <item x="10"/>
        <item x="35"/>
        <item x="82"/>
        <item x="86"/>
        <item x="61"/>
        <item x="24"/>
        <item x="93"/>
        <item x="12"/>
        <item x="9"/>
        <item x="46"/>
        <item x="55"/>
        <item x="81"/>
        <item x="58"/>
        <item x="89"/>
        <item x="5"/>
        <item x="57"/>
        <item x="75"/>
        <item x="16"/>
        <item x="77"/>
        <item x="41"/>
        <item x="48"/>
        <item x="43"/>
        <item x="94"/>
        <item x="91"/>
        <item x="11"/>
        <item x="50"/>
        <item x="83"/>
        <item x="54"/>
        <item x="95"/>
        <item x="70"/>
        <item x="30"/>
        <item x="51"/>
        <item x="87"/>
        <item x="2"/>
        <item x="15"/>
        <item x="31"/>
        <item x="96"/>
        <item x="49"/>
        <item x="8"/>
        <item x="72"/>
        <item x="25"/>
        <item x="7"/>
        <item x="28"/>
        <item x="38"/>
        <item x="47"/>
        <item x="74"/>
        <item x="19"/>
        <item x="60"/>
        <item x="68"/>
        <item x="36"/>
        <item x="4"/>
        <item x="78"/>
        <item x="73"/>
        <item x="59"/>
        <item x="0"/>
        <item x="63"/>
        <item x="65"/>
        <item x="40"/>
        <item x="64"/>
        <item x="1"/>
        <item x="44"/>
        <item x="67"/>
        <item x="27"/>
        <item x="84"/>
        <item x="66"/>
        <item x="45"/>
        <item x="37"/>
        <item x="85"/>
        <item x="92"/>
        <item x="17"/>
        <item x="90"/>
        <item x="56"/>
        <item x="76"/>
        <item x="52"/>
        <item x="39"/>
        <item x="26"/>
        <item x="18"/>
        <item x="29"/>
        <item x="14"/>
        <item x="20"/>
        <item x="53"/>
        <item x="22"/>
        <item x="21"/>
        <item x="32"/>
        <item x="97"/>
        <item x="88"/>
        <item x="80"/>
        <item x="42"/>
        <item x="3"/>
        <item x="79"/>
        <item x="71"/>
        <item x="99"/>
        <item x="98"/>
        <item t="default"/>
      </items>
    </pivotField>
  </pivotFields>
  <rowFields count="2">
    <field x="2"/>
    <field x="6"/>
  </rowFields>
  <rowItems count="318">
    <i>
      <x/>
    </i>
    <i r="1">
      <x v="33"/>
    </i>
    <i r="1">
      <x v="45"/>
    </i>
    <i r="1">
      <x v="99"/>
    </i>
    <i>
      <x v="1"/>
    </i>
    <i r="1">
      <x v="45"/>
    </i>
    <i r="1">
      <x v="61"/>
    </i>
    <i>
      <x v="2"/>
    </i>
    <i>
      <x v="3"/>
    </i>
    <i>
      <x v="4"/>
    </i>
    <i>
      <x v="5"/>
    </i>
    <i>
      <x v="6"/>
    </i>
    <i r="1">
      <x v="99"/>
    </i>
    <i>
      <x v="7"/>
    </i>
    <i r="1">
      <x v="99"/>
    </i>
    <i>
      <x v="8"/>
    </i>
    <i r="1">
      <x v="9"/>
    </i>
    <i r="1">
      <x v="34"/>
    </i>
    <i r="1">
      <x v="37"/>
    </i>
    <i r="1">
      <x v="75"/>
    </i>
    <i r="1">
      <x v="99"/>
    </i>
    <i>
      <x v="9"/>
    </i>
    <i r="1">
      <x v="99"/>
    </i>
    <i>
      <x v="10"/>
    </i>
    <i r="1">
      <x v="67"/>
    </i>
    <i r="1">
      <x v="86"/>
    </i>
    <i r="1">
      <x v="99"/>
    </i>
    <i>
      <x v="11"/>
    </i>
    <i r="1">
      <x v="76"/>
    </i>
    <i r="1">
      <x v="88"/>
    </i>
    <i r="1">
      <x v="89"/>
    </i>
    <i>
      <x v="12"/>
    </i>
    <i r="1">
      <x v="61"/>
    </i>
    <i>
      <x v="13"/>
    </i>
    <i r="1">
      <x v="99"/>
    </i>
    <i>
      <x v="14"/>
    </i>
    <i r="1">
      <x v="64"/>
    </i>
    <i r="1">
      <x v="94"/>
    </i>
    <i>
      <x v="15"/>
    </i>
    <i r="1">
      <x v="69"/>
    </i>
    <i>
      <x v="16"/>
    </i>
    <i r="1">
      <x v="45"/>
    </i>
    <i>
      <x v="17"/>
    </i>
    <i r="1">
      <x v="99"/>
    </i>
    <i>
      <x v="18"/>
    </i>
    <i r="1">
      <x v="68"/>
    </i>
    <i>
      <x v="19"/>
    </i>
    <i r="1">
      <x v="31"/>
    </i>
    <i r="1">
      <x v="53"/>
    </i>
    <i r="1">
      <x v="64"/>
    </i>
    <i r="1">
      <x v="89"/>
    </i>
    <i r="1">
      <x v="99"/>
    </i>
    <i>
      <x v="20"/>
    </i>
    <i r="1">
      <x v="99"/>
    </i>
    <i>
      <x v="21"/>
    </i>
    <i r="1">
      <x v="22"/>
    </i>
    <i>
      <x v="22"/>
    </i>
    <i r="1">
      <x v="24"/>
    </i>
    <i>
      <x v="23"/>
    </i>
    <i r="1">
      <x v="76"/>
    </i>
    <i>
      <x v="24"/>
    </i>
    <i r="1">
      <x v="99"/>
    </i>
    <i>
      <x v="25"/>
    </i>
    <i r="1">
      <x v="13"/>
    </i>
    <i r="1">
      <x v="28"/>
    </i>
    <i r="1">
      <x v="31"/>
    </i>
    <i r="1">
      <x v="32"/>
    </i>
    <i r="1">
      <x v="33"/>
    </i>
    <i r="1">
      <x v="34"/>
    </i>
    <i r="1">
      <x v="45"/>
    </i>
    <i r="1">
      <x v="52"/>
    </i>
    <i r="1">
      <x v="70"/>
    </i>
    <i r="1">
      <x v="74"/>
    </i>
    <i r="1">
      <x v="78"/>
    </i>
    <i r="1">
      <x v="79"/>
    </i>
    <i r="1">
      <x v="90"/>
    </i>
    <i>
      <x v="26"/>
    </i>
    <i r="1">
      <x v="6"/>
    </i>
    <i>
      <x v="27"/>
    </i>
    <i r="1">
      <x v="79"/>
    </i>
    <i r="1">
      <x v="93"/>
    </i>
    <i>
      <x v="28"/>
    </i>
    <i r="1">
      <x v="3"/>
    </i>
    <i>
      <x v="29"/>
    </i>
    <i r="1">
      <x v="34"/>
    </i>
    <i r="1">
      <x v="59"/>
    </i>
    <i>
      <x v="30"/>
    </i>
    <i r="1">
      <x v="99"/>
    </i>
    <i>
      <x v="31"/>
    </i>
    <i r="1">
      <x v="34"/>
    </i>
    <i r="1">
      <x v="48"/>
    </i>
    <i>
      <x v="32"/>
    </i>
    <i r="1">
      <x v="71"/>
    </i>
    <i>
      <x v="33"/>
    </i>
    <i r="1">
      <x v="1"/>
    </i>
    <i>
      <x v="34"/>
    </i>
    <i r="1">
      <x v="93"/>
    </i>
    <i>
      <x v="35"/>
    </i>
    <i r="1">
      <x v="20"/>
    </i>
    <i>
      <x v="36"/>
    </i>
    <i r="1">
      <x v="34"/>
    </i>
    <i>
      <x v="37"/>
    </i>
    <i r="1">
      <x/>
    </i>
    <i r="1">
      <x v="2"/>
    </i>
    <i r="1">
      <x v="4"/>
    </i>
    <i r="1">
      <x v="5"/>
    </i>
    <i r="1">
      <x v="6"/>
    </i>
    <i r="1">
      <x v="7"/>
    </i>
    <i r="1">
      <x v="20"/>
    </i>
    <i r="1">
      <x v="34"/>
    </i>
    <i r="1">
      <x v="45"/>
    </i>
    <i r="1">
      <x v="46"/>
    </i>
    <i r="1">
      <x v="47"/>
    </i>
    <i r="1">
      <x v="51"/>
    </i>
    <i r="1">
      <x v="53"/>
    </i>
    <i r="1">
      <x v="54"/>
    </i>
    <i r="1">
      <x v="55"/>
    </i>
    <i r="1">
      <x v="62"/>
    </i>
    <i r="1">
      <x v="63"/>
    </i>
    <i r="1">
      <x v="65"/>
    </i>
    <i r="1">
      <x v="70"/>
    </i>
    <i r="1">
      <x v="76"/>
    </i>
    <i r="1">
      <x v="77"/>
    </i>
    <i r="1">
      <x v="81"/>
    </i>
    <i r="1">
      <x v="82"/>
    </i>
    <i r="1">
      <x v="83"/>
    </i>
    <i r="1">
      <x v="92"/>
    </i>
    <i r="1">
      <x v="95"/>
    </i>
    <i r="1">
      <x v="99"/>
    </i>
    <i>
      <x v="38"/>
    </i>
    <i r="1">
      <x v="66"/>
    </i>
    <i r="1">
      <x v="96"/>
    </i>
    <i>
      <x v="39"/>
    </i>
    <i r="1">
      <x v="61"/>
    </i>
    <i>
      <x v="40"/>
    </i>
    <i r="1">
      <x v="31"/>
    </i>
    <i r="1">
      <x v="34"/>
    </i>
    <i r="1">
      <x v="76"/>
    </i>
    <i>
      <x v="41"/>
    </i>
    <i r="1">
      <x v="64"/>
    </i>
    <i>
      <x v="42"/>
    </i>
    <i r="1">
      <x v="87"/>
    </i>
    <i>
      <x v="43"/>
    </i>
    <i r="1">
      <x v="69"/>
    </i>
    <i>
      <x v="44"/>
    </i>
    <i r="1">
      <x v="16"/>
    </i>
    <i r="1">
      <x v="90"/>
    </i>
    <i r="1">
      <x v="95"/>
    </i>
    <i>
      <x v="45"/>
    </i>
    <i r="1">
      <x v="36"/>
    </i>
    <i r="1">
      <x v="37"/>
    </i>
    <i>
      <x v="46"/>
    </i>
    <i r="1">
      <x v="36"/>
    </i>
    <i>
      <x v="47"/>
    </i>
    <i r="1">
      <x v="2"/>
    </i>
    <i r="1">
      <x v="21"/>
    </i>
    <i>
      <x v="48"/>
    </i>
    <i r="1">
      <x v="19"/>
    </i>
    <i>
      <x v="49"/>
    </i>
    <i r="1">
      <x v="98"/>
    </i>
    <i>
      <x v="50"/>
    </i>
    <i r="1">
      <x v="15"/>
    </i>
    <i>
      <x v="51"/>
    </i>
    <i r="1">
      <x v="60"/>
    </i>
    <i r="1">
      <x v="69"/>
    </i>
    <i>
      <x v="52"/>
    </i>
    <i r="1">
      <x v="59"/>
    </i>
    <i>
      <x v="53"/>
    </i>
    <i r="1">
      <x v="10"/>
    </i>
    <i>
      <x v="54"/>
    </i>
    <i r="1">
      <x v="81"/>
    </i>
    <i r="1">
      <x v="84"/>
    </i>
    <i>
      <x v="55"/>
    </i>
    <i r="1">
      <x v="1"/>
    </i>
    <i>
      <x v="56"/>
    </i>
    <i r="1">
      <x v="1"/>
    </i>
    <i r="1">
      <x v="24"/>
    </i>
    <i>
      <x v="57"/>
    </i>
    <i r="1">
      <x v="24"/>
    </i>
    <i r="1">
      <x v="49"/>
    </i>
    <i>
      <x v="58"/>
    </i>
    <i r="1">
      <x v="53"/>
    </i>
    <i r="1">
      <x v="56"/>
    </i>
    <i r="1">
      <x v="99"/>
    </i>
    <i>
      <x v="59"/>
    </i>
    <i r="1">
      <x/>
    </i>
    <i>
      <x v="60"/>
    </i>
    <i r="1">
      <x v="30"/>
    </i>
    <i>
      <x v="61"/>
    </i>
    <i r="1">
      <x v="68"/>
    </i>
    <i>
      <x v="62"/>
    </i>
    <i r="1">
      <x v="31"/>
    </i>
    <i r="1">
      <x v="34"/>
    </i>
    <i>
      <x v="63"/>
    </i>
    <i r="1">
      <x v="99"/>
    </i>
    <i>
      <x v="64"/>
    </i>
    <i r="1">
      <x v="69"/>
    </i>
    <i>
      <x v="65"/>
    </i>
    <i r="1">
      <x v="57"/>
    </i>
    <i r="1">
      <x v="69"/>
    </i>
    <i r="1">
      <x v="72"/>
    </i>
    <i>
      <x v="66"/>
    </i>
    <i r="1">
      <x v="92"/>
    </i>
    <i>
      <x v="67"/>
    </i>
    <i r="1">
      <x v="48"/>
    </i>
    <i>
      <x v="68"/>
    </i>
    <i r="1">
      <x v="1"/>
    </i>
    <i>
      <x v="69"/>
    </i>
    <i r="1">
      <x v="95"/>
    </i>
    <i>
      <x v="70"/>
    </i>
    <i r="1">
      <x v="18"/>
    </i>
    <i r="1">
      <x v="19"/>
    </i>
    <i r="1">
      <x v="24"/>
    </i>
    <i>
      <x v="71"/>
    </i>
    <i r="1">
      <x v="25"/>
    </i>
    <i r="1">
      <x v="69"/>
    </i>
    <i r="1">
      <x v="99"/>
    </i>
    <i>
      <x v="72"/>
    </i>
    <i r="1">
      <x v="1"/>
    </i>
    <i>
      <x v="73"/>
    </i>
    <i r="1">
      <x v="48"/>
    </i>
    <i>
      <x v="74"/>
    </i>
    <i r="1">
      <x v="6"/>
    </i>
    <i r="1">
      <x v="99"/>
    </i>
    <i>
      <x v="75"/>
    </i>
    <i r="1">
      <x v="39"/>
    </i>
    <i>
      <x v="76"/>
    </i>
    <i r="1">
      <x v="34"/>
    </i>
    <i r="1">
      <x v="66"/>
    </i>
    <i r="1">
      <x v="95"/>
    </i>
    <i>
      <x v="77"/>
    </i>
    <i r="1">
      <x v="73"/>
    </i>
    <i>
      <x v="78"/>
    </i>
    <i r="1">
      <x v="48"/>
    </i>
    <i>
      <x v="79"/>
    </i>
    <i r="1">
      <x v="95"/>
    </i>
    <i>
      <x v="80"/>
    </i>
    <i r="1">
      <x v="66"/>
    </i>
    <i>
      <x v="81"/>
    </i>
    <i r="1">
      <x v="44"/>
    </i>
    <i>
      <x v="82"/>
    </i>
    <i r="1">
      <x v="68"/>
    </i>
    <i>
      <x v="83"/>
    </i>
    <i r="1">
      <x v="56"/>
    </i>
    <i r="1">
      <x v="58"/>
    </i>
    <i>
      <x v="84"/>
    </i>
    <i r="1">
      <x v="9"/>
    </i>
    <i>
      <x v="85"/>
    </i>
    <i r="1">
      <x v="95"/>
    </i>
    <i>
      <x v="86"/>
    </i>
    <i r="1">
      <x v="17"/>
    </i>
    <i r="1">
      <x v="26"/>
    </i>
    <i r="1">
      <x v="27"/>
    </i>
    <i r="1">
      <x v="29"/>
    </i>
    <i r="1">
      <x v="35"/>
    </i>
    <i r="1">
      <x v="61"/>
    </i>
    <i r="1">
      <x v="75"/>
    </i>
    <i r="1">
      <x v="76"/>
    </i>
    <i r="1">
      <x v="77"/>
    </i>
    <i r="1">
      <x v="80"/>
    </i>
    <i>
      <x v="87"/>
    </i>
    <i r="1">
      <x v="1"/>
    </i>
    <i r="1">
      <x v="8"/>
    </i>
    <i r="1">
      <x v="50"/>
    </i>
    <i>
      <x v="88"/>
    </i>
    <i r="1">
      <x v="45"/>
    </i>
    <i>
      <x v="89"/>
    </i>
    <i r="1">
      <x v="23"/>
    </i>
    <i r="1">
      <x v="85"/>
    </i>
    <i>
      <x v="90"/>
    </i>
    <i r="1">
      <x v="12"/>
    </i>
    <i r="1">
      <x v="37"/>
    </i>
    <i>
      <x v="91"/>
    </i>
    <i r="1">
      <x v="34"/>
    </i>
    <i>
      <x v="92"/>
    </i>
    <i r="1">
      <x v="18"/>
    </i>
    <i>
      <x v="93"/>
    </i>
    <i r="1">
      <x v="1"/>
    </i>
    <i>
      <x v="94"/>
    </i>
    <i r="1">
      <x v="11"/>
    </i>
    <i r="1">
      <x v="97"/>
    </i>
    <i>
      <x v="95"/>
    </i>
    <i r="1">
      <x v="24"/>
    </i>
    <i r="1">
      <x v="66"/>
    </i>
    <i>
      <x v="96"/>
    </i>
    <i r="1">
      <x v="21"/>
    </i>
    <i r="1">
      <x v="31"/>
    </i>
    <i r="1">
      <x v="32"/>
    </i>
    <i r="1">
      <x v="36"/>
    </i>
    <i r="1">
      <x v="40"/>
    </i>
    <i r="1">
      <x v="90"/>
    </i>
    <i>
      <x v="97"/>
    </i>
    <i r="1">
      <x v="14"/>
    </i>
    <i>
      <x v="98"/>
    </i>
    <i r="1">
      <x v="10"/>
    </i>
    <i r="1">
      <x v="25"/>
    </i>
    <i r="1">
      <x v="64"/>
    </i>
    <i r="1">
      <x v="95"/>
    </i>
    <i>
      <x v="99"/>
    </i>
    <i r="1">
      <x v="24"/>
    </i>
    <i r="1">
      <x v="43"/>
    </i>
    <i r="1">
      <x v="48"/>
    </i>
    <i r="1">
      <x v="64"/>
    </i>
    <i>
      <x v="100"/>
    </i>
    <i r="1">
      <x v="38"/>
    </i>
    <i r="1">
      <x v="39"/>
    </i>
    <i r="1">
      <x v="41"/>
    </i>
    <i r="1">
      <x v="56"/>
    </i>
    <i>
      <x v="101"/>
    </i>
    <i r="1">
      <x v="91"/>
    </i>
    <i>
      <x v="102"/>
    </i>
    <i r="1">
      <x v="74"/>
    </i>
    <i>
      <x v="103"/>
    </i>
    <i r="1">
      <x v="1"/>
    </i>
    <i r="1">
      <x v="19"/>
    </i>
    <i>
      <x v="104"/>
    </i>
    <i r="1">
      <x v="99"/>
    </i>
    <i t="grand">
      <x/>
    </i>
  </rowItems>
  <colItems count="1">
    <i/>
  </colItems>
  <dataFields count="1">
    <dataField name="Count of Updated_StxD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9T14:36:48.29" personId="{335A0075-2EEF-44FA-B06D-B347B77DC1C4}" id="{D73F90CA-9C6A-4E51-934C-2B35AD99DF70}">
    <text>sequence submitted to ncbi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1-09T14:36:48.29" personId="{335A0075-2EEF-44FA-B06D-B347B77DC1C4}" id="{9F46D1E8-959A-442B-BB77-214C5DA629F1}">
    <text>sequence submitted to ncbi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trace.ncbi.nlm.nih.gov/Traces?run=SRR6154931" TargetMode="External"/><Relationship Id="rId2" Type="http://schemas.openxmlformats.org/officeDocument/2006/relationships/hyperlink" Target="https://trace.ncbi.nlm.nih.gov/Traces?run=SRR1783851" TargetMode="External"/><Relationship Id="rId1" Type="http://schemas.openxmlformats.org/officeDocument/2006/relationships/hyperlink" Target="https://trace.ncbi.nlm.nih.gov/Traces?run=SRR6154928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7603-3603-4979-9488-A0158D1F1871}">
  <dimension ref="A1:AJ271"/>
  <sheetViews>
    <sheetView workbookViewId="0">
      <selection activeCell="R39" sqref="R39"/>
    </sheetView>
  </sheetViews>
  <sheetFormatPr baseColWidth="10" defaultColWidth="8.83203125" defaultRowHeight="15" x14ac:dyDescent="0.2"/>
  <sheetData>
    <row r="1" spans="1:36" x14ac:dyDescent="0.2">
      <c r="A1" s="17" t="s">
        <v>7173</v>
      </c>
      <c r="B1" s="17" t="s">
        <v>7173</v>
      </c>
      <c r="C1" s="17" t="s">
        <v>7167</v>
      </c>
      <c r="D1" s="17" t="s">
        <v>7170</v>
      </c>
      <c r="E1" s="17" t="s">
        <v>7172</v>
      </c>
      <c r="F1" s="17" t="s">
        <v>60</v>
      </c>
      <c r="G1" s="17" t="s">
        <v>7165</v>
      </c>
      <c r="H1" s="17" t="s">
        <v>7169</v>
      </c>
      <c r="I1" s="17" t="s">
        <v>7162</v>
      </c>
      <c r="J1" s="17" t="s">
        <v>7168</v>
      </c>
      <c r="K1" s="17" t="s">
        <v>7174</v>
      </c>
      <c r="L1" s="17" t="s">
        <v>7175</v>
      </c>
      <c r="M1" s="17"/>
      <c r="Q1" s="16" t="s">
        <v>7167</v>
      </c>
      <c r="R1" s="16" t="s">
        <v>7170</v>
      </c>
      <c r="S1" s="16" t="s">
        <v>7172</v>
      </c>
      <c r="T1" s="16" t="s">
        <v>60</v>
      </c>
      <c r="U1" s="16" t="s">
        <v>7165</v>
      </c>
      <c r="V1" s="16" t="s">
        <v>7169</v>
      </c>
      <c r="W1" s="16" t="s">
        <v>7162</v>
      </c>
      <c r="X1" s="16" t="s">
        <v>7168</v>
      </c>
      <c r="Y1" s="16"/>
      <c r="AA1" s="17" t="s">
        <v>7173</v>
      </c>
      <c r="AB1" s="17" t="s">
        <v>7167</v>
      </c>
      <c r="AC1" s="17" t="s">
        <v>60</v>
      </c>
      <c r="AD1" s="17" t="s">
        <v>7172</v>
      </c>
      <c r="AE1" s="17" t="s">
        <v>7165</v>
      </c>
      <c r="AF1" s="17" t="s">
        <v>7169</v>
      </c>
      <c r="AG1" s="17" t="s">
        <v>7162</v>
      </c>
      <c r="AH1" s="17" t="s">
        <v>7168</v>
      </c>
      <c r="AI1" s="17"/>
      <c r="AJ1" s="17"/>
    </row>
    <row r="2" spans="1:36" x14ac:dyDescent="0.2">
      <c r="A2" s="16" t="s">
        <v>7068</v>
      </c>
      <c r="B2" s="16" t="s">
        <v>7068</v>
      </c>
      <c r="I2">
        <v>3</v>
      </c>
      <c r="L2">
        <v>3</v>
      </c>
      <c r="M2" s="21"/>
      <c r="P2" t="s">
        <v>250</v>
      </c>
      <c r="Q2">
        <f t="shared" ref="Q2:X2" si="0">SUMIF($B$2:$B$44,CONCATENATE("*",$P$2,"*"),C2:C44)</f>
        <v>8</v>
      </c>
      <c r="R2">
        <f t="shared" si="0"/>
        <v>3</v>
      </c>
      <c r="S2">
        <f t="shared" si="0"/>
        <v>8</v>
      </c>
      <c r="T2">
        <f t="shared" si="0"/>
        <v>5</v>
      </c>
      <c r="U2">
        <f t="shared" si="0"/>
        <v>102</v>
      </c>
      <c r="V2">
        <f t="shared" si="0"/>
        <v>4</v>
      </c>
      <c r="W2">
        <f t="shared" si="0"/>
        <v>28</v>
      </c>
      <c r="X2">
        <f t="shared" si="0"/>
        <v>2</v>
      </c>
      <c r="AA2" s="16" t="s">
        <v>7068</v>
      </c>
      <c r="AG2">
        <v>3</v>
      </c>
    </row>
    <row r="3" spans="1:36" x14ac:dyDescent="0.2">
      <c r="A3" s="16" t="s">
        <v>6988</v>
      </c>
      <c r="B3" s="16" t="s">
        <v>6988</v>
      </c>
      <c r="I3">
        <v>1</v>
      </c>
      <c r="L3">
        <v>1</v>
      </c>
      <c r="P3" t="s">
        <v>64</v>
      </c>
      <c r="Q3">
        <f t="shared" ref="Q3:X3" si="1">SUMIF($B$2:$B$44,CONCATENATE("*",$P$3,"*"),C2:C44)</f>
        <v>10</v>
      </c>
      <c r="R3">
        <f t="shared" si="1"/>
        <v>2</v>
      </c>
      <c r="S3">
        <f t="shared" si="1"/>
        <v>0</v>
      </c>
      <c r="T3">
        <f t="shared" si="1"/>
        <v>23</v>
      </c>
      <c r="U3">
        <f t="shared" si="1"/>
        <v>76</v>
      </c>
      <c r="V3">
        <f t="shared" si="1"/>
        <v>14</v>
      </c>
      <c r="W3">
        <f t="shared" si="1"/>
        <v>25</v>
      </c>
      <c r="X3">
        <f t="shared" si="1"/>
        <v>4</v>
      </c>
      <c r="AA3" s="16" t="s">
        <v>6988</v>
      </c>
      <c r="AG3">
        <v>1</v>
      </c>
    </row>
    <row r="4" spans="1:36" x14ac:dyDescent="0.2">
      <c r="A4" s="16" t="s">
        <v>169</v>
      </c>
      <c r="B4" s="16" t="s">
        <v>169</v>
      </c>
      <c r="G4">
        <v>1</v>
      </c>
      <c r="I4">
        <v>5</v>
      </c>
      <c r="L4">
        <v>8</v>
      </c>
      <c r="P4" t="s">
        <v>313</v>
      </c>
      <c r="Q4">
        <f t="shared" ref="Q4:X4" si="2">SUMIF($B$2:$B$44,CONCATENATE("*",$P$4,"*"),C2:C44)</f>
        <v>3</v>
      </c>
      <c r="R4">
        <f t="shared" si="2"/>
        <v>0</v>
      </c>
      <c r="S4">
        <f t="shared" si="2"/>
        <v>0</v>
      </c>
      <c r="T4">
        <f t="shared" si="2"/>
        <v>0</v>
      </c>
      <c r="U4">
        <f t="shared" si="2"/>
        <v>16</v>
      </c>
      <c r="V4">
        <f t="shared" si="2"/>
        <v>0</v>
      </c>
      <c r="W4">
        <f t="shared" si="2"/>
        <v>9</v>
      </c>
      <c r="X4">
        <f t="shared" si="2"/>
        <v>0</v>
      </c>
      <c r="AA4" s="16" t="s">
        <v>169</v>
      </c>
      <c r="AE4">
        <v>1</v>
      </c>
      <c r="AG4">
        <v>7</v>
      </c>
    </row>
    <row r="5" spans="1:36" x14ac:dyDescent="0.2">
      <c r="A5" s="16" t="s">
        <v>6946</v>
      </c>
      <c r="B5" s="16" t="s">
        <v>7184</v>
      </c>
      <c r="I5">
        <v>11</v>
      </c>
      <c r="L5">
        <v>11</v>
      </c>
      <c r="M5" s="21"/>
      <c r="P5" t="s">
        <v>270</v>
      </c>
      <c r="Q5">
        <f t="shared" ref="Q5:X5" si="3">SUMIF($B$2:$B$44,CONCATENATE("*",$P$5,"*"),C2:C44)</f>
        <v>0</v>
      </c>
      <c r="R5">
        <f t="shared" si="3"/>
        <v>7</v>
      </c>
      <c r="S5">
        <f t="shared" si="3"/>
        <v>0</v>
      </c>
      <c r="T5">
        <f t="shared" si="3"/>
        <v>1</v>
      </c>
      <c r="U5">
        <f t="shared" si="3"/>
        <v>40</v>
      </c>
      <c r="V5">
        <f t="shared" si="3"/>
        <v>3</v>
      </c>
      <c r="W5">
        <f t="shared" si="3"/>
        <v>6</v>
      </c>
      <c r="X5">
        <f t="shared" si="3"/>
        <v>0</v>
      </c>
      <c r="AA5" s="16" t="s">
        <v>6946</v>
      </c>
      <c r="AG5">
        <v>11</v>
      </c>
    </row>
    <row r="6" spans="1:36" x14ac:dyDescent="0.2">
      <c r="A6" s="16" t="s">
        <v>7093</v>
      </c>
      <c r="B6" s="16" t="s">
        <v>7188</v>
      </c>
      <c r="I6">
        <v>1</v>
      </c>
      <c r="L6">
        <v>1</v>
      </c>
      <c r="P6" t="s">
        <v>167</v>
      </c>
      <c r="Q6">
        <f t="shared" ref="Q6:X6" si="4">SUMIF($B$2:$B$44,CONCATENATE("*",$P$6,"*"),C2:C44)</f>
        <v>0</v>
      </c>
      <c r="R6">
        <f t="shared" si="4"/>
        <v>0</v>
      </c>
      <c r="S6">
        <f t="shared" si="4"/>
        <v>28</v>
      </c>
      <c r="T6">
        <f t="shared" si="4"/>
        <v>1</v>
      </c>
      <c r="U6">
        <f t="shared" si="4"/>
        <v>42</v>
      </c>
      <c r="V6">
        <f t="shared" si="4"/>
        <v>0</v>
      </c>
      <c r="W6">
        <f t="shared" si="4"/>
        <v>7</v>
      </c>
      <c r="X6">
        <f t="shared" si="4"/>
        <v>0</v>
      </c>
      <c r="AA6" s="16" t="s">
        <v>7093</v>
      </c>
      <c r="AG6">
        <v>1</v>
      </c>
    </row>
    <row r="7" spans="1:36" x14ac:dyDescent="0.2">
      <c r="A7" s="16" t="s">
        <v>6984</v>
      </c>
      <c r="B7" s="16" t="s">
        <v>7186</v>
      </c>
      <c r="I7">
        <v>4</v>
      </c>
      <c r="L7">
        <v>4</v>
      </c>
      <c r="M7" s="21"/>
      <c r="P7" t="s">
        <v>3649</v>
      </c>
      <c r="Q7">
        <f t="shared" ref="Q7:X7" si="5">SUMIF($B$2:$B$44,CONCATENATE("*",$P$7,"*"),C2:C44)</f>
        <v>0</v>
      </c>
      <c r="R7">
        <f t="shared" si="5"/>
        <v>0</v>
      </c>
      <c r="S7">
        <f t="shared" si="5"/>
        <v>23</v>
      </c>
      <c r="T7">
        <f t="shared" si="5"/>
        <v>0</v>
      </c>
      <c r="U7">
        <f t="shared" si="5"/>
        <v>61</v>
      </c>
      <c r="V7">
        <f t="shared" si="5"/>
        <v>0</v>
      </c>
      <c r="W7">
        <f t="shared" si="5"/>
        <v>10</v>
      </c>
      <c r="X7">
        <f t="shared" si="5"/>
        <v>0</v>
      </c>
      <c r="AA7" s="16" t="s">
        <v>6984</v>
      </c>
      <c r="AG7">
        <v>4</v>
      </c>
    </row>
    <row r="8" spans="1:36" x14ac:dyDescent="0.2">
      <c r="A8" s="16" t="s">
        <v>6974</v>
      </c>
      <c r="B8" s="16" t="s">
        <v>7190</v>
      </c>
      <c r="I8">
        <v>1</v>
      </c>
      <c r="L8">
        <v>1</v>
      </c>
      <c r="P8" t="s">
        <v>7183</v>
      </c>
      <c r="Q8">
        <f t="shared" ref="Q8:X8" si="6">SUMIF($B$2:$B$44,CONCATENATE("*",$P$8,"*"),C2:C44)</f>
        <v>0</v>
      </c>
      <c r="R8">
        <f t="shared" si="6"/>
        <v>0</v>
      </c>
      <c r="S8">
        <f t="shared" si="6"/>
        <v>0</v>
      </c>
      <c r="T8">
        <f t="shared" si="6"/>
        <v>0</v>
      </c>
      <c r="U8">
        <f t="shared" si="6"/>
        <v>1</v>
      </c>
      <c r="V8">
        <f t="shared" si="6"/>
        <v>0</v>
      </c>
      <c r="W8">
        <f t="shared" si="6"/>
        <v>0</v>
      </c>
      <c r="X8">
        <f t="shared" si="6"/>
        <v>0</v>
      </c>
      <c r="AA8" s="16" t="s">
        <v>6974</v>
      </c>
      <c r="AG8">
        <v>1</v>
      </c>
    </row>
    <row r="9" spans="1:36" x14ac:dyDescent="0.2">
      <c r="A9" s="16" t="s">
        <v>7080</v>
      </c>
      <c r="B9" s="16" t="s">
        <v>4328</v>
      </c>
      <c r="I9">
        <v>1</v>
      </c>
      <c r="L9">
        <v>1</v>
      </c>
      <c r="P9" s="18" t="s">
        <v>4318</v>
      </c>
      <c r="Q9">
        <f t="shared" ref="Q9:X9" si="7">SUMIF($B$2:$B$44,CONCATENATE("*",$P$9,"*"),C2:C44)</f>
        <v>0</v>
      </c>
      <c r="R9">
        <f t="shared" si="7"/>
        <v>0</v>
      </c>
      <c r="S9">
        <f t="shared" si="7"/>
        <v>1</v>
      </c>
      <c r="T9">
        <f t="shared" si="7"/>
        <v>0</v>
      </c>
      <c r="U9">
        <f t="shared" si="7"/>
        <v>7</v>
      </c>
      <c r="V9">
        <f t="shared" si="7"/>
        <v>0</v>
      </c>
      <c r="W9">
        <f t="shared" si="7"/>
        <v>3</v>
      </c>
      <c r="X9">
        <f t="shared" si="7"/>
        <v>0</v>
      </c>
      <c r="AA9" s="16" t="s">
        <v>7080</v>
      </c>
      <c r="AG9">
        <v>1</v>
      </c>
    </row>
    <row r="10" spans="1:36" x14ac:dyDescent="0.2">
      <c r="A10" s="16" t="s">
        <v>7060</v>
      </c>
      <c r="B10" s="16" t="s">
        <v>7185</v>
      </c>
      <c r="I10">
        <v>1</v>
      </c>
      <c r="L10">
        <v>1</v>
      </c>
      <c r="M10" s="21"/>
      <c r="P10" s="18" t="s">
        <v>3476</v>
      </c>
      <c r="Q10">
        <f t="shared" ref="Q10:X10" si="8">SUMIF($B$2:$B$44,CONCATENATE("*",$P$10,"*"),C2:C44)</f>
        <v>0</v>
      </c>
      <c r="R10">
        <f t="shared" si="8"/>
        <v>0</v>
      </c>
      <c r="S10">
        <f t="shared" si="8"/>
        <v>0</v>
      </c>
      <c r="T10">
        <f t="shared" si="8"/>
        <v>0</v>
      </c>
      <c r="U10">
        <f t="shared" si="8"/>
        <v>2</v>
      </c>
      <c r="V10">
        <f t="shared" si="8"/>
        <v>0</v>
      </c>
      <c r="W10">
        <f t="shared" si="8"/>
        <v>2</v>
      </c>
      <c r="X10">
        <f t="shared" si="8"/>
        <v>0</v>
      </c>
      <c r="AA10" s="16" t="s">
        <v>7060</v>
      </c>
      <c r="AG10">
        <v>1</v>
      </c>
    </row>
    <row r="11" spans="1:36" x14ac:dyDescent="0.2">
      <c r="A11" s="16" t="s">
        <v>7025</v>
      </c>
      <c r="B11" s="16" t="s">
        <v>7189</v>
      </c>
      <c r="I11">
        <v>2</v>
      </c>
      <c r="L11">
        <v>2</v>
      </c>
      <c r="P11" s="18" t="s">
        <v>355</v>
      </c>
      <c r="Q11">
        <f t="shared" ref="Q11:X11" si="9">SUMIF($B$2:$B$44,CONCATENATE("*",$P$11,"*"),C2:C44)</f>
        <v>0</v>
      </c>
      <c r="R11">
        <f t="shared" si="9"/>
        <v>0</v>
      </c>
      <c r="S11" s="24">
        <f t="shared" si="9"/>
        <v>12</v>
      </c>
      <c r="T11">
        <f t="shared" si="9"/>
        <v>0</v>
      </c>
      <c r="U11">
        <f t="shared" si="9"/>
        <v>0</v>
      </c>
      <c r="V11">
        <f t="shared" si="9"/>
        <v>0</v>
      </c>
      <c r="W11">
        <f t="shared" si="9"/>
        <v>0</v>
      </c>
      <c r="X11">
        <f t="shared" si="9"/>
        <v>0</v>
      </c>
      <c r="AA11" s="16" t="s">
        <v>7025</v>
      </c>
      <c r="AG11">
        <v>2</v>
      </c>
    </row>
    <row r="12" spans="1:36" x14ac:dyDescent="0.2">
      <c r="A12" s="16" t="s">
        <v>7086</v>
      </c>
      <c r="B12" s="16" t="s">
        <v>7187</v>
      </c>
      <c r="I12">
        <v>1</v>
      </c>
      <c r="L12">
        <v>1</v>
      </c>
      <c r="M12" s="21"/>
      <c r="P12" s="18" t="s">
        <v>4328</v>
      </c>
      <c r="Q12">
        <f t="shared" ref="Q12:X12" si="10">SUMIF($B$2:$B$44,CONCATENATE("*",$P$12,"*"),C2:C44)</f>
        <v>0</v>
      </c>
      <c r="R12">
        <f t="shared" si="10"/>
        <v>0</v>
      </c>
      <c r="S12">
        <f t="shared" si="10"/>
        <v>0</v>
      </c>
      <c r="T12">
        <f t="shared" si="10"/>
        <v>0</v>
      </c>
      <c r="U12">
        <f t="shared" si="10"/>
        <v>0</v>
      </c>
      <c r="V12">
        <f t="shared" si="10"/>
        <v>1</v>
      </c>
      <c r="W12">
        <f t="shared" si="10"/>
        <v>5</v>
      </c>
      <c r="X12">
        <f t="shared" si="10"/>
        <v>0</v>
      </c>
      <c r="AA12" s="16" t="s">
        <v>7086</v>
      </c>
      <c r="AG12">
        <v>1</v>
      </c>
    </row>
    <row r="13" spans="1:36" x14ac:dyDescent="0.2">
      <c r="A13" s="16" t="s">
        <v>6980</v>
      </c>
      <c r="B13" s="16" t="s">
        <v>7191</v>
      </c>
      <c r="I13">
        <v>1</v>
      </c>
      <c r="L13">
        <v>1</v>
      </c>
      <c r="P13" s="18" t="s">
        <v>4226</v>
      </c>
      <c r="Q13">
        <f t="shared" ref="Q13:X13" si="11">SUMIF($B$2:$B$44,CONCATENATE("*",$P$13,"*"),C2:C44)</f>
        <v>0</v>
      </c>
      <c r="R13">
        <f t="shared" si="11"/>
        <v>0</v>
      </c>
      <c r="S13">
        <f t="shared" si="11"/>
        <v>0</v>
      </c>
      <c r="T13">
        <f t="shared" si="11"/>
        <v>0</v>
      </c>
      <c r="U13">
        <f t="shared" si="11"/>
        <v>0</v>
      </c>
      <c r="V13">
        <f t="shared" si="11"/>
        <v>0</v>
      </c>
      <c r="W13">
        <f t="shared" si="11"/>
        <v>5</v>
      </c>
      <c r="X13">
        <f t="shared" si="11"/>
        <v>0</v>
      </c>
      <c r="AA13" s="16" t="s">
        <v>6980</v>
      </c>
      <c r="AG13">
        <v>1</v>
      </c>
    </row>
    <row r="14" spans="1:36" x14ac:dyDescent="0.2">
      <c r="A14" s="16" t="s">
        <v>7103</v>
      </c>
      <c r="B14" s="16" t="s">
        <v>7192</v>
      </c>
      <c r="J14">
        <v>1</v>
      </c>
      <c r="L14">
        <v>1</v>
      </c>
      <c r="M14" s="21"/>
      <c r="AA14" s="16" t="s">
        <v>7103</v>
      </c>
      <c r="AH14">
        <v>1</v>
      </c>
    </row>
    <row r="15" spans="1:36" x14ac:dyDescent="0.2">
      <c r="A15" s="16" t="s">
        <v>250</v>
      </c>
      <c r="B15" s="16" t="s">
        <v>250</v>
      </c>
      <c r="F15">
        <v>4</v>
      </c>
      <c r="G15">
        <v>37</v>
      </c>
      <c r="I15">
        <v>8</v>
      </c>
      <c r="L15">
        <v>51</v>
      </c>
      <c r="AA15" s="16" t="s">
        <v>250</v>
      </c>
      <c r="AC15">
        <v>5</v>
      </c>
      <c r="AE15">
        <v>37</v>
      </c>
      <c r="AG15">
        <v>9</v>
      </c>
    </row>
    <row r="16" spans="1:36" x14ac:dyDescent="0.2">
      <c r="A16" s="16" t="s">
        <v>6797</v>
      </c>
      <c r="B16" s="16" t="s">
        <v>6797</v>
      </c>
      <c r="G16">
        <v>1</v>
      </c>
      <c r="L16">
        <v>1</v>
      </c>
      <c r="M16" s="21"/>
      <c r="AA16" s="16" t="s">
        <v>6797</v>
      </c>
      <c r="AE16">
        <v>1</v>
      </c>
    </row>
    <row r="17" spans="1:34" x14ac:dyDescent="0.2">
      <c r="A17" s="16" t="s">
        <v>4260</v>
      </c>
      <c r="B17" s="16" t="s">
        <v>4260</v>
      </c>
      <c r="G17">
        <v>1</v>
      </c>
      <c r="L17">
        <v>1</v>
      </c>
      <c r="AA17" s="16" t="s">
        <v>4260</v>
      </c>
      <c r="AE17">
        <v>1</v>
      </c>
    </row>
    <row r="18" spans="1:34" x14ac:dyDescent="0.2">
      <c r="A18" s="16" t="s">
        <v>3091</v>
      </c>
      <c r="B18" s="16" t="s">
        <v>3091</v>
      </c>
      <c r="G18">
        <v>1</v>
      </c>
      <c r="L18">
        <v>1</v>
      </c>
      <c r="M18" s="21"/>
      <c r="AA18" s="16" t="s">
        <v>3091</v>
      </c>
      <c r="AE18">
        <v>1</v>
      </c>
    </row>
    <row r="19" spans="1:34" x14ac:dyDescent="0.2">
      <c r="A19" s="16" t="s">
        <v>127</v>
      </c>
      <c r="B19" s="16" t="s">
        <v>127</v>
      </c>
      <c r="C19">
        <v>8</v>
      </c>
      <c r="D19">
        <v>2</v>
      </c>
      <c r="F19">
        <v>1</v>
      </c>
      <c r="G19">
        <v>40</v>
      </c>
      <c r="H19">
        <v>4</v>
      </c>
      <c r="I19">
        <v>3</v>
      </c>
      <c r="J19">
        <v>2</v>
      </c>
      <c r="L19">
        <v>115</v>
      </c>
      <c r="AA19" s="16" t="s">
        <v>127</v>
      </c>
      <c r="AC19">
        <v>9</v>
      </c>
      <c r="AE19">
        <v>40</v>
      </c>
      <c r="AF19">
        <v>14</v>
      </c>
      <c r="AG19">
        <v>50</v>
      </c>
      <c r="AH19">
        <v>2</v>
      </c>
    </row>
    <row r="20" spans="1:34" x14ac:dyDescent="0.2">
      <c r="A20" s="16" t="s">
        <v>7124</v>
      </c>
      <c r="B20" s="16" t="s">
        <v>7124</v>
      </c>
      <c r="G20">
        <v>1</v>
      </c>
      <c r="L20">
        <v>1</v>
      </c>
      <c r="M20" s="21"/>
      <c r="AA20" s="16" t="s">
        <v>7124</v>
      </c>
      <c r="AE20">
        <v>1</v>
      </c>
    </row>
    <row r="21" spans="1:34" x14ac:dyDescent="0.2">
      <c r="A21" s="16" t="s">
        <v>185</v>
      </c>
      <c r="B21" s="16" t="s">
        <v>185</v>
      </c>
      <c r="E21">
        <v>8</v>
      </c>
      <c r="G21">
        <v>17</v>
      </c>
      <c r="L21">
        <v>26</v>
      </c>
      <c r="AA21" s="16" t="s">
        <v>185</v>
      </c>
      <c r="AD21">
        <v>8</v>
      </c>
      <c r="AE21">
        <v>17</v>
      </c>
      <c r="AG21">
        <v>1</v>
      </c>
    </row>
    <row r="22" spans="1:34" x14ac:dyDescent="0.2">
      <c r="A22" s="16" t="s">
        <v>820</v>
      </c>
      <c r="B22" s="16" t="s">
        <v>820</v>
      </c>
      <c r="D22">
        <v>1</v>
      </c>
      <c r="G22">
        <v>2</v>
      </c>
      <c r="L22">
        <v>13</v>
      </c>
      <c r="AA22" s="16" t="s">
        <v>820</v>
      </c>
      <c r="AC22">
        <v>1</v>
      </c>
      <c r="AE22">
        <v>2</v>
      </c>
      <c r="AG22">
        <v>10</v>
      </c>
    </row>
    <row r="23" spans="1:34" x14ac:dyDescent="0.2">
      <c r="A23" s="16" t="s">
        <v>3263</v>
      </c>
      <c r="B23" s="16" t="s">
        <v>3263</v>
      </c>
      <c r="G23">
        <v>2</v>
      </c>
      <c r="L23">
        <v>2</v>
      </c>
      <c r="M23" s="21"/>
      <c r="AA23" s="16" t="s">
        <v>3263</v>
      </c>
      <c r="AE23">
        <v>2</v>
      </c>
    </row>
    <row r="24" spans="1:34" x14ac:dyDescent="0.2">
      <c r="A24" s="16" t="s">
        <v>167</v>
      </c>
      <c r="B24" s="16" t="s">
        <v>167</v>
      </c>
      <c r="E24">
        <v>13</v>
      </c>
      <c r="F24">
        <v>1</v>
      </c>
      <c r="G24">
        <v>15</v>
      </c>
      <c r="I24">
        <v>2</v>
      </c>
      <c r="L24">
        <v>38</v>
      </c>
      <c r="AA24" s="16" t="s">
        <v>167</v>
      </c>
      <c r="AB24">
        <v>2</v>
      </c>
      <c r="AD24">
        <v>13</v>
      </c>
      <c r="AE24">
        <v>15</v>
      </c>
      <c r="AG24">
        <v>8</v>
      </c>
    </row>
    <row r="25" spans="1:34" x14ac:dyDescent="0.2">
      <c r="A25" s="16" t="s">
        <v>3492</v>
      </c>
      <c r="B25" s="16" t="s">
        <v>3492</v>
      </c>
      <c r="G25">
        <v>2</v>
      </c>
      <c r="L25">
        <v>2</v>
      </c>
      <c r="M25" s="21"/>
      <c r="AA25" s="16" t="s">
        <v>3492</v>
      </c>
      <c r="AE25">
        <v>2</v>
      </c>
    </row>
    <row r="26" spans="1:34" x14ac:dyDescent="0.2">
      <c r="A26" s="16" t="s">
        <v>4339</v>
      </c>
      <c r="B26" s="16" t="s">
        <v>4339</v>
      </c>
      <c r="I26">
        <v>1</v>
      </c>
      <c r="L26">
        <v>1</v>
      </c>
      <c r="AA26" s="16" t="s">
        <v>4339</v>
      </c>
      <c r="AG26">
        <v>1</v>
      </c>
    </row>
    <row r="27" spans="1:34" x14ac:dyDescent="0.2">
      <c r="A27" s="16" t="s">
        <v>3350</v>
      </c>
      <c r="B27" s="16" t="s">
        <v>3350</v>
      </c>
      <c r="G27">
        <v>1</v>
      </c>
      <c r="L27">
        <v>1</v>
      </c>
      <c r="AA27" s="16" t="s">
        <v>3350</v>
      </c>
      <c r="AE27">
        <v>1</v>
      </c>
    </row>
    <row r="28" spans="1:34" x14ac:dyDescent="0.2">
      <c r="A28" s="16" t="s">
        <v>434</v>
      </c>
      <c r="B28" s="16" t="s">
        <v>434</v>
      </c>
      <c r="E28">
        <v>15</v>
      </c>
      <c r="G28">
        <v>23</v>
      </c>
      <c r="I28">
        <v>4</v>
      </c>
      <c r="L28">
        <v>46</v>
      </c>
      <c r="AA28" s="16" t="s">
        <v>434</v>
      </c>
      <c r="AD28">
        <v>15</v>
      </c>
      <c r="AE28">
        <v>23</v>
      </c>
      <c r="AG28">
        <v>8</v>
      </c>
    </row>
    <row r="29" spans="1:34" x14ac:dyDescent="0.2">
      <c r="A29" s="16" t="s">
        <v>4328</v>
      </c>
      <c r="B29" s="16" t="s">
        <v>4328</v>
      </c>
      <c r="H29">
        <v>1</v>
      </c>
      <c r="I29">
        <v>4</v>
      </c>
      <c r="L29">
        <v>5</v>
      </c>
      <c r="M29" s="21"/>
      <c r="AA29" s="16" t="s">
        <v>4328</v>
      </c>
      <c r="AF29">
        <v>1</v>
      </c>
      <c r="AG29">
        <v>4</v>
      </c>
    </row>
    <row r="30" spans="1:34" x14ac:dyDescent="0.2">
      <c r="A30" s="16" t="s">
        <v>64</v>
      </c>
      <c r="B30" s="16" t="s">
        <v>64</v>
      </c>
      <c r="C30">
        <v>2</v>
      </c>
      <c r="F30">
        <v>22</v>
      </c>
      <c r="G30">
        <v>33</v>
      </c>
      <c r="H30">
        <v>10</v>
      </c>
      <c r="I30">
        <v>11</v>
      </c>
      <c r="J30">
        <v>2</v>
      </c>
      <c r="L30">
        <v>86</v>
      </c>
      <c r="AA30" s="16" t="s">
        <v>64</v>
      </c>
      <c r="AB30">
        <v>2</v>
      </c>
      <c r="AC30">
        <v>19</v>
      </c>
      <c r="AE30">
        <v>33</v>
      </c>
      <c r="AF30">
        <v>9</v>
      </c>
      <c r="AG30">
        <v>19</v>
      </c>
      <c r="AH30">
        <v>4</v>
      </c>
    </row>
    <row r="31" spans="1:34" x14ac:dyDescent="0.2">
      <c r="A31" s="16" t="s">
        <v>4853</v>
      </c>
      <c r="B31" s="16" t="s">
        <v>4853</v>
      </c>
      <c r="I31">
        <v>1</v>
      </c>
      <c r="L31">
        <v>1</v>
      </c>
      <c r="AA31" s="16" t="s">
        <v>4853</v>
      </c>
      <c r="AG31">
        <v>1</v>
      </c>
    </row>
    <row r="32" spans="1:34" x14ac:dyDescent="0.2">
      <c r="A32" s="16" t="s">
        <v>3432</v>
      </c>
      <c r="B32" s="16" t="s">
        <v>3432</v>
      </c>
      <c r="G32">
        <v>1</v>
      </c>
      <c r="L32">
        <v>1</v>
      </c>
      <c r="AA32" s="16" t="s">
        <v>3432</v>
      </c>
      <c r="AE32">
        <v>1</v>
      </c>
    </row>
    <row r="33" spans="1:36" x14ac:dyDescent="0.2">
      <c r="A33" s="16" t="s">
        <v>3649</v>
      </c>
      <c r="B33" s="16" t="s">
        <v>3649</v>
      </c>
      <c r="G33">
        <v>12</v>
      </c>
      <c r="I33">
        <v>5</v>
      </c>
      <c r="L33">
        <v>17</v>
      </c>
      <c r="M33" s="21"/>
      <c r="AA33" s="16" t="s">
        <v>3649</v>
      </c>
      <c r="AE33">
        <v>12</v>
      </c>
      <c r="AG33">
        <v>5</v>
      </c>
    </row>
    <row r="34" spans="1:36" x14ac:dyDescent="0.2">
      <c r="A34" s="16" t="s">
        <v>4185</v>
      </c>
      <c r="B34" s="16" t="s">
        <v>4185</v>
      </c>
      <c r="G34">
        <v>2</v>
      </c>
      <c r="L34">
        <v>2</v>
      </c>
      <c r="AA34" s="16" t="s">
        <v>4185</v>
      </c>
      <c r="AE34">
        <v>2</v>
      </c>
    </row>
    <row r="35" spans="1:36" x14ac:dyDescent="0.2">
      <c r="A35" s="16" t="s">
        <v>4308</v>
      </c>
      <c r="B35" s="16" t="s">
        <v>4308</v>
      </c>
      <c r="I35">
        <v>1</v>
      </c>
      <c r="L35">
        <v>1</v>
      </c>
      <c r="M35" s="21"/>
      <c r="AA35" s="16" t="s">
        <v>4308</v>
      </c>
      <c r="AG35">
        <v>1</v>
      </c>
    </row>
    <row r="36" spans="1:36" x14ac:dyDescent="0.2">
      <c r="A36" s="16" t="s">
        <v>5582</v>
      </c>
      <c r="B36" s="16" t="s">
        <v>5582</v>
      </c>
      <c r="G36">
        <v>2</v>
      </c>
      <c r="L36">
        <v>2</v>
      </c>
      <c r="AA36" s="16" t="s">
        <v>5582</v>
      </c>
      <c r="AE36">
        <v>2</v>
      </c>
    </row>
    <row r="37" spans="1:36" x14ac:dyDescent="0.2">
      <c r="A37" s="16" t="s">
        <v>270</v>
      </c>
      <c r="B37" s="16" t="s">
        <v>270</v>
      </c>
      <c r="D37">
        <v>6</v>
      </c>
      <c r="F37">
        <v>1</v>
      </c>
      <c r="G37">
        <v>35</v>
      </c>
      <c r="H37">
        <v>3</v>
      </c>
      <c r="I37">
        <v>2</v>
      </c>
      <c r="L37">
        <v>50</v>
      </c>
      <c r="M37" s="21"/>
      <c r="AA37" s="16" t="s">
        <v>270</v>
      </c>
      <c r="AC37">
        <v>5</v>
      </c>
      <c r="AE37">
        <v>35</v>
      </c>
      <c r="AF37">
        <v>4</v>
      </c>
      <c r="AG37">
        <v>6</v>
      </c>
    </row>
    <row r="38" spans="1:36" x14ac:dyDescent="0.2">
      <c r="A38" s="16" t="s">
        <v>313</v>
      </c>
      <c r="B38" s="16" t="s">
        <v>313</v>
      </c>
      <c r="C38">
        <v>3</v>
      </c>
      <c r="G38">
        <v>12</v>
      </c>
      <c r="I38">
        <v>7</v>
      </c>
      <c r="L38">
        <v>20</v>
      </c>
      <c r="AA38" s="16" t="s">
        <v>313</v>
      </c>
      <c r="AE38">
        <v>12</v>
      </c>
      <c r="AG38">
        <v>8</v>
      </c>
    </row>
    <row r="39" spans="1:36" x14ac:dyDescent="0.2">
      <c r="A39" s="16" t="s">
        <v>4318</v>
      </c>
      <c r="B39" s="16" t="s">
        <v>4318</v>
      </c>
      <c r="E39">
        <v>1</v>
      </c>
      <c r="G39">
        <v>7</v>
      </c>
      <c r="I39">
        <v>3</v>
      </c>
      <c r="L39">
        <v>11</v>
      </c>
      <c r="AA39" s="16" t="s">
        <v>4318</v>
      </c>
      <c r="AD39">
        <v>1</v>
      </c>
      <c r="AE39">
        <v>7</v>
      </c>
      <c r="AG39">
        <v>3</v>
      </c>
    </row>
    <row r="40" spans="1:36" x14ac:dyDescent="0.2">
      <c r="A40" s="16" t="s">
        <v>4226</v>
      </c>
      <c r="B40" s="16" t="s">
        <v>4226</v>
      </c>
      <c r="I40">
        <v>5</v>
      </c>
      <c r="L40">
        <v>5</v>
      </c>
      <c r="M40" s="21"/>
      <c r="AA40" s="16" t="s">
        <v>4226</v>
      </c>
      <c r="AG40">
        <v>5</v>
      </c>
    </row>
    <row r="41" spans="1:36" x14ac:dyDescent="0.2">
      <c r="A41" s="16" t="s">
        <v>3476</v>
      </c>
      <c r="B41" s="16" t="s">
        <v>3476</v>
      </c>
      <c r="G41">
        <v>2</v>
      </c>
      <c r="I41">
        <v>2</v>
      </c>
      <c r="L41">
        <v>4</v>
      </c>
      <c r="AA41" s="16" t="s">
        <v>3476</v>
      </c>
      <c r="AE41">
        <v>2</v>
      </c>
      <c r="AG41">
        <v>2</v>
      </c>
    </row>
    <row r="42" spans="1:36" x14ac:dyDescent="0.2">
      <c r="A42" s="16" t="s">
        <v>355</v>
      </c>
      <c r="B42" s="16" t="s">
        <v>355</v>
      </c>
      <c r="E42">
        <v>12</v>
      </c>
      <c r="L42">
        <v>12</v>
      </c>
      <c r="M42" s="21"/>
      <c r="AA42" s="16" t="s">
        <v>355</v>
      </c>
      <c r="AD42">
        <v>12</v>
      </c>
    </row>
    <row r="43" spans="1:36" x14ac:dyDescent="0.2">
      <c r="A43" s="16" t="s">
        <v>7133</v>
      </c>
      <c r="B43" s="16" t="s">
        <v>7133</v>
      </c>
      <c r="J43">
        <v>1</v>
      </c>
      <c r="L43">
        <v>1</v>
      </c>
      <c r="AA43" s="16" t="s">
        <v>7133</v>
      </c>
      <c r="AH43">
        <v>1</v>
      </c>
    </row>
    <row r="44" spans="1:36" x14ac:dyDescent="0.2">
      <c r="A44" s="16" t="s">
        <v>7178</v>
      </c>
      <c r="B44" s="16" t="s">
        <v>7178</v>
      </c>
      <c r="G44">
        <v>23</v>
      </c>
      <c r="L44">
        <v>35</v>
      </c>
      <c r="M44" s="21"/>
      <c r="AA44" s="16" t="s">
        <v>7178</v>
      </c>
      <c r="AC44">
        <v>1</v>
      </c>
      <c r="AE44">
        <v>23</v>
      </c>
      <c r="AF44">
        <v>6</v>
      </c>
      <c r="AG44">
        <v>5</v>
      </c>
    </row>
    <row r="45" spans="1:36" x14ac:dyDescent="0.2">
      <c r="A45" s="18"/>
      <c r="B45" s="18"/>
      <c r="C45" s="18"/>
      <c r="AA45" s="16" t="s">
        <v>7174</v>
      </c>
    </row>
    <row r="46" spans="1:36" x14ac:dyDescent="0.2">
      <c r="A46" s="20"/>
      <c r="B46" s="20"/>
      <c r="C46" s="20"/>
      <c r="D46" s="21"/>
      <c r="E46" s="23">
        <v>42</v>
      </c>
      <c r="F46" s="21"/>
      <c r="G46" s="23">
        <v>280</v>
      </c>
      <c r="H46" s="21"/>
      <c r="I46" s="21"/>
      <c r="J46" s="21"/>
      <c r="K46" s="21"/>
      <c r="L46" s="21"/>
      <c r="M46" s="21"/>
      <c r="AA46" s="22" t="s">
        <v>7175</v>
      </c>
      <c r="AB46" s="23">
        <v>4</v>
      </c>
      <c r="AC46" s="23">
        <v>40</v>
      </c>
      <c r="AD46" s="23">
        <v>42</v>
      </c>
      <c r="AE46" s="23">
        <v>280</v>
      </c>
      <c r="AF46" s="23">
        <v>34</v>
      </c>
      <c r="AG46" s="23">
        <v>180</v>
      </c>
      <c r="AH46" s="23">
        <v>8</v>
      </c>
      <c r="AI46" s="23"/>
      <c r="AJ46" s="23"/>
    </row>
    <row r="47" spans="1:36" x14ac:dyDescent="0.2">
      <c r="A47" s="18"/>
      <c r="B47" s="18"/>
      <c r="C47" s="18"/>
    </row>
    <row r="48" spans="1:36" x14ac:dyDescent="0.2">
      <c r="A48" s="20"/>
      <c r="B48" s="20"/>
      <c r="C48" s="20"/>
      <c r="D48" s="21"/>
      <c r="F48" s="21"/>
      <c r="H48" s="21"/>
      <c r="I48" s="21"/>
      <c r="J48" s="21"/>
      <c r="K48" s="21"/>
      <c r="L48" s="21"/>
      <c r="M48" s="21"/>
    </row>
    <row r="49" spans="1:13" x14ac:dyDescent="0.2">
      <c r="A49" s="18"/>
      <c r="B49" s="18"/>
      <c r="C49" s="18"/>
    </row>
    <row r="50" spans="1:13" x14ac:dyDescent="0.2">
      <c r="A50" s="18"/>
      <c r="B50" s="18"/>
      <c r="C50" s="18"/>
    </row>
    <row r="51" spans="1:13" x14ac:dyDescent="0.2">
      <c r="A51" s="20"/>
      <c r="B51" s="20"/>
      <c r="C51" s="20"/>
      <c r="D51" s="21"/>
      <c r="F51" s="21"/>
      <c r="H51" s="21"/>
      <c r="I51" s="21"/>
      <c r="J51" s="21"/>
      <c r="K51" s="21"/>
      <c r="L51" s="21"/>
      <c r="M51" s="21"/>
    </row>
    <row r="52" spans="1:13" x14ac:dyDescent="0.2">
      <c r="A52" s="18"/>
      <c r="B52" s="18"/>
      <c r="C52" s="18"/>
    </row>
    <row r="53" spans="1:13" x14ac:dyDescent="0.2">
      <c r="A53" s="20"/>
      <c r="B53" s="20"/>
      <c r="C53" s="20"/>
      <c r="D53" s="21"/>
      <c r="F53" s="21"/>
      <c r="H53" s="21"/>
      <c r="I53" s="21"/>
      <c r="J53" s="21"/>
      <c r="K53" s="21"/>
      <c r="L53" s="21"/>
      <c r="M53" s="21"/>
    </row>
    <row r="54" spans="1:13" x14ac:dyDescent="0.2">
      <c r="A54" s="18"/>
      <c r="B54" s="18"/>
      <c r="C54" s="18"/>
    </row>
    <row r="55" spans="1:13" x14ac:dyDescent="0.2">
      <c r="A55" s="20"/>
      <c r="B55" s="20"/>
      <c r="C55" s="20"/>
      <c r="D55" s="21"/>
      <c r="F55" s="21"/>
      <c r="H55" s="21"/>
      <c r="I55" s="21"/>
      <c r="J55" s="21"/>
      <c r="K55" s="21"/>
      <c r="L55" s="21"/>
      <c r="M55" s="21"/>
    </row>
    <row r="56" spans="1:13" x14ac:dyDescent="0.2">
      <c r="A56" s="18"/>
      <c r="B56" s="18"/>
      <c r="C56" s="18"/>
    </row>
    <row r="57" spans="1:13" x14ac:dyDescent="0.2">
      <c r="A57" s="20"/>
      <c r="B57" s="20"/>
      <c r="C57" s="20"/>
      <c r="D57" s="21"/>
      <c r="F57" s="21"/>
      <c r="H57" s="21"/>
      <c r="I57" s="21"/>
      <c r="J57" s="21"/>
      <c r="K57" s="21"/>
      <c r="L57" s="21"/>
      <c r="M57" s="21"/>
    </row>
    <row r="58" spans="1:13" x14ac:dyDescent="0.2">
      <c r="A58" s="18"/>
      <c r="B58" s="18"/>
      <c r="C58" s="18"/>
    </row>
    <row r="59" spans="1:13" x14ac:dyDescent="0.2">
      <c r="A59" s="20"/>
      <c r="B59" s="20"/>
      <c r="C59" s="20"/>
      <c r="D59" s="21"/>
      <c r="F59" s="21"/>
      <c r="H59" s="21"/>
      <c r="I59" s="21"/>
      <c r="J59" s="21"/>
      <c r="K59" s="21"/>
      <c r="L59" s="21"/>
      <c r="M59" s="21"/>
    </row>
    <row r="60" spans="1:13" x14ac:dyDescent="0.2">
      <c r="A60" s="18"/>
      <c r="B60" s="18"/>
      <c r="C60" s="18"/>
    </row>
    <row r="61" spans="1:13" x14ac:dyDescent="0.2">
      <c r="A61" s="20"/>
      <c r="B61" s="20"/>
      <c r="C61" s="20"/>
      <c r="D61" s="21"/>
      <c r="F61" s="21"/>
      <c r="H61" s="21"/>
      <c r="I61" s="21"/>
      <c r="J61" s="21"/>
      <c r="K61" s="21"/>
      <c r="L61" s="21"/>
      <c r="M61" s="21"/>
    </row>
    <row r="62" spans="1:13" x14ac:dyDescent="0.2">
      <c r="A62" s="18"/>
      <c r="B62" s="18"/>
      <c r="C62" s="18"/>
    </row>
    <row r="63" spans="1:13" x14ac:dyDescent="0.2">
      <c r="A63" s="18"/>
      <c r="B63" s="18"/>
      <c r="C63" s="18"/>
    </row>
    <row r="64" spans="1:13" x14ac:dyDescent="0.2">
      <c r="A64" s="18"/>
      <c r="B64" s="18"/>
      <c r="C64" s="18"/>
    </row>
    <row r="65" spans="1:13" x14ac:dyDescent="0.2">
      <c r="A65" s="18"/>
      <c r="B65" s="18"/>
      <c r="C65" s="18"/>
    </row>
    <row r="66" spans="1:13" x14ac:dyDescent="0.2">
      <c r="A66" s="18"/>
      <c r="B66" s="18"/>
      <c r="C66" s="18"/>
    </row>
    <row r="67" spans="1:13" x14ac:dyDescent="0.2">
      <c r="A67" s="20"/>
      <c r="B67" s="20"/>
      <c r="C67" s="20"/>
      <c r="D67" s="21"/>
      <c r="F67" s="21"/>
      <c r="H67" s="21"/>
      <c r="I67" s="21"/>
      <c r="J67" s="21"/>
      <c r="K67" s="21"/>
      <c r="L67" s="21"/>
      <c r="M67" s="21"/>
    </row>
    <row r="68" spans="1:13" x14ac:dyDescent="0.2">
      <c r="A68" s="18"/>
      <c r="B68" s="18"/>
      <c r="C68" s="18"/>
    </row>
    <row r="69" spans="1:13" x14ac:dyDescent="0.2">
      <c r="A69" s="20"/>
      <c r="B69" s="20"/>
      <c r="C69" s="20"/>
      <c r="D69" s="21"/>
      <c r="F69" s="21"/>
      <c r="H69" s="21"/>
      <c r="I69" s="21"/>
      <c r="J69" s="21"/>
      <c r="K69" s="21"/>
      <c r="L69" s="21"/>
      <c r="M69" s="21"/>
    </row>
    <row r="70" spans="1:13" x14ac:dyDescent="0.2">
      <c r="A70" s="18"/>
      <c r="B70" s="18"/>
      <c r="C70" s="18"/>
    </row>
    <row r="71" spans="1:13" x14ac:dyDescent="0.2">
      <c r="A71" s="20"/>
      <c r="B71" s="20"/>
      <c r="C71" s="20"/>
      <c r="D71" s="21"/>
      <c r="F71" s="21"/>
      <c r="H71" s="21"/>
      <c r="I71" s="21"/>
      <c r="J71" s="21"/>
      <c r="K71" s="21"/>
      <c r="L71" s="21"/>
      <c r="M71" s="21"/>
    </row>
    <row r="72" spans="1:13" x14ac:dyDescent="0.2">
      <c r="A72" s="18"/>
      <c r="B72" s="18"/>
      <c r="C72" s="18"/>
    </row>
    <row r="73" spans="1:13" x14ac:dyDescent="0.2">
      <c r="A73" s="20"/>
      <c r="B73" s="20"/>
      <c r="C73" s="20"/>
      <c r="D73" s="21"/>
      <c r="F73" s="21"/>
      <c r="H73" s="21"/>
      <c r="I73" s="21"/>
      <c r="J73" s="21"/>
      <c r="K73" s="21"/>
      <c r="L73" s="21"/>
      <c r="M73" s="21"/>
    </row>
    <row r="74" spans="1:13" x14ac:dyDescent="0.2">
      <c r="A74" s="18"/>
      <c r="B74" s="18"/>
      <c r="C74" s="18"/>
    </row>
    <row r="75" spans="1:13" x14ac:dyDescent="0.2">
      <c r="A75" s="20"/>
      <c r="B75" s="20"/>
      <c r="C75" s="20"/>
      <c r="D75" s="21"/>
      <c r="F75" s="21"/>
      <c r="H75" s="21"/>
      <c r="I75" s="21"/>
      <c r="J75" s="21"/>
      <c r="K75" s="21"/>
      <c r="L75" s="21"/>
      <c r="M75" s="21"/>
    </row>
    <row r="76" spans="1:13" x14ac:dyDescent="0.2">
      <c r="A76" s="18"/>
      <c r="B76" s="18"/>
      <c r="C76" s="18"/>
    </row>
    <row r="77" spans="1:13" x14ac:dyDescent="0.2">
      <c r="A77" s="20"/>
      <c r="B77" s="20"/>
      <c r="C77" s="20"/>
      <c r="D77" s="21"/>
      <c r="F77" s="21"/>
      <c r="H77" s="21"/>
      <c r="I77" s="21"/>
      <c r="J77" s="21"/>
      <c r="K77" s="21"/>
      <c r="L77" s="21"/>
      <c r="M77" s="21"/>
    </row>
    <row r="78" spans="1:13" x14ac:dyDescent="0.2">
      <c r="A78" s="18"/>
      <c r="B78" s="18"/>
      <c r="C78" s="18"/>
    </row>
    <row r="79" spans="1:13" x14ac:dyDescent="0.2">
      <c r="A79" s="18"/>
      <c r="B79" s="18"/>
      <c r="C79" s="18"/>
    </row>
    <row r="80" spans="1:13" x14ac:dyDescent="0.2">
      <c r="A80" s="20"/>
      <c r="B80" s="20"/>
      <c r="C80" s="20"/>
      <c r="D80" s="21"/>
      <c r="F80" s="21"/>
      <c r="H80" s="21"/>
      <c r="I80" s="21"/>
      <c r="J80" s="21"/>
      <c r="K80" s="21"/>
      <c r="L80" s="21"/>
      <c r="M80" s="21"/>
    </row>
    <row r="81" spans="1:13" x14ac:dyDescent="0.2">
      <c r="A81" s="18"/>
      <c r="B81" s="18"/>
      <c r="C81" s="18"/>
    </row>
    <row r="82" spans="1:13" x14ac:dyDescent="0.2">
      <c r="A82" s="20"/>
      <c r="B82" s="20"/>
      <c r="C82" s="20"/>
      <c r="D82" s="21"/>
      <c r="F82" s="21"/>
      <c r="H82" s="21"/>
      <c r="I82" s="21"/>
      <c r="J82" s="21"/>
      <c r="K82" s="21"/>
      <c r="L82" s="21"/>
      <c r="M82" s="21"/>
    </row>
    <row r="83" spans="1:13" x14ac:dyDescent="0.2">
      <c r="A83" s="18"/>
      <c r="B83" s="18"/>
      <c r="C83" s="18"/>
    </row>
    <row r="84" spans="1:13" x14ac:dyDescent="0.2">
      <c r="A84" s="20"/>
      <c r="B84" s="20"/>
      <c r="C84" s="20"/>
      <c r="D84" s="21"/>
      <c r="F84" s="21"/>
      <c r="H84" s="21"/>
      <c r="I84" s="21"/>
      <c r="J84" s="21"/>
      <c r="K84" s="21"/>
      <c r="L84" s="21"/>
      <c r="M84" s="21"/>
    </row>
    <row r="85" spans="1:13" x14ac:dyDescent="0.2">
      <c r="A85" s="18"/>
      <c r="B85" s="18"/>
      <c r="C85" s="18"/>
    </row>
    <row r="86" spans="1:13" x14ac:dyDescent="0.2">
      <c r="A86" s="20"/>
      <c r="B86" s="20"/>
      <c r="C86" s="20"/>
      <c r="D86" s="21"/>
      <c r="F86" s="21"/>
      <c r="H86" s="21"/>
      <c r="I86" s="21"/>
      <c r="J86" s="21"/>
      <c r="K86" s="21"/>
      <c r="L86" s="21"/>
      <c r="M86" s="21"/>
    </row>
    <row r="87" spans="1:13" x14ac:dyDescent="0.2">
      <c r="A87" s="18"/>
      <c r="B87" s="18"/>
      <c r="C87" s="18"/>
    </row>
    <row r="88" spans="1:13" x14ac:dyDescent="0.2">
      <c r="A88" s="20"/>
      <c r="B88" s="20"/>
      <c r="C88" s="20"/>
      <c r="D88" s="21"/>
      <c r="F88" s="21"/>
      <c r="H88" s="21"/>
      <c r="I88" s="21"/>
      <c r="J88" s="21"/>
      <c r="K88" s="21"/>
      <c r="L88" s="21"/>
      <c r="M88" s="21"/>
    </row>
    <row r="89" spans="1:13" x14ac:dyDescent="0.2">
      <c r="A89" s="18"/>
      <c r="B89" s="18"/>
      <c r="C89" s="18"/>
    </row>
    <row r="90" spans="1:13" x14ac:dyDescent="0.2">
      <c r="A90" s="20"/>
      <c r="B90" s="20"/>
      <c r="C90" s="20"/>
      <c r="D90" s="21"/>
      <c r="F90" s="21"/>
      <c r="H90" s="21"/>
      <c r="I90" s="21"/>
      <c r="J90" s="21"/>
      <c r="K90" s="21"/>
      <c r="L90" s="21"/>
      <c r="M90" s="21"/>
    </row>
    <row r="91" spans="1:13" x14ac:dyDescent="0.2">
      <c r="A91" s="18"/>
      <c r="B91" s="18"/>
      <c r="C91" s="18"/>
    </row>
    <row r="92" spans="1:13" x14ac:dyDescent="0.2">
      <c r="A92" s="18"/>
      <c r="B92" s="18"/>
      <c r="C92" s="18"/>
    </row>
    <row r="93" spans="1:13" x14ac:dyDescent="0.2">
      <c r="A93" s="18"/>
      <c r="B93" s="18"/>
      <c r="C93" s="18"/>
    </row>
    <row r="94" spans="1:13" x14ac:dyDescent="0.2">
      <c r="A94" s="18"/>
      <c r="B94" s="18"/>
      <c r="C94" s="18"/>
    </row>
    <row r="95" spans="1:13" x14ac:dyDescent="0.2">
      <c r="A95" s="18"/>
      <c r="B95" s="18"/>
      <c r="C95" s="18"/>
    </row>
    <row r="96" spans="1:13" x14ac:dyDescent="0.2">
      <c r="A96" s="18"/>
      <c r="B96" s="18"/>
      <c r="C96" s="18"/>
    </row>
    <row r="97" spans="1:13" x14ac:dyDescent="0.2">
      <c r="A97" s="18"/>
      <c r="B97" s="18"/>
      <c r="C97" s="18"/>
    </row>
    <row r="98" spans="1:13" x14ac:dyDescent="0.2">
      <c r="A98" s="18"/>
      <c r="B98" s="18"/>
      <c r="C98" s="18"/>
    </row>
    <row r="99" spans="1:13" x14ac:dyDescent="0.2">
      <c r="A99" s="18"/>
      <c r="B99" s="18"/>
      <c r="C99" s="18"/>
    </row>
    <row r="100" spans="1:13" x14ac:dyDescent="0.2">
      <c r="A100" s="18"/>
      <c r="B100" s="18"/>
      <c r="C100" s="18"/>
    </row>
    <row r="101" spans="1:13" x14ac:dyDescent="0.2">
      <c r="A101" s="18"/>
      <c r="B101" s="18"/>
      <c r="C101" s="18"/>
    </row>
    <row r="102" spans="1:13" x14ac:dyDescent="0.2">
      <c r="A102" s="18"/>
      <c r="B102" s="18"/>
      <c r="C102" s="18"/>
    </row>
    <row r="103" spans="1:13" x14ac:dyDescent="0.2">
      <c r="A103" s="18"/>
      <c r="B103" s="18"/>
      <c r="C103" s="18"/>
    </row>
    <row r="104" spans="1:13" x14ac:dyDescent="0.2">
      <c r="A104" s="18"/>
      <c r="B104" s="18"/>
      <c r="C104" s="18"/>
    </row>
    <row r="105" spans="1:13" x14ac:dyDescent="0.2">
      <c r="A105" s="20"/>
      <c r="B105" s="20"/>
      <c r="C105" s="20"/>
      <c r="D105" s="21"/>
      <c r="F105" s="21"/>
      <c r="H105" s="21"/>
      <c r="I105" s="21"/>
      <c r="J105" s="21"/>
      <c r="K105" s="21"/>
      <c r="L105" s="21"/>
      <c r="M105" s="21"/>
    </row>
    <row r="106" spans="1:13" x14ac:dyDescent="0.2">
      <c r="A106" s="18"/>
      <c r="B106" s="18"/>
      <c r="C106" s="18"/>
    </row>
    <row r="107" spans="1:13" x14ac:dyDescent="0.2">
      <c r="A107" s="18"/>
      <c r="B107" s="18"/>
      <c r="C107" s="18"/>
    </row>
    <row r="108" spans="1:13" x14ac:dyDescent="0.2">
      <c r="A108" s="20"/>
      <c r="B108" s="20"/>
      <c r="C108" s="20"/>
      <c r="D108" s="21"/>
      <c r="F108" s="21"/>
      <c r="H108" s="21"/>
      <c r="I108" s="21"/>
      <c r="J108" s="21"/>
      <c r="K108" s="21"/>
      <c r="L108" s="21"/>
      <c r="M108" s="21"/>
    </row>
    <row r="109" spans="1:13" x14ac:dyDescent="0.2">
      <c r="A109" s="18"/>
      <c r="B109" s="18"/>
      <c r="C109" s="18"/>
    </row>
    <row r="110" spans="1:13" x14ac:dyDescent="0.2">
      <c r="A110" s="20"/>
      <c r="B110" s="20"/>
      <c r="C110" s="20"/>
      <c r="D110" s="21"/>
      <c r="F110" s="21"/>
      <c r="H110" s="21"/>
      <c r="I110" s="21"/>
      <c r="J110" s="21"/>
      <c r="K110" s="21"/>
      <c r="L110" s="21"/>
      <c r="M110" s="21"/>
    </row>
    <row r="111" spans="1:13" x14ac:dyDescent="0.2">
      <c r="A111" s="18"/>
      <c r="B111" s="18"/>
      <c r="C111" s="18"/>
    </row>
    <row r="112" spans="1:13" x14ac:dyDescent="0.2">
      <c r="A112" s="20"/>
      <c r="B112" s="20"/>
      <c r="C112" s="20"/>
      <c r="D112" s="21"/>
      <c r="F112" s="21"/>
      <c r="H112" s="21"/>
      <c r="I112" s="21"/>
      <c r="J112" s="21"/>
      <c r="K112" s="21"/>
      <c r="L112" s="21"/>
      <c r="M112" s="21"/>
    </row>
    <row r="113" spans="1:13" x14ac:dyDescent="0.2">
      <c r="A113" s="18"/>
      <c r="B113" s="18"/>
      <c r="C113" s="18"/>
    </row>
    <row r="114" spans="1:13" x14ac:dyDescent="0.2">
      <c r="A114" s="20"/>
      <c r="B114" s="20"/>
      <c r="C114" s="20"/>
      <c r="D114" s="21"/>
      <c r="F114" s="21"/>
      <c r="H114" s="21"/>
      <c r="I114" s="21"/>
      <c r="J114" s="21"/>
      <c r="K114" s="21"/>
      <c r="L114" s="21"/>
      <c r="M114" s="21"/>
    </row>
    <row r="115" spans="1:13" x14ac:dyDescent="0.2">
      <c r="A115" s="18"/>
      <c r="B115" s="18"/>
      <c r="C115" s="18"/>
    </row>
    <row r="116" spans="1:13" x14ac:dyDescent="0.2">
      <c r="A116" s="20"/>
      <c r="B116" s="20"/>
      <c r="C116" s="20"/>
      <c r="D116" s="21"/>
      <c r="F116" s="21"/>
      <c r="H116" s="21"/>
      <c r="I116" s="21"/>
      <c r="J116" s="21"/>
      <c r="K116" s="21"/>
      <c r="L116" s="21"/>
      <c r="M116" s="21"/>
    </row>
    <row r="117" spans="1:13" x14ac:dyDescent="0.2">
      <c r="A117" s="18"/>
      <c r="B117" s="18"/>
      <c r="C117" s="18"/>
    </row>
    <row r="118" spans="1:13" x14ac:dyDescent="0.2">
      <c r="A118" s="20"/>
      <c r="B118" s="20"/>
      <c r="C118" s="20"/>
      <c r="D118" s="21"/>
      <c r="F118" s="21"/>
      <c r="H118" s="21"/>
      <c r="I118" s="21"/>
      <c r="J118" s="21"/>
      <c r="K118" s="21"/>
      <c r="L118" s="21"/>
      <c r="M118" s="21"/>
    </row>
    <row r="119" spans="1:13" x14ac:dyDescent="0.2">
      <c r="A119" s="18"/>
      <c r="B119" s="18"/>
      <c r="C119" s="18"/>
    </row>
    <row r="120" spans="1:13" x14ac:dyDescent="0.2">
      <c r="A120" s="18"/>
      <c r="B120" s="18"/>
      <c r="C120" s="18"/>
    </row>
    <row r="121" spans="1:13" x14ac:dyDescent="0.2">
      <c r="A121" s="18"/>
      <c r="B121" s="18"/>
      <c r="C121" s="18"/>
    </row>
    <row r="122" spans="1:13" x14ac:dyDescent="0.2">
      <c r="A122" s="18"/>
      <c r="B122" s="18"/>
      <c r="C122" s="18"/>
    </row>
    <row r="123" spans="1:13" x14ac:dyDescent="0.2">
      <c r="A123" s="20"/>
      <c r="B123" s="20"/>
      <c r="C123" s="20"/>
      <c r="D123" s="21"/>
      <c r="F123" s="21"/>
      <c r="H123" s="21"/>
      <c r="I123" s="21"/>
      <c r="J123" s="21"/>
      <c r="K123" s="21"/>
      <c r="L123" s="21"/>
      <c r="M123" s="21"/>
    </row>
    <row r="124" spans="1:13" x14ac:dyDescent="0.2">
      <c r="A124" s="18"/>
      <c r="B124" s="18"/>
      <c r="C124" s="18"/>
    </row>
    <row r="125" spans="1:13" x14ac:dyDescent="0.2">
      <c r="A125" s="20"/>
      <c r="B125" s="20"/>
      <c r="C125" s="20"/>
      <c r="D125" s="21"/>
      <c r="F125" s="21"/>
      <c r="H125" s="21"/>
      <c r="I125" s="21"/>
      <c r="J125" s="21"/>
      <c r="K125" s="21"/>
      <c r="L125" s="21"/>
      <c r="M125" s="21"/>
    </row>
    <row r="126" spans="1:13" x14ac:dyDescent="0.2">
      <c r="A126" s="18"/>
      <c r="B126" s="18"/>
      <c r="C126" s="18"/>
    </row>
    <row r="127" spans="1:13" x14ac:dyDescent="0.2">
      <c r="A127" s="20"/>
      <c r="B127" s="20"/>
      <c r="C127" s="20"/>
      <c r="D127" s="21"/>
      <c r="F127" s="21"/>
      <c r="H127" s="21"/>
      <c r="I127" s="21"/>
      <c r="J127" s="21"/>
      <c r="K127" s="21"/>
      <c r="L127" s="21"/>
      <c r="M127" s="21"/>
    </row>
    <row r="128" spans="1:13" x14ac:dyDescent="0.2">
      <c r="A128" s="18"/>
      <c r="B128" s="18"/>
      <c r="C128" s="18"/>
    </row>
    <row r="129" spans="1:13" x14ac:dyDescent="0.2">
      <c r="A129" s="18"/>
      <c r="B129" s="18"/>
      <c r="C129" s="18"/>
    </row>
    <row r="130" spans="1:13" x14ac:dyDescent="0.2">
      <c r="A130" s="20"/>
      <c r="B130" s="20"/>
      <c r="C130" s="20"/>
      <c r="D130" s="21"/>
      <c r="F130" s="21"/>
      <c r="H130" s="21"/>
      <c r="I130" s="21"/>
      <c r="J130" s="21"/>
      <c r="K130" s="21"/>
      <c r="L130" s="21"/>
      <c r="M130" s="21"/>
    </row>
    <row r="131" spans="1:13" x14ac:dyDescent="0.2">
      <c r="A131" s="18"/>
      <c r="B131" s="18"/>
      <c r="C131" s="18"/>
    </row>
    <row r="132" spans="1:13" x14ac:dyDescent="0.2">
      <c r="A132" s="20"/>
      <c r="B132" s="20"/>
      <c r="C132" s="20"/>
      <c r="D132" s="21"/>
      <c r="F132" s="21"/>
      <c r="H132" s="21"/>
      <c r="I132" s="21"/>
      <c r="J132" s="21"/>
      <c r="K132" s="21"/>
      <c r="L132" s="21"/>
      <c r="M132" s="21"/>
    </row>
    <row r="133" spans="1:13" x14ac:dyDescent="0.2">
      <c r="A133" s="18"/>
      <c r="B133" s="18"/>
      <c r="C133" s="18"/>
    </row>
    <row r="134" spans="1:13" x14ac:dyDescent="0.2">
      <c r="A134" s="20"/>
      <c r="B134" s="20"/>
      <c r="C134" s="20"/>
      <c r="D134" s="21"/>
      <c r="F134" s="21"/>
      <c r="H134" s="21"/>
      <c r="I134" s="21"/>
      <c r="J134" s="21"/>
      <c r="K134" s="21"/>
      <c r="L134" s="21"/>
      <c r="M134" s="21"/>
    </row>
    <row r="135" spans="1:13" x14ac:dyDescent="0.2">
      <c r="A135" s="18"/>
      <c r="B135" s="18"/>
      <c r="C135" s="18"/>
    </row>
    <row r="136" spans="1:13" x14ac:dyDescent="0.2">
      <c r="A136" s="20"/>
      <c r="B136" s="20"/>
      <c r="C136" s="20"/>
      <c r="D136" s="21"/>
      <c r="F136" s="21"/>
      <c r="H136" s="21"/>
      <c r="I136" s="21"/>
      <c r="J136" s="21"/>
      <c r="K136" s="21"/>
      <c r="L136" s="21"/>
      <c r="M136" s="21"/>
    </row>
    <row r="137" spans="1:13" x14ac:dyDescent="0.2">
      <c r="A137" s="18"/>
      <c r="B137" s="18"/>
      <c r="C137" s="18"/>
    </row>
    <row r="138" spans="1:13" x14ac:dyDescent="0.2">
      <c r="A138" s="20"/>
      <c r="B138" s="20"/>
      <c r="C138" s="20"/>
      <c r="D138" s="21"/>
      <c r="F138" s="21"/>
      <c r="H138" s="21"/>
      <c r="I138" s="21"/>
      <c r="J138" s="21"/>
      <c r="K138" s="21"/>
      <c r="L138" s="21"/>
      <c r="M138" s="21"/>
    </row>
    <row r="139" spans="1:13" x14ac:dyDescent="0.2">
      <c r="A139" s="18"/>
      <c r="B139" s="18"/>
      <c r="C139" s="18"/>
    </row>
    <row r="140" spans="1:13" x14ac:dyDescent="0.2">
      <c r="A140" s="20"/>
      <c r="B140" s="20"/>
      <c r="C140" s="20"/>
      <c r="D140" s="21"/>
      <c r="F140" s="21"/>
      <c r="H140" s="21"/>
      <c r="I140" s="21"/>
      <c r="J140" s="21"/>
      <c r="K140" s="21"/>
      <c r="L140" s="21"/>
      <c r="M140" s="21"/>
    </row>
    <row r="141" spans="1:13" x14ac:dyDescent="0.2">
      <c r="A141" s="18"/>
      <c r="B141" s="18"/>
      <c r="C141" s="18"/>
    </row>
    <row r="142" spans="1:13" x14ac:dyDescent="0.2">
      <c r="A142" s="20"/>
      <c r="B142" s="20"/>
      <c r="C142" s="20"/>
      <c r="D142" s="21"/>
      <c r="F142" s="21"/>
      <c r="H142" s="21"/>
      <c r="I142" s="21"/>
      <c r="J142" s="21"/>
      <c r="K142" s="21"/>
      <c r="L142" s="21"/>
      <c r="M142" s="21"/>
    </row>
    <row r="143" spans="1:13" x14ac:dyDescent="0.2">
      <c r="A143" s="18"/>
      <c r="B143" s="18"/>
      <c r="C143" s="18"/>
    </row>
    <row r="144" spans="1:13" x14ac:dyDescent="0.2">
      <c r="A144" s="20"/>
      <c r="B144" s="20"/>
      <c r="C144" s="20"/>
      <c r="D144" s="21"/>
      <c r="F144" s="21"/>
      <c r="H144" s="21"/>
      <c r="I144" s="21"/>
      <c r="J144" s="21"/>
      <c r="K144" s="21"/>
      <c r="L144" s="21"/>
      <c r="M144" s="21"/>
    </row>
    <row r="145" spans="1:13" x14ac:dyDescent="0.2">
      <c r="A145" s="18"/>
      <c r="B145" s="18"/>
      <c r="C145" s="18"/>
    </row>
    <row r="146" spans="1:13" x14ac:dyDescent="0.2">
      <c r="A146" s="20"/>
      <c r="B146" s="20"/>
      <c r="C146" s="20"/>
      <c r="D146" s="21"/>
      <c r="F146" s="21"/>
      <c r="H146" s="21"/>
      <c r="I146" s="21"/>
      <c r="J146" s="21"/>
      <c r="K146" s="21"/>
      <c r="L146" s="21"/>
      <c r="M146" s="21"/>
    </row>
    <row r="147" spans="1:13" x14ac:dyDescent="0.2">
      <c r="A147" s="18"/>
      <c r="B147" s="18"/>
      <c r="C147" s="18"/>
    </row>
    <row r="148" spans="1:13" x14ac:dyDescent="0.2">
      <c r="A148" s="20"/>
      <c r="B148" s="20"/>
      <c r="C148" s="20"/>
      <c r="D148" s="21"/>
      <c r="F148" s="21"/>
      <c r="H148" s="21"/>
      <c r="I148" s="21"/>
      <c r="J148" s="21"/>
      <c r="K148" s="21"/>
      <c r="L148" s="21"/>
      <c r="M148" s="21"/>
    </row>
    <row r="149" spans="1:13" x14ac:dyDescent="0.2">
      <c r="A149" s="18"/>
      <c r="B149" s="18"/>
      <c r="C149" s="18"/>
    </row>
    <row r="150" spans="1:13" x14ac:dyDescent="0.2">
      <c r="A150" s="20"/>
      <c r="B150" s="20"/>
      <c r="C150" s="20"/>
      <c r="D150" s="21"/>
      <c r="F150" s="21"/>
      <c r="H150" s="21"/>
      <c r="I150" s="21"/>
      <c r="J150" s="21"/>
      <c r="K150" s="21"/>
      <c r="L150" s="21"/>
      <c r="M150" s="21"/>
    </row>
    <row r="151" spans="1:13" x14ac:dyDescent="0.2">
      <c r="A151" s="18"/>
      <c r="B151" s="18"/>
      <c r="C151" s="18"/>
    </row>
    <row r="152" spans="1:13" x14ac:dyDescent="0.2">
      <c r="A152" s="18"/>
      <c r="B152" s="18"/>
      <c r="C152" s="18"/>
    </row>
    <row r="153" spans="1:13" x14ac:dyDescent="0.2">
      <c r="A153" s="18"/>
      <c r="B153" s="18"/>
      <c r="C153" s="18"/>
    </row>
    <row r="154" spans="1:13" x14ac:dyDescent="0.2">
      <c r="A154" s="20"/>
      <c r="B154" s="20"/>
      <c r="C154" s="20"/>
      <c r="D154" s="21"/>
      <c r="F154" s="21"/>
      <c r="H154" s="21"/>
      <c r="I154" s="21"/>
      <c r="J154" s="21"/>
      <c r="K154" s="21"/>
      <c r="L154" s="21"/>
      <c r="M154" s="21"/>
    </row>
    <row r="155" spans="1:13" x14ac:dyDescent="0.2">
      <c r="A155" s="18"/>
      <c r="B155" s="18"/>
      <c r="C155" s="18"/>
    </row>
    <row r="156" spans="1:13" x14ac:dyDescent="0.2">
      <c r="A156" s="20"/>
      <c r="B156" s="20"/>
      <c r="C156" s="20"/>
      <c r="D156" s="21"/>
      <c r="F156" s="21"/>
      <c r="H156" s="21"/>
      <c r="I156" s="21"/>
      <c r="J156" s="21"/>
      <c r="K156" s="21"/>
      <c r="L156" s="21"/>
      <c r="M156" s="21"/>
    </row>
    <row r="157" spans="1:13" x14ac:dyDescent="0.2">
      <c r="A157" s="18"/>
      <c r="B157" s="18"/>
      <c r="C157" s="18"/>
    </row>
    <row r="158" spans="1:13" x14ac:dyDescent="0.2">
      <c r="A158" s="20"/>
      <c r="B158" s="20"/>
      <c r="C158" s="20"/>
      <c r="D158" s="21"/>
      <c r="F158" s="21"/>
      <c r="H158" s="21"/>
      <c r="I158" s="21"/>
      <c r="J158" s="21"/>
      <c r="K158" s="21"/>
      <c r="L158" s="21"/>
      <c r="M158" s="21"/>
    </row>
    <row r="159" spans="1:13" x14ac:dyDescent="0.2">
      <c r="A159" s="18"/>
      <c r="B159" s="18"/>
      <c r="C159" s="18"/>
    </row>
    <row r="160" spans="1:13" x14ac:dyDescent="0.2">
      <c r="A160" s="20"/>
      <c r="B160" s="20"/>
      <c r="C160" s="20"/>
      <c r="D160" s="21"/>
      <c r="F160" s="21"/>
      <c r="H160" s="21"/>
      <c r="I160" s="21"/>
      <c r="J160" s="21"/>
      <c r="K160" s="21"/>
      <c r="L160" s="21"/>
      <c r="M160" s="21"/>
    </row>
    <row r="161" spans="1:13" x14ac:dyDescent="0.2">
      <c r="A161" s="18"/>
      <c r="B161" s="18"/>
      <c r="C161" s="18"/>
    </row>
    <row r="162" spans="1:13" x14ac:dyDescent="0.2">
      <c r="A162" s="20"/>
      <c r="B162" s="20"/>
      <c r="C162" s="20"/>
      <c r="D162" s="21"/>
      <c r="F162" s="21"/>
      <c r="H162" s="21"/>
      <c r="I162" s="21"/>
      <c r="J162" s="21"/>
      <c r="K162" s="21"/>
      <c r="L162" s="21"/>
      <c r="M162" s="21"/>
    </row>
    <row r="163" spans="1:13" x14ac:dyDescent="0.2">
      <c r="A163" s="18"/>
      <c r="B163" s="18"/>
      <c r="C163" s="18"/>
    </row>
    <row r="164" spans="1:13" x14ac:dyDescent="0.2">
      <c r="A164" s="20"/>
      <c r="B164" s="20"/>
      <c r="C164" s="20"/>
      <c r="D164" s="21"/>
      <c r="F164" s="21"/>
      <c r="H164" s="21"/>
      <c r="I164" s="21"/>
      <c r="J164" s="21"/>
      <c r="K164" s="21"/>
      <c r="L164" s="21"/>
      <c r="M164" s="21"/>
    </row>
    <row r="165" spans="1:13" x14ac:dyDescent="0.2">
      <c r="A165" s="18"/>
      <c r="B165" s="18"/>
      <c r="C165" s="18"/>
    </row>
    <row r="166" spans="1:13" x14ac:dyDescent="0.2">
      <c r="A166" s="20"/>
      <c r="B166" s="20"/>
      <c r="C166" s="20"/>
      <c r="D166" s="21"/>
      <c r="F166" s="21"/>
      <c r="H166" s="21"/>
      <c r="I166" s="21"/>
      <c r="J166" s="21"/>
      <c r="K166" s="21"/>
      <c r="L166" s="21"/>
      <c r="M166" s="21"/>
    </row>
    <row r="167" spans="1:13" x14ac:dyDescent="0.2">
      <c r="A167" s="18"/>
      <c r="B167" s="18"/>
      <c r="C167" s="18"/>
    </row>
    <row r="168" spans="1:13" x14ac:dyDescent="0.2">
      <c r="A168" s="18"/>
      <c r="B168" s="18"/>
      <c r="C168" s="18"/>
    </row>
    <row r="169" spans="1:13" x14ac:dyDescent="0.2">
      <c r="A169" s="20"/>
      <c r="B169" s="20"/>
      <c r="C169" s="20"/>
      <c r="D169" s="21"/>
      <c r="F169" s="21"/>
      <c r="H169" s="21"/>
      <c r="I169" s="21"/>
      <c r="J169" s="21"/>
      <c r="K169" s="21"/>
      <c r="L169" s="21"/>
      <c r="M169" s="21"/>
    </row>
    <row r="170" spans="1:13" x14ac:dyDescent="0.2">
      <c r="A170" s="18"/>
      <c r="B170" s="18"/>
      <c r="C170" s="18"/>
    </row>
    <row r="171" spans="1:13" x14ac:dyDescent="0.2">
      <c r="A171" s="20"/>
      <c r="B171" s="20"/>
      <c r="C171" s="20"/>
      <c r="D171" s="21"/>
      <c r="F171" s="21"/>
      <c r="H171" s="21"/>
      <c r="I171" s="21"/>
      <c r="J171" s="21"/>
      <c r="K171" s="21"/>
      <c r="L171" s="21"/>
      <c r="M171" s="21"/>
    </row>
    <row r="172" spans="1:13" x14ac:dyDescent="0.2">
      <c r="A172" s="18"/>
      <c r="B172" s="18"/>
      <c r="C172" s="18"/>
    </row>
    <row r="173" spans="1:13" x14ac:dyDescent="0.2">
      <c r="A173" s="20"/>
      <c r="B173" s="20"/>
      <c r="C173" s="20"/>
      <c r="D173" s="21"/>
      <c r="F173" s="21"/>
      <c r="H173" s="21"/>
      <c r="I173" s="21"/>
      <c r="J173" s="21"/>
      <c r="K173" s="21"/>
      <c r="L173" s="21"/>
      <c r="M173" s="21"/>
    </row>
    <row r="174" spans="1:13" x14ac:dyDescent="0.2">
      <c r="A174" s="18"/>
      <c r="B174" s="18"/>
      <c r="C174" s="18"/>
    </row>
    <row r="175" spans="1:13" x14ac:dyDescent="0.2">
      <c r="A175" s="20"/>
      <c r="B175" s="20"/>
      <c r="C175" s="20"/>
      <c r="D175" s="21"/>
      <c r="F175" s="21"/>
      <c r="H175" s="21"/>
      <c r="I175" s="21"/>
      <c r="J175" s="21"/>
      <c r="K175" s="21"/>
      <c r="L175" s="21"/>
      <c r="M175" s="21"/>
    </row>
    <row r="176" spans="1:13" x14ac:dyDescent="0.2">
      <c r="A176" s="18"/>
      <c r="B176" s="18"/>
      <c r="C176" s="18"/>
    </row>
    <row r="177" spans="1:13" x14ac:dyDescent="0.2">
      <c r="A177" s="20"/>
      <c r="B177" s="20"/>
      <c r="C177" s="20"/>
      <c r="D177" s="21"/>
      <c r="F177" s="21"/>
      <c r="H177" s="21"/>
      <c r="I177" s="21"/>
      <c r="J177" s="21"/>
      <c r="K177" s="21"/>
      <c r="L177" s="21"/>
      <c r="M177" s="21"/>
    </row>
    <row r="178" spans="1:13" x14ac:dyDescent="0.2">
      <c r="A178" s="18"/>
      <c r="B178" s="18"/>
      <c r="C178" s="18"/>
    </row>
    <row r="179" spans="1:13" x14ac:dyDescent="0.2">
      <c r="A179" s="18"/>
      <c r="B179" s="18"/>
      <c r="C179" s="18"/>
    </row>
    <row r="180" spans="1:13" x14ac:dyDescent="0.2">
      <c r="A180" s="20"/>
      <c r="B180" s="20"/>
      <c r="C180" s="20"/>
      <c r="D180" s="21"/>
      <c r="F180" s="21"/>
      <c r="H180" s="21"/>
      <c r="I180" s="21"/>
      <c r="J180" s="21"/>
      <c r="K180" s="21"/>
      <c r="L180" s="21"/>
      <c r="M180" s="21"/>
    </row>
    <row r="181" spans="1:13" x14ac:dyDescent="0.2">
      <c r="A181" s="18"/>
      <c r="B181" s="18"/>
      <c r="C181" s="18"/>
    </row>
    <row r="182" spans="1:13" x14ac:dyDescent="0.2">
      <c r="A182" s="18"/>
      <c r="B182" s="18"/>
      <c r="C182" s="18"/>
    </row>
    <row r="183" spans="1:13" x14ac:dyDescent="0.2">
      <c r="A183" s="18"/>
      <c r="B183" s="18"/>
      <c r="C183" s="18"/>
    </row>
    <row r="184" spans="1:13" x14ac:dyDescent="0.2">
      <c r="A184" s="20"/>
      <c r="B184" s="20"/>
      <c r="C184" s="20"/>
      <c r="D184" s="21"/>
      <c r="F184" s="21"/>
      <c r="H184" s="21"/>
      <c r="I184" s="21"/>
      <c r="J184" s="21"/>
      <c r="K184" s="21"/>
      <c r="L184" s="21"/>
      <c r="M184" s="21"/>
    </row>
    <row r="185" spans="1:13" x14ac:dyDescent="0.2">
      <c r="A185" s="18"/>
      <c r="B185" s="18"/>
      <c r="C185" s="18"/>
    </row>
    <row r="186" spans="1:13" x14ac:dyDescent="0.2">
      <c r="A186" s="20"/>
      <c r="B186" s="20"/>
      <c r="C186" s="20"/>
      <c r="D186" s="21"/>
      <c r="F186" s="21"/>
      <c r="H186" s="21"/>
      <c r="I186" s="21"/>
      <c r="J186" s="21"/>
      <c r="K186" s="21"/>
      <c r="L186" s="21"/>
      <c r="M186" s="21"/>
    </row>
    <row r="187" spans="1:13" x14ac:dyDescent="0.2">
      <c r="A187" s="18"/>
      <c r="B187" s="18"/>
      <c r="C187" s="18"/>
    </row>
    <row r="188" spans="1:13" x14ac:dyDescent="0.2">
      <c r="A188" s="20"/>
      <c r="B188" s="20"/>
      <c r="C188" s="20"/>
      <c r="D188" s="21"/>
      <c r="F188" s="21"/>
      <c r="H188" s="21"/>
      <c r="I188" s="21"/>
      <c r="J188" s="21"/>
      <c r="K188" s="21"/>
      <c r="L188" s="21"/>
      <c r="M188" s="21"/>
    </row>
    <row r="189" spans="1:13" x14ac:dyDescent="0.2">
      <c r="A189" s="18"/>
      <c r="B189" s="18"/>
      <c r="C189" s="18"/>
    </row>
    <row r="190" spans="1:13" x14ac:dyDescent="0.2">
      <c r="A190" s="18"/>
      <c r="B190" s="18"/>
      <c r="C190" s="18"/>
    </row>
    <row r="191" spans="1:13" x14ac:dyDescent="0.2">
      <c r="A191" s="20"/>
      <c r="B191" s="20"/>
      <c r="C191" s="20"/>
      <c r="D191" s="21"/>
      <c r="F191" s="21"/>
      <c r="H191" s="21"/>
      <c r="I191" s="21"/>
      <c r="J191" s="21"/>
      <c r="K191" s="21"/>
      <c r="L191" s="21"/>
      <c r="M191" s="21"/>
    </row>
    <row r="192" spans="1:13" x14ac:dyDescent="0.2">
      <c r="A192" s="18"/>
      <c r="B192" s="18"/>
      <c r="C192" s="18"/>
    </row>
    <row r="193" spans="1:13" x14ac:dyDescent="0.2">
      <c r="A193" s="20"/>
      <c r="B193" s="20"/>
      <c r="C193" s="20"/>
      <c r="D193" s="21"/>
      <c r="F193" s="21"/>
      <c r="H193" s="21"/>
      <c r="I193" s="21"/>
      <c r="J193" s="21"/>
      <c r="K193" s="21"/>
      <c r="L193" s="21"/>
      <c r="M193" s="21"/>
    </row>
    <row r="194" spans="1:13" x14ac:dyDescent="0.2">
      <c r="A194" s="18"/>
      <c r="B194" s="18"/>
      <c r="C194" s="18"/>
    </row>
    <row r="195" spans="1:13" x14ac:dyDescent="0.2">
      <c r="A195" s="18"/>
      <c r="B195" s="18"/>
      <c r="C195" s="18"/>
    </row>
    <row r="196" spans="1:13" x14ac:dyDescent="0.2">
      <c r="A196" s="18"/>
      <c r="B196" s="18"/>
      <c r="C196" s="18"/>
    </row>
    <row r="197" spans="1:13" x14ac:dyDescent="0.2">
      <c r="A197" s="20"/>
      <c r="B197" s="20"/>
      <c r="C197" s="20"/>
      <c r="D197" s="21"/>
      <c r="F197" s="21"/>
      <c r="H197" s="21"/>
      <c r="I197" s="21"/>
      <c r="J197" s="21"/>
      <c r="K197" s="21"/>
      <c r="L197" s="21"/>
      <c r="M197" s="21"/>
    </row>
    <row r="198" spans="1:13" x14ac:dyDescent="0.2">
      <c r="A198" s="18"/>
      <c r="B198" s="18"/>
      <c r="C198" s="18"/>
    </row>
    <row r="199" spans="1:13" x14ac:dyDescent="0.2">
      <c r="A199" s="20"/>
      <c r="B199" s="20"/>
      <c r="C199" s="20"/>
      <c r="D199" s="21"/>
      <c r="F199" s="21"/>
      <c r="H199" s="21"/>
      <c r="I199" s="21"/>
      <c r="J199" s="21"/>
      <c r="K199" s="21"/>
      <c r="L199" s="21"/>
      <c r="M199" s="21"/>
    </row>
    <row r="200" spans="1:13" x14ac:dyDescent="0.2">
      <c r="A200" s="18"/>
      <c r="B200" s="18"/>
      <c r="C200" s="18"/>
    </row>
    <row r="201" spans="1:13" x14ac:dyDescent="0.2">
      <c r="A201" s="20"/>
      <c r="B201" s="20"/>
      <c r="C201" s="20"/>
      <c r="D201" s="21"/>
      <c r="F201" s="21"/>
      <c r="H201" s="21"/>
      <c r="I201" s="21"/>
      <c r="J201" s="21"/>
      <c r="K201" s="21"/>
      <c r="L201" s="21"/>
      <c r="M201" s="21"/>
    </row>
    <row r="202" spans="1:13" x14ac:dyDescent="0.2">
      <c r="A202" s="18"/>
      <c r="B202" s="18"/>
      <c r="C202" s="18"/>
    </row>
    <row r="203" spans="1:13" x14ac:dyDescent="0.2">
      <c r="A203" s="20"/>
      <c r="B203" s="20"/>
      <c r="C203" s="20"/>
      <c r="D203" s="21"/>
      <c r="F203" s="21"/>
      <c r="H203" s="21"/>
      <c r="I203" s="21"/>
      <c r="J203" s="21"/>
      <c r="K203" s="21"/>
      <c r="L203" s="21"/>
      <c r="M203" s="21"/>
    </row>
    <row r="204" spans="1:13" x14ac:dyDescent="0.2">
      <c r="A204" s="18"/>
      <c r="B204" s="18"/>
      <c r="C204" s="18"/>
    </row>
    <row r="205" spans="1:13" x14ac:dyDescent="0.2">
      <c r="A205" s="20"/>
      <c r="B205" s="20"/>
      <c r="C205" s="20"/>
      <c r="D205" s="21"/>
      <c r="F205" s="21"/>
      <c r="H205" s="21"/>
      <c r="I205" s="21"/>
      <c r="J205" s="21"/>
      <c r="K205" s="21"/>
      <c r="L205" s="21"/>
      <c r="M205" s="21"/>
    </row>
    <row r="206" spans="1:13" x14ac:dyDescent="0.2">
      <c r="A206" s="18"/>
      <c r="B206" s="18"/>
      <c r="C206" s="18"/>
    </row>
    <row r="207" spans="1:13" x14ac:dyDescent="0.2">
      <c r="A207" s="20"/>
      <c r="B207" s="20"/>
      <c r="C207" s="20"/>
      <c r="D207" s="21"/>
      <c r="F207" s="21"/>
      <c r="H207" s="21"/>
      <c r="I207" s="21"/>
      <c r="J207" s="21"/>
      <c r="K207" s="21"/>
      <c r="L207" s="21"/>
      <c r="M207" s="21"/>
    </row>
    <row r="208" spans="1:13" x14ac:dyDescent="0.2">
      <c r="A208" s="18"/>
      <c r="B208" s="18"/>
      <c r="C208" s="18"/>
    </row>
    <row r="209" spans="1:13" x14ac:dyDescent="0.2">
      <c r="A209" s="20"/>
      <c r="B209" s="20"/>
      <c r="C209" s="20"/>
      <c r="D209" s="21"/>
      <c r="F209" s="21"/>
      <c r="H209" s="21"/>
      <c r="I209" s="21"/>
      <c r="J209" s="21"/>
      <c r="K209" s="21"/>
      <c r="L209" s="21"/>
      <c r="M209" s="21"/>
    </row>
    <row r="210" spans="1:13" x14ac:dyDescent="0.2">
      <c r="A210" s="18"/>
      <c r="B210" s="18"/>
      <c r="C210" s="18"/>
    </row>
    <row r="211" spans="1:13" x14ac:dyDescent="0.2">
      <c r="A211" s="20"/>
      <c r="B211" s="20"/>
      <c r="C211" s="20"/>
      <c r="D211" s="21"/>
      <c r="F211" s="21"/>
      <c r="H211" s="21"/>
      <c r="I211" s="21"/>
      <c r="J211" s="21"/>
      <c r="K211" s="21"/>
      <c r="L211" s="21"/>
      <c r="M211" s="21"/>
    </row>
    <row r="212" spans="1:13" x14ac:dyDescent="0.2">
      <c r="A212" s="18"/>
      <c r="B212" s="18"/>
      <c r="C212" s="18"/>
    </row>
    <row r="213" spans="1:13" x14ac:dyDescent="0.2">
      <c r="A213" s="20"/>
      <c r="B213" s="20"/>
      <c r="C213" s="20"/>
      <c r="D213" s="21"/>
      <c r="F213" s="21"/>
      <c r="H213" s="21"/>
      <c r="I213" s="21"/>
      <c r="J213" s="21"/>
      <c r="K213" s="21"/>
      <c r="L213" s="21"/>
      <c r="M213" s="21"/>
    </row>
    <row r="214" spans="1:13" x14ac:dyDescent="0.2">
      <c r="A214" s="18"/>
      <c r="B214" s="18"/>
      <c r="C214" s="18"/>
    </row>
    <row r="215" spans="1:13" x14ac:dyDescent="0.2">
      <c r="A215" s="20"/>
      <c r="B215" s="20"/>
      <c r="C215" s="20"/>
      <c r="D215" s="21"/>
      <c r="F215" s="21"/>
      <c r="H215" s="21"/>
      <c r="I215" s="21"/>
      <c r="J215" s="21"/>
      <c r="K215" s="21"/>
      <c r="L215" s="21"/>
      <c r="M215" s="21"/>
    </row>
    <row r="216" spans="1:13" x14ac:dyDescent="0.2">
      <c r="A216" s="18"/>
      <c r="B216" s="18"/>
      <c r="C216" s="18"/>
    </row>
    <row r="217" spans="1:13" x14ac:dyDescent="0.2">
      <c r="A217" s="18"/>
      <c r="B217" s="18"/>
      <c r="C217" s="18"/>
    </row>
    <row r="218" spans="1:13" x14ac:dyDescent="0.2">
      <c r="A218" s="18"/>
      <c r="B218" s="18"/>
      <c r="C218" s="18"/>
    </row>
    <row r="219" spans="1:13" x14ac:dyDescent="0.2">
      <c r="A219" s="18"/>
      <c r="B219" s="18"/>
      <c r="C219" s="18"/>
    </row>
    <row r="220" spans="1:13" x14ac:dyDescent="0.2">
      <c r="A220" s="18"/>
      <c r="B220" s="18"/>
      <c r="C220" s="18"/>
    </row>
    <row r="221" spans="1:13" x14ac:dyDescent="0.2">
      <c r="A221" s="20"/>
      <c r="B221" s="20"/>
      <c r="C221" s="20"/>
      <c r="D221" s="21"/>
      <c r="F221" s="21"/>
      <c r="H221" s="21"/>
      <c r="I221" s="21"/>
      <c r="J221" s="21"/>
      <c r="K221" s="21"/>
      <c r="L221" s="21"/>
      <c r="M221" s="21"/>
    </row>
    <row r="222" spans="1:13" x14ac:dyDescent="0.2">
      <c r="A222" s="18"/>
      <c r="B222" s="18"/>
      <c r="C222" s="18"/>
    </row>
    <row r="223" spans="1:13" x14ac:dyDescent="0.2">
      <c r="A223" s="18"/>
      <c r="B223" s="18"/>
      <c r="C223" s="18"/>
    </row>
    <row r="224" spans="1:13" x14ac:dyDescent="0.2">
      <c r="A224" s="20"/>
      <c r="B224" s="20"/>
      <c r="C224" s="20"/>
      <c r="D224" s="21"/>
      <c r="F224" s="21"/>
      <c r="H224" s="21"/>
      <c r="I224" s="21"/>
      <c r="J224" s="21"/>
      <c r="K224" s="21"/>
      <c r="L224" s="21"/>
      <c r="M224" s="21"/>
    </row>
    <row r="225" spans="1:13" x14ac:dyDescent="0.2">
      <c r="A225" s="18"/>
      <c r="B225" s="18"/>
      <c r="C225" s="18"/>
    </row>
    <row r="226" spans="1:13" x14ac:dyDescent="0.2">
      <c r="A226" s="20"/>
      <c r="B226" s="20"/>
      <c r="C226" s="20"/>
      <c r="D226" s="21"/>
      <c r="F226" s="21"/>
      <c r="H226" s="21"/>
      <c r="I226" s="21"/>
      <c r="J226" s="21"/>
      <c r="K226" s="21"/>
      <c r="L226" s="21"/>
      <c r="M226" s="21"/>
    </row>
    <row r="227" spans="1:13" x14ac:dyDescent="0.2">
      <c r="A227" s="18"/>
      <c r="B227" s="18"/>
      <c r="C227" s="18"/>
    </row>
    <row r="228" spans="1:13" x14ac:dyDescent="0.2">
      <c r="A228" s="18"/>
      <c r="B228" s="18"/>
      <c r="C228" s="18"/>
    </row>
    <row r="229" spans="1:13" x14ac:dyDescent="0.2">
      <c r="A229" s="20"/>
      <c r="B229" s="20"/>
      <c r="C229" s="20"/>
      <c r="D229" s="21"/>
      <c r="F229" s="21"/>
      <c r="H229" s="21"/>
      <c r="I229" s="21"/>
      <c r="J229" s="21"/>
      <c r="K229" s="21"/>
      <c r="L229" s="21"/>
      <c r="M229" s="21"/>
    </row>
    <row r="230" spans="1:13" x14ac:dyDescent="0.2">
      <c r="A230" s="18"/>
      <c r="B230" s="18"/>
      <c r="C230" s="18"/>
    </row>
    <row r="231" spans="1:13" x14ac:dyDescent="0.2">
      <c r="A231" s="20"/>
      <c r="B231" s="20"/>
      <c r="C231" s="20"/>
      <c r="D231" s="21"/>
      <c r="F231" s="21"/>
      <c r="H231" s="21"/>
      <c r="I231" s="21"/>
      <c r="J231" s="21"/>
      <c r="K231" s="21"/>
      <c r="L231" s="21"/>
      <c r="M231" s="21"/>
    </row>
    <row r="232" spans="1:13" x14ac:dyDescent="0.2">
      <c r="A232" s="18"/>
      <c r="B232" s="18"/>
      <c r="C232" s="18"/>
    </row>
    <row r="233" spans="1:13" x14ac:dyDescent="0.2">
      <c r="A233" s="20"/>
      <c r="B233" s="20"/>
      <c r="C233" s="20"/>
      <c r="D233" s="21"/>
      <c r="F233" s="21"/>
      <c r="H233" s="21"/>
      <c r="I233" s="21"/>
      <c r="J233" s="21"/>
      <c r="K233" s="21"/>
      <c r="L233" s="21"/>
      <c r="M233" s="21"/>
    </row>
    <row r="234" spans="1:13" x14ac:dyDescent="0.2">
      <c r="A234" s="18"/>
      <c r="B234" s="18"/>
      <c r="C234" s="18"/>
    </row>
    <row r="235" spans="1:13" x14ac:dyDescent="0.2">
      <c r="A235" s="20"/>
      <c r="B235" s="20"/>
      <c r="C235" s="20"/>
      <c r="D235" s="21"/>
      <c r="F235" s="21"/>
      <c r="H235" s="21"/>
      <c r="I235" s="21"/>
      <c r="J235" s="21"/>
      <c r="K235" s="21"/>
      <c r="L235" s="21"/>
      <c r="M235" s="21"/>
    </row>
    <row r="236" spans="1:13" x14ac:dyDescent="0.2">
      <c r="A236" s="18"/>
      <c r="B236" s="18"/>
      <c r="C236" s="18"/>
    </row>
    <row r="237" spans="1:13" x14ac:dyDescent="0.2">
      <c r="A237" s="20"/>
      <c r="B237" s="20"/>
      <c r="C237" s="20"/>
      <c r="D237" s="21"/>
      <c r="F237" s="21"/>
      <c r="H237" s="21"/>
      <c r="I237" s="21"/>
      <c r="J237" s="21"/>
      <c r="K237" s="21"/>
      <c r="L237" s="21"/>
      <c r="M237" s="21"/>
    </row>
    <row r="238" spans="1:13" x14ac:dyDescent="0.2">
      <c r="A238" s="18"/>
      <c r="B238" s="18"/>
      <c r="C238" s="18"/>
    </row>
    <row r="239" spans="1:13" x14ac:dyDescent="0.2">
      <c r="A239" s="20"/>
      <c r="B239" s="20"/>
      <c r="C239" s="20"/>
      <c r="D239" s="21"/>
      <c r="F239" s="21"/>
      <c r="H239" s="21"/>
      <c r="I239" s="21"/>
      <c r="J239" s="21"/>
      <c r="K239" s="21"/>
      <c r="L239" s="21"/>
      <c r="M239" s="21"/>
    </row>
    <row r="240" spans="1:13" x14ac:dyDescent="0.2">
      <c r="A240" s="18"/>
      <c r="B240" s="18"/>
      <c r="C240" s="18"/>
    </row>
    <row r="241" spans="1:13" x14ac:dyDescent="0.2">
      <c r="A241" s="18"/>
      <c r="B241" s="18"/>
      <c r="C241" s="18"/>
    </row>
    <row r="242" spans="1:13" x14ac:dyDescent="0.2">
      <c r="A242" s="20"/>
      <c r="B242" s="20"/>
      <c r="C242" s="20"/>
      <c r="D242" s="21"/>
      <c r="F242" s="21"/>
      <c r="H242" s="21"/>
      <c r="I242" s="21"/>
      <c r="J242" s="21"/>
      <c r="K242" s="21"/>
      <c r="L242" s="21"/>
      <c r="M242" s="21"/>
    </row>
    <row r="243" spans="1:13" x14ac:dyDescent="0.2">
      <c r="A243" s="18"/>
      <c r="B243" s="18"/>
      <c r="C243" s="18"/>
    </row>
    <row r="244" spans="1:13" x14ac:dyDescent="0.2">
      <c r="A244" s="18"/>
      <c r="B244" s="18"/>
      <c r="C244" s="18"/>
    </row>
    <row r="245" spans="1:13" x14ac:dyDescent="0.2">
      <c r="A245" s="18"/>
      <c r="B245" s="18"/>
      <c r="C245" s="18"/>
    </row>
    <row r="246" spans="1:13" x14ac:dyDescent="0.2">
      <c r="A246" s="18"/>
      <c r="B246" s="18"/>
      <c r="C246" s="18"/>
    </row>
    <row r="247" spans="1:13" x14ac:dyDescent="0.2">
      <c r="A247" s="20"/>
      <c r="B247" s="20"/>
      <c r="C247" s="20"/>
      <c r="D247" s="21"/>
      <c r="F247" s="21"/>
      <c r="H247" s="21"/>
      <c r="I247" s="21"/>
      <c r="J247" s="21"/>
      <c r="K247" s="21"/>
      <c r="L247" s="21"/>
      <c r="M247" s="21"/>
    </row>
    <row r="248" spans="1:13" x14ac:dyDescent="0.2">
      <c r="A248" s="18"/>
      <c r="B248" s="18"/>
      <c r="C248" s="18"/>
    </row>
    <row r="249" spans="1:13" x14ac:dyDescent="0.2">
      <c r="A249" s="20"/>
      <c r="B249" s="20"/>
      <c r="C249" s="20"/>
      <c r="D249" s="21"/>
      <c r="F249" s="21"/>
      <c r="H249" s="21"/>
      <c r="I249" s="21"/>
      <c r="J249" s="21"/>
      <c r="K249" s="21"/>
      <c r="L249" s="21"/>
      <c r="M249" s="21"/>
    </row>
    <row r="250" spans="1:13" x14ac:dyDescent="0.2">
      <c r="A250" s="18"/>
      <c r="B250" s="18"/>
      <c r="C250" s="18"/>
    </row>
    <row r="251" spans="1:13" x14ac:dyDescent="0.2">
      <c r="A251" s="18"/>
      <c r="B251" s="18"/>
      <c r="C251" s="18"/>
    </row>
    <row r="252" spans="1:13" x14ac:dyDescent="0.2">
      <c r="A252" s="20"/>
      <c r="B252" s="20"/>
      <c r="C252" s="20"/>
      <c r="D252" s="21"/>
      <c r="F252" s="21"/>
      <c r="H252" s="21"/>
      <c r="I252" s="21"/>
      <c r="J252" s="21"/>
      <c r="K252" s="21"/>
      <c r="L252" s="21"/>
      <c r="M252" s="21"/>
    </row>
    <row r="253" spans="1:13" x14ac:dyDescent="0.2">
      <c r="A253" s="18"/>
      <c r="B253" s="18"/>
      <c r="C253" s="18"/>
    </row>
    <row r="254" spans="1:13" x14ac:dyDescent="0.2">
      <c r="A254" s="20"/>
      <c r="B254" s="20"/>
      <c r="C254" s="20"/>
      <c r="D254" s="21"/>
      <c r="F254" s="21"/>
      <c r="H254" s="21"/>
      <c r="I254" s="21"/>
      <c r="J254" s="21"/>
      <c r="K254" s="21"/>
      <c r="L254" s="21"/>
      <c r="M254" s="21"/>
    </row>
    <row r="255" spans="1:13" x14ac:dyDescent="0.2">
      <c r="A255" s="18"/>
      <c r="B255" s="18"/>
      <c r="C255" s="18"/>
    </row>
    <row r="256" spans="1:13" x14ac:dyDescent="0.2">
      <c r="A256" s="18"/>
      <c r="B256" s="18"/>
      <c r="C256" s="18"/>
    </row>
    <row r="257" spans="1:13" x14ac:dyDescent="0.2">
      <c r="A257" s="18"/>
      <c r="B257" s="18"/>
      <c r="C257" s="18"/>
    </row>
    <row r="258" spans="1:13" x14ac:dyDescent="0.2">
      <c r="A258" s="20"/>
      <c r="B258" s="20"/>
      <c r="C258" s="20"/>
      <c r="D258" s="21"/>
      <c r="F258" s="21"/>
      <c r="H258" s="21"/>
      <c r="I258" s="21"/>
      <c r="J258" s="21"/>
      <c r="K258" s="21"/>
      <c r="L258" s="21"/>
      <c r="M258" s="21"/>
    </row>
    <row r="259" spans="1:13" x14ac:dyDescent="0.2">
      <c r="A259" s="18"/>
      <c r="B259" s="18"/>
      <c r="C259" s="18"/>
    </row>
    <row r="260" spans="1:13" x14ac:dyDescent="0.2">
      <c r="A260" s="18"/>
      <c r="B260" s="18"/>
      <c r="C260" s="18"/>
    </row>
    <row r="261" spans="1:13" x14ac:dyDescent="0.2">
      <c r="A261" s="18"/>
      <c r="B261" s="18"/>
      <c r="C261" s="18"/>
    </row>
    <row r="262" spans="1:13" x14ac:dyDescent="0.2">
      <c r="A262" s="20"/>
      <c r="B262" s="20"/>
      <c r="C262" s="20"/>
      <c r="D262" s="21"/>
      <c r="F262" s="21"/>
      <c r="H262" s="21"/>
      <c r="I262" s="21"/>
      <c r="J262" s="21"/>
      <c r="K262" s="21"/>
      <c r="L262" s="21"/>
      <c r="M262" s="21"/>
    </row>
    <row r="263" spans="1:13" x14ac:dyDescent="0.2">
      <c r="A263" s="18"/>
      <c r="B263" s="18"/>
      <c r="C263" s="18"/>
    </row>
    <row r="264" spans="1:13" x14ac:dyDescent="0.2">
      <c r="A264" s="20"/>
      <c r="B264" s="20"/>
      <c r="C264" s="20"/>
      <c r="D264" s="21"/>
      <c r="F264" s="21"/>
      <c r="H264" s="21"/>
      <c r="I264" s="21"/>
      <c r="J264" s="21"/>
      <c r="K264" s="21"/>
      <c r="L264" s="21"/>
      <c r="M264" s="21"/>
    </row>
    <row r="265" spans="1:13" x14ac:dyDescent="0.2">
      <c r="A265" s="18"/>
      <c r="B265" s="18"/>
      <c r="C265" s="18"/>
    </row>
    <row r="266" spans="1:13" x14ac:dyDescent="0.2">
      <c r="A266" s="20"/>
      <c r="B266" s="20"/>
      <c r="C266" s="20"/>
      <c r="D266" s="21"/>
      <c r="F266" s="21"/>
      <c r="H266" s="21"/>
      <c r="I266" s="21"/>
      <c r="J266" s="21"/>
      <c r="K266" s="21"/>
      <c r="L266" s="21"/>
      <c r="M266" s="21"/>
    </row>
    <row r="267" spans="1:13" x14ac:dyDescent="0.2">
      <c r="A267" s="18"/>
      <c r="B267" s="18"/>
      <c r="C267" s="18"/>
    </row>
    <row r="268" spans="1:13" x14ac:dyDescent="0.2">
      <c r="A268" s="18"/>
      <c r="B268" s="18"/>
      <c r="C268" s="18"/>
    </row>
    <row r="269" spans="1:13" x14ac:dyDescent="0.2">
      <c r="A269" s="20"/>
      <c r="B269" s="20"/>
      <c r="C269" s="20"/>
      <c r="D269" s="21"/>
      <c r="F269" s="21"/>
      <c r="H269" s="21"/>
      <c r="I269" s="21"/>
      <c r="J269" s="21"/>
      <c r="K269" s="21"/>
      <c r="L269" s="21"/>
      <c r="M269" s="21"/>
    </row>
    <row r="270" spans="1:13" x14ac:dyDescent="0.2">
      <c r="A270" s="18"/>
      <c r="B270" s="18"/>
      <c r="C270" s="18"/>
    </row>
    <row r="271" spans="1:13" x14ac:dyDescent="0.2">
      <c r="A271" s="22"/>
      <c r="B271" s="22"/>
      <c r="C271" s="22"/>
      <c r="D271" s="23"/>
      <c r="F271" s="23"/>
      <c r="H271" s="23"/>
      <c r="I271" s="23"/>
      <c r="J271" s="23"/>
      <c r="K271" s="23"/>
      <c r="L271" s="23"/>
      <c r="M271" s="23"/>
    </row>
  </sheetData>
  <conditionalFormatting sqref="P1:P13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122F-B937-47EE-B11A-BE94330F10D1}">
  <dimension ref="A1:AC271"/>
  <sheetViews>
    <sheetView workbookViewId="0">
      <selection activeCell="V32" sqref="V32"/>
    </sheetView>
  </sheetViews>
  <sheetFormatPr baseColWidth="10" defaultColWidth="8.83203125" defaultRowHeight="15" x14ac:dyDescent="0.2"/>
  <cols>
    <col min="1" max="1" width="59.6640625" customWidth="1"/>
  </cols>
  <sheetData>
    <row r="1" spans="1:29" x14ac:dyDescent="0.2">
      <c r="A1" s="17" t="s">
        <v>7173</v>
      </c>
      <c r="B1" s="17" t="s">
        <v>7167</v>
      </c>
      <c r="C1" s="17" t="s">
        <v>7170</v>
      </c>
      <c r="D1" s="17" t="s">
        <v>60</v>
      </c>
      <c r="E1" s="17" t="s">
        <v>7165</v>
      </c>
      <c r="F1" s="17" t="s">
        <v>7169</v>
      </c>
      <c r="G1" s="17" t="s">
        <v>7162</v>
      </c>
      <c r="H1" s="17" t="s">
        <v>7168</v>
      </c>
      <c r="I1" s="17"/>
      <c r="J1" s="17" t="s">
        <v>7366</v>
      </c>
      <c r="K1" s="16" t="s">
        <v>7167</v>
      </c>
      <c r="L1" s="16" t="s">
        <v>7170</v>
      </c>
      <c r="M1" s="16" t="s">
        <v>60</v>
      </c>
      <c r="N1" s="16" t="s">
        <v>7165</v>
      </c>
      <c r="O1" s="16" t="s">
        <v>7172</v>
      </c>
      <c r="P1" s="16" t="s">
        <v>7169</v>
      </c>
      <c r="Q1" s="16" t="s">
        <v>7162</v>
      </c>
      <c r="R1" s="16" t="s">
        <v>7168</v>
      </c>
      <c r="S1" s="16" t="s">
        <v>7180</v>
      </c>
      <c r="T1" s="16"/>
      <c r="U1" t="s">
        <v>7364</v>
      </c>
      <c r="V1" s="16" t="s">
        <v>7167</v>
      </c>
      <c r="W1" s="16" t="s">
        <v>7170</v>
      </c>
      <c r="X1" s="16" t="s">
        <v>60</v>
      </c>
      <c r="Y1" s="16" t="s">
        <v>7165</v>
      </c>
      <c r="Z1" s="16" t="s">
        <v>7169</v>
      </c>
      <c r="AA1" s="16" t="s">
        <v>7162</v>
      </c>
      <c r="AB1" s="16" t="s">
        <v>7168</v>
      </c>
      <c r="AC1" s="16"/>
    </row>
    <row r="2" spans="1:29" x14ac:dyDescent="0.2">
      <c r="A2" s="16" t="s">
        <v>169</v>
      </c>
      <c r="E2">
        <v>4</v>
      </c>
      <c r="J2" t="s">
        <v>7353</v>
      </c>
      <c r="K2">
        <f>COUNTIFS(alldata_newdb!Q:Q, CONCATENATE("*",J2,"*"), alldata_newdb!L:L, "Dairy")</f>
        <v>8</v>
      </c>
      <c r="L2" s="21">
        <f>COUNTIFS(alldata_newdb!Q:Q, CONCATENATE("*",J2,"*"), alldata_newdb!L:L, "Environment")</f>
        <v>3</v>
      </c>
      <c r="M2">
        <f>COUNTIFS(alldata_newdb!Q:Q, CONCATENATE("*",J2,"*"), alldata_newdb!L:L, "Flour")</f>
        <v>5</v>
      </c>
      <c r="N2">
        <f>COUNTIFS(alldata_newdb!Q:Q, CONCATENATE("*",J2,"*"), alldata_newdb!L:L, "Meat")</f>
        <v>195</v>
      </c>
      <c r="O2">
        <f>COUNTIFS(alldata_newdb!Q:Q, CONCATENATE("*",J2,"*"), alldata_newdb!L:L, "Lamb")</f>
        <v>8</v>
      </c>
      <c r="P2">
        <f>COUNTIFS(alldata_newdb!Q:Q, CONCATENATE("*",J2,"*"), alldata_newdb!L:L, "Nuts/Seeds")</f>
        <v>4</v>
      </c>
      <c r="Q2">
        <f>COUNTIFS(alldata_newdb!Q:Q, CONCATENATE("*",J2,"*"), alldata_newdb!L:L, "Other")</f>
        <v>20</v>
      </c>
      <c r="R2">
        <f>COUNTIFS(alldata_newdb!Q:Q, CONCATENATE("*",J2,"*"), alldata_newdb!L:L, "Vegetable")</f>
        <v>2</v>
      </c>
      <c r="S2">
        <f>SUM(K2:R2)</f>
        <v>245</v>
      </c>
      <c r="U2" t="s">
        <v>7353</v>
      </c>
      <c r="V2">
        <f>SUMIF($A$2:$A$99,CONCATENATE("*",U2,"*"),$B$2:$B$99)</f>
        <v>8</v>
      </c>
      <c r="W2">
        <f>SUMIF($A$2:$A$99,CONCATENATE("*",U2,"*"),$C$2:$C$99)</f>
        <v>3</v>
      </c>
      <c r="X2">
        <f>SUMIF($A$2:$A$99,CONCATENATE("*",U2,"*"),$D$2:$D$99)</f>
        <v>5</v>
      </c>
      <c r="Y2">
        <f>SUMIF($A$2:$A$99,CONCATENATE("*",U2,"*"),$E$2:$E$99)</f>
        <v>203</v>
      </c>
      <c r="Z2">
        <f>SUMIF($A$2:$A$99,CONCATENATE("*",U2,"*"),$F$2:$F$99)</f>
        <v>4</v>
      </c>
      <c r="AA2">
        <f>SUMIF($A$2:$A$99,CONCATENATE("*",U2,"*"),$G$2:$G$99)</f>
        <v>20</v>
      </c>
      <c r="AB2">
        <f>SUMIF($A$2:$A$99,CONCATENATE("*",U2,"*"),$H$2:$H$99)</f>
        <v>2</v>
      </c>
    </row>
    <row r="3" spans="1:29" x14ac:dyDescent="0.2">
      <c r="A3" s="16" t="s">
        <v>7197</v>
      </c>
      <c r="D3">
        <v>1</v>
      </c>
      <c r="E3">
        <v>21</v>
      </c>
      <c r="G3">
        <v>3</v>
      </c>
      <c r="J3" t="s">
        <v>7354</v>
      </c>
      <c r="K3">
        <f>COUNTIFS(alldata_newdb!Q:Q, CONCATENATE("*",J3,"*"), alldata_newdb!L:L, "Dairy")</f>
        <v>10</v>
      </c>
      <c r="L3" s="21">
        <f>COUNTIFS(alldata_newdb!Q:Q, CONCATENATE("*",J3,"*"), alldata_newdb!L:L, "Environment")</f>
        <v>2</v>
      </c>
      <c r="M3">
        <f>COUNTIFS(alldata_newdb!Q:Q, CONCATENATE("*",J3,"*"), alldata_newdb!L:L, "Flour")</f>
        <v>23</v>
      </c>
      <c r="N3">
        <f>COUNTIFS(alldata_newdb!Q:Q, CONCATENATE("*",J3,"*"), alldata_newdb!L:L, "Meat")</f>
        <v>175</v>
      </c>
      <c r="O3">
        <f>COUNTIFS(alldata_newdb!Q:Q, CONCATENATE("*",J3,"*"), alldata_newdb!L:L, "Lamb")</f>
        <v>0</v>
      </c>
      <c r="P3">
        <f>COUNTIFS(alldata_newdb!Q:Q, CONCATENATE("*",J3,"*"), alldata_newdb!L:L, "Nuts/Seeds")</f>
        <v>14</v>
      </c>
      <c r="Q3">
        <f>COUNTIFS(alldata_newdb!Q:Q, CONCATENATE("*",J3,"*"), alldata_newdb!L:L, "Other")</f>
        <v>10</v>
      </c>
      <c r="R3">
        <f>COUNTIFS(alldata_newdb!Q:Q, CONCATENATE("*",J3,"*"), alldata_newdb!L:L, "Vegetable")</f>
        <v>4</v>
      </c>
      <c r="S3">
        <f t="shared" ref="S3:S12" si="0">SUM(K3:R3)</f>
        <v>238</v>
      </c>
      <c r="U3" t="s">
        <v>7354</v>
      </c>
      <c r="V3">
        <f t="shared" ref="V3:V12" si="1">SUMIF($A$2:$A$99,CONCATENATE("*",U3,"*"),$B$2:$B$99)</f>
        <v>10</v>
      </c>
      <c r="W3">
        <f t="shared" ref="W3:W12" si="2">SUMIF($A$2:$A$99,CONCATENATE("*",U3,"*"),$C$2:$C$99)</f>
        <v>2</v>
      </c>
      <c r="X3">
        <f t="shared" ref="X3:X12" si="3">SUMIF($A$2:$A$99,CONCATENATE("*",U3,"*"),$D$2:$D$99)</f>
        <v>23</v>
      </c>
      <c r="Y3">
        <f t="shared" ref="Y3:Y12" si="4">SUMIF($A$2:$A$99,CONCATENATE("*",U3,"*"),$E$2:$E$99)</f>
        <v>175</v>
      </c>
      <c r="Z3">
        <f t="shared" ref="Z3:Z12" si="5">SUMIF($A$2:$A$99,CONCATENATE("*",U3,"*"),$F$2:$F$99)</f>
        <v>14</v>
      </c>
      <c r="AA3">
        <f t="shared" ref="AA3:AA12" si="6">SUMIF($A$2:$A$99,CONCATENATE("*",U3,"*"),$G$2:$G$99)</f>
        <v>10</v>
      </c>
      <c r="AB3">
        <f t="shared" ref="AB3:AB12" si="7">SUMIF($A$2:$A$99,CONCATENATE("*",U3,"*"),$H$2:$H$99)</f>
        <v>4</v>
      </c>
    </row>
    <row r="4" spans="1:29" x14ac:dyDescent="0.2">
      <c r="A4" s="16" t="s">
        <v>7227</v>
      </c>
      <c r="E4">
        <v>2</v>
      </c>
      <c r="G4">
        <v>1</v>
      </c>
      <c r="J4" t="s">
        <v>7355</v>
      </c>
      <c r="K4">
        <f>COUNTIFS(alldata_newdb!Q:Q, CONCATENATE("*",J4,"*"), alldata_newdb!L:L, "Dairy")</f>
        <v>3</v>
      </c>
      <c r="L4" s="21">
        <f>COUNTIFS(alldata_newdb!Q:Q, CONCATENATE("*",J4,"*"), alldata_newdb!L:L, "Environment")</f>
        <v>0</v>
      </c>
      <c r="M4">
        <f>COUNTIFS(alldata_newdb!Q:Q, CONCATENATE("*",J4,"*"), alldata_newdb!L:L, "Flour")</f>
        <v>0</v>
      </c>
      <c r="N4">
        <f>COUNTIFS(alldata_newdb!Q:Q, CONCATENATE("*",J4,"*"), alldata_newdb!L:L, "Meat")</f>
        <v>15</v>
      </c>
      <c r="O4">
        <f>COUNTIFS(alldata_newdb!Q:Q, CONCATENATE("*",J4,"*"), alldata_newdb!L:L, "Lamb")</f>
        <v>0</v>
      </c>
      <c r="P4">
        <f>COUNTIFS(alldata_newdb!Q:Q, CONCATENATE("*",J4,"*"), alldata_newdb!L:L, "Nuts/Seeds")</f>
        <v>0</v>
      </c>
      <c r="Q4">
        <f>COUNTIFS(alldata_newdb!Q:Q, CONCATENATE("*",J4,"*"), alldata_newdb!L:L, "Other")</f>
        <v>2</v>
      </c>
      <c r="R4">
        <f>COUNTIFS(alldata_newdb!Q:Q, CONCATENATE("*",J4,"*"), alldata_newdb!L:L, "Vegetable")</f>
        <v>0</v>
      </c>
      <c r="S4">
        <f t="shared" si="0"/>
        <v>20</v>
      </c>
      <c r="U4" t="s">
        <v>7355</v>
      </c>
      <c r="V4">
        <f t="shared" si="1"/>
        <v>3</v>
      </c>
      <c r="W4">
        <f t="shared" si="2"/>
        <v>0</v>
      </c>
      <c r="X4">
        <f t="shared" si="3"/>
        <v>0</v>
      </c>
      <c r="Y4">
        <f t="shared" si="4"/>
        <v>15</v>
      </c>
      <c r="Z4">
        <f t="shared" si="5"/>
        <v>0</v>
      </c>
      <c r="AA4">
        <f t="shared" si="6"/>
        <v>2</v>
      </c>
      <c r="AB4">
        <f t="shared" si="7"/>
        <v>0</v>
      </c>
    </row>
    <row r="5" spans="1:29" x14ac:dyDescent="0.2">
      <c r="A5" s="16" t="s">
        <v>7292</v>
      </c>
      <c r="F5">
        <v>1</v>
      </c>
      <c r="J5" t="s">
        <v>7356</v>
      </c>
      <c r="K5">
        <f>COUNTIFS(alldata_newdb!Q:Q, CONCATENATE("*",J5,"*"), alldata_newdb!L:L, "Dairy")</f>
        <v>0</v>
      </c>
      <c r="L5" s="21">
        <f>COUNTIFS(alldata_newdb!Q:Q, CONCATENATE("*",J5,"*"), alldata_newdb!L:L, "Environment")</f>
        <v>7</v>
      </c>
      <c r="M5">
        <f>COUNTIFS(alldata_newdb!Q:Q, CONCATENATE("*",J5,"*"), alldata_newdb!L:L, "Flour")</f>
        <v>1</v>
      </c>
      <c r="N5">
        <f>COUNTIFS(alldata_newdb!Q:Q, CONCATENATE("*",J5,"*"), alldata_newdb!L:L, "Meat")</f>
        <v>52</v>
      </c>
      <c r="O5">
        <f>COUNTIFS(alldata_newdb!Q:Q, CONCATENATE("*",J5,"*"), alldata_newdb!L:L, "Lamb")</f>
        <v>0</v>
      </c>
      <c r="P5">
        <f>COUNTIFS(alldata_newdb!Q:Q, CONCATENATE("*",J5,"*"), alldata_newdb!L:L, "Nuts/Seeds")</f>
        <v>3</v>
      </c>
      <c r="Q5">
        <f>COUNTIFS(alldata_newdb!Q:Q, CONCATENATE("*",J5,"*"), alldata_newdb!L:L, "Other")</f>
        <v>4</v>
      </c>
      <c r="R5">
        <f>COUNTIFS(alldata_newdb!Q:Q, CONCATENATE("*",J5,"*"), alldata_newdb!L:L, "Vegetable")</f>
        <v>0</v>
      </c>
      <c r="S5">
        <f t="shared" si="0"/>
        <v>67</v>
      </c>
      <c r="U5" t="s">
        <v>7356</v>
      </c>
      <c r="V5">
        <f t="shared" si="1"/>
        <v>0</v>
      </c>
      <c r="W5">
        <f t="shared" si="2"/>
        <v>7</v>
      </c>
      <c r="X5">
        <f t="shared" si="3"/>
        <v>1</v>
      </c>
      <c r="Y5">
        <f t="shared" si="4"/>
        <v>52</v>
      </c>
      <c r="Z5">
        <f t="shared" si="5"/>
        <v>3</v>
      </c>
      <c r="AA5">
        <f t="shared" si="6"/>
        <v>4</v>
      </c>
      <c r="AB5">
        <f t="shared" si="7"/>
        <v>0</v>
      </c>
    </row>
    <row r="6" spans="1:29" x14ac:dyDescent="0.2">
      <c r="A6" s="16" t="s">
        <v>7293</v>
      </c>
      <c r="E6">
        <v>7</v>
      </c>
      <c r="F6">
        <v>1</v>
      </c>
      <c r="J6" t="s">
        <v>7357</v>
      </c>
      <c r="K6">
        <f>COUNTIFS(alldata_newdb!Q:Q, CONCATENATE("*",J6,"*"), alldata_newdb!L:L, "Dairy")</f>
        <v>0</v>
      </c>
      <c r="L6" s="21">
        <f>COUNTIFS(alldata_newdb!Q:Q, CONCATENATE("*",J6,"*"), alldata_newdb!L:L, "Environment")</f>
        <v>0</v>
      </c>
      <c r="M6">
        <f>COUNTIFS(alldata_newdb!Q:Q, CONCATENATE("*",J6,"*"), alldata_newdb!L:L, "Flour")</f>
        <v>1</v>
      </c>
      <c r="N6">
        <f>COUNTIFS(alldata_newdb!Q:Q, CONCATENATE("*",J6,"*"), alldata_newdb!L:L, "Meat")</f>
        <v>52</v>
      </c>
      <c r="O6">
        <f>COUNTIFS(alldata_newdb!Q:Q, CONCATENATE("*",J6,"*"), alldata_newdb!L:L, "Lamb")</f>
        <v>28</v>
      </c>
      <c r="P6">
        <f>COUNTIFS(alldata_newdb!Q:Q, CONCATENATE("*",J6,"*"), alldata_newdb!L:L, "Nuts/Seeds")</f>
        <v>0</v>
      </c>
      <c r="Q6">
        <f>COUNTIFS(alldata_newdb!Q:Q, CONCATENATE("*",J6,"*"), alldata_newdb!L:L, "Other")</f>
        <v>27</v>
      </c>
      <c r="R6">
        <f>COUNTIFS(alldata_newdb!Q:Q, CONCATENATE("*",J6,"*"), alldata_newdb!L:L, "Vegetable")</f>
        <v>0</v>
      </c>
      <c r="S6">
        <f t="shared" si="0"/>
        <v>108</v>
      </c>
      <c r="U6" t="s">
        <v>7357</v>
      </c>
      <c r="V6">
        <f t="shared" si="1"/>
        <v>0</v>
      </c>
      <c r="W6">
        <f t="shared" si="2"/>
        <v>0</v>
      </c>
      <c r="X6">
        <f t="shared" si="3"/>
        <v>1</v>
      </c>
      <c r="Y6">
        <f t="shared" si="4"/>
        <v>80</v>
      </c>
      <c r="Z6">
        <f t="shared" si="5"/>
        <v>0</v>
      </c>
      <c r="AA6">
        <f t="shared" si="6"/>
        <v>27</v>
      </c>
      <c r="AB6">
        <f t="shared" si="7"/>
        <v>0</v>
      </c>
    </row>
    <row r="7" spans="1:29" x14ac:dyDescent="0.2">
      <c r="A7" s="16" t="s">
        <v>7294</v>
      </c>
      <c r="E7">
        <v>1</v>
      </c>
      <c r="J7" t="s">
        <v>7358</v>
      </c>
      <c r="K7">
        <f>COUNTIFS(alldata_newdb!Q:Q, CONCATENATE("*",J7,"*"), alldata_newdb!L:L, "Dairy")</f>
        <v>0</v>
      </c>
      <c r="L7" s="21">
        <f>COUNTIFS(alldata_newdb!Q:Q, CONCATENATE("*",J7,"*"), alldata_newdb!L:L, "Environment")</f>
        <v>0</v>
      </c>
      <c r="M7">
        <f>COUNTIFS(alldata_newdb!Q:Q, CONCATENATE("*",J7,"*"), alldata_newdb!L:L, "Flour")</f>
        <v>0</v>
      </c>
      <c r="N7">
        <f>COUNTIFS(alldata_newdb!Q:Q, CONCATENATE("*",J7,"*"), alldata_newdb!L:L, "Meat")</f>
        <v>63</v>
      </c>
      <c r="O7">
        <f>COUNTIFS(alldata_newdb!Q:Q, CONCATENATE("*",J7,"*"), alldata_newdb!L:L, "Lamb")</f>
        <v>23</v>
      </c>
      <c r="P7">
        <f>COUNTIFS(alldata_newdb!Q:Q, CONCATENATE("*",J7,"*"), alldata_newdb!L:L, "Nuts/Seeds")</f>
        <v>0</v>
      </c>
      <c r="Q7">
        <f>COUNTIFS(alldata_newdb!Q:Q, CONCATENATE("*",J7,"*"), alldata_newdb!L:L, "Other")</f>
        <v>32</v>
      </c>
      <c r="R7">
        <f>COUNTIFS(alldata_newdb!Q:Q, CONCATENATE("*",J7,"*"), alldata_newdb!L:L, "Vegetable")</f>
        <v>0</v>
      </c>
      <c r="S7">
        <f t="shared" si="0"/>
        <v>118</v>
      </c>
      <c r="U7" t="s">
        <v>7358</v>
      </c>
      <c r="V7">
        <f t="shared" si="1"/>
        <v>0</v>
      </c>
      <c r="W7">
        <f t="shared" si="2"/>
        <v>0</v>
      </c>
      <c r="X7">
        <f t="shared" si="3"/>
        <v>0</v>
      </c>
      <c r="Y7">
        <f t="shared" si="4"/>
        <v>86</v>
      </c>
      <c r="Z7">
        <f t="shared" si="5"/>
        <v>0</v>
      </c>
      <c r="AA7">
        <f t="shared" si="6"/>
        <v>32</v>
      </c>
      <c r="AB7">
        <f t="shared" si="7"/>
        <v>0</v>
      </c>
    </row>
    <row r="8" spans="1:29" x14ac:dyDescent="0.2">
      <c r="A8" s="16" t="s">
        <v>7220</v>
      </c>
      <c r="B8">
        <v>2</v>
      </c>
      <c r="E8">
        <v>34</v>
      </c>
      <c r="F8">
        <v>1</v>
      </c>
      <c r="G8">
        <v>1</v>
      </c>
      <c r="J8" t="s">
        <v>7359</v>
      </c>
      <c r="K8">
        <f>COUNTIFS(alldata_newdb!Q:Q, CONCATENATE("*",J8,"*"), alldata_newdb!L:L, "Dairy")</f>
        <v>0</v>
      </c>
      <c r="L8" s="21">
        <f>COUNTIFS(alldata_newdb!Q:Q, CONCATENATE("*",J8,"*"), alldata_newdb!L:L, "Environment")</f>
        <v>0</v>
      </c>
      <c r="M8">
        <f>COUNTIFS(alldata_newdb!Q:Q, CONCATENATE("*",J8,"*"), alldata_newdb!L:L, "Flour")</f>
        <v>0</v>
      </c>
      <c r="N8">
        <f>COUNTIFS(alldata_newdb!Q:Q, CONCATENATE("*",J8,"*"), alldata_newdb!L:L, "Meat")</f>
        <v>1</v>
      </c>
      <c r="O8">
        <f>COUNTIFS(alldata_newdb!Q:Q, CONCATENATE("*",J8,"*"), alldata_newdb!L:L, "Lamb")</f>
        <v>0</v>
      </c>
      <c r="P8">
        <f>COUNTIFS(alldata_newdb!Q:Q, CONCATENATE("*",J8,"*"), alldata_newdb!L:L, "Nuts/Seeds")</f>
        <v>0</v>
      </c>
      <c r="Q8">
        <f>COUNTIFS(alldata_newdb!Q:Q, CONCATENATE("*",J8,"*"), alldata_newdb!L:L, "Other")</f>
        <v>0</v>
      </c>
      <c r="R8">
        <f>COUNTIFS(alldata_newdb!Q:Q, CONCATENATE("*",J8,"*"), alldata_newdb!L:L, "Vegetable")</f>
        <v>0</v>
      </c>
      <c r="S8">
        <f t="shared" si="0"/>
        <v>1</v>
      </c>
      <c r="U8" t="s">
        <v>7359</v>
      </c>
      <c r="V8">
        <f t="shared" si="1"/>
        <v>0</v>
      </c>
      <c r="W8">
        <f t="shared" si="2"/>
        <v>0</v>
      </c>
      <c r="X8">
        <f t="shared" si="3"/>
        <v>0</v>
      </c>
      <c r="Y8">
        <f t="shared" si="4"/>
        <v>1</v>
      </c>
      <c r="Z8">
        <f t="shared" si="5"/>
        <v>0</v>
      </c>
      <c r="AA8">
        <f t="shared" si="6"/>
        <v>0</v>
      </c>
      <c r="AB8">
        <f t="shared" si="7"/>
        <v>0</v>
      </c>
    </row>
    <row r="9" spans="1:29" x14ac:dyDescent="0.2">
      <c r="A9" s="16" t="s">
        <v>7194</v>
      </c>
      <c r="B9">
        <v>1</v>
      </c>
      <c r="C9">
        <v>2</v>
      </c>
      <c r="E9">
        <v>60</v>
      </c>
      <c r="G9">
        <v>2</v>
      </c>
      <c r="H9">
        <v>1</v>
      </c>
      <c r="J9" s="18" t="s">
        <v>7360</v>
      </c>
      <c r="K9">
        <f>COUNTIFS(alldata_newdb!Q:Q, CONCATENATE("*",J9,"*"), alldata_newdb!L:L, "Dairy")</f>
        <v>0</v>
      </c>
      <c r="L9" s="21">
        <f>COUNTIFS(alldata_newdb!Q:Q, CONCATENATE("*",J9,"*"), alldata_newdb!L:L, "Environment")</f>
        <v>0</v>
      </c>
      <c r="M9">
        <f>COUNTIFS(alldata_newdb!Q:Q, CONCATENATE("*",J9,"*"), alldata_newdb!L:L, "Flour")</f>
        <v>0</v>
      </c>
      <c r="N9">
        <f>COUNTIFS(alldata_newdb!Q:Q, CONCATENATE("*",J9,"*"), alldata_newdb!L:L, "Meat")</f>
        <v>7</v>
      </c>
      <c r="O9">
        <f>COUNTIFS(alldata_newdb!Q:Q, CONCATENATE("*",J9,"*"), alldata_newdb!L:L, "Lamb")</f>
        <v>1</v>
      </c>
      <c r="P9">
        <f>COUNTIFS(alldata_newdb!Q:Q, CONCATENATE("*",J9,"*"), alldata_newdb!L:L, "Nuts/Seeds")</f>
        <v>0</v>
      </c>
      <c r="Q9">
        <f>COUNTIFS(alldata_newdb!Q:Q, CONCATENATE("*",J9,"*"), alldata_newdb!L:L, "Other")</f>
        <v>0</v>
      </c>
      <c r="R9">
        <f>COUNTIFS(alldata_newdb!Q:Q, CONCATENATE("*",J9,"*"), alldata_newdb!L:L, "Vegetable")</f>
        <v>0</v>
      </c>
      <c r="S9">
        <f t="shared" si="0"/>
        <v>8</v>
      </c>
      <c r="U9" s="18" t="s">
        <v>7360</v>
      </c>
      <c r="V9">
        <f t="shared" si="1"/>
        <v>0</v>
      </c>
      <c r="W9">
        <f t="shared" si="2"/>
        <v>0</v>
      </c>
      <c r="X9">
        <f t="shared" si="3"/>
        <v>0</v>
      </c>
      <c r="Y9">
        <f t="shared" si="4"/>
        <v>8</v>
      </c>
      <c r="Z9">
        <f t="shared" si="5"/>
        <v>0</v>
      </c>
      <c r="AA9">
        <f t="shared" si="6"/>
        <v>0</v>
      </c>
      <c r="AB9">
        <f t="shared" si="7"/>
        <v>0</v>
      </c>
    </row>
    <row r="10" spans="1:29" x14ac:dyDescent="0.2">
      <c r="A10" s="16" t="s">
        <v>7295</v>
      </c>
      <c r="E10">
        <v>1</v>
      </c>
      <c r="J10" s="18" t="s">
        <v>7361</v>
      </c>
      <c r="K10">
        <f>COUNTIFS(alldata_newdb!Q:Q, CONCATENATE("*",J10,"*"), alldata_newdb!L:L, "Dairy")</f>
        <v>0</v>
      </c>
      <c r="L10" s="21">
        <f>COUNTIFS(alldata_newdb!Q:Q, CONCATENATE("*",J10,"*"), alldata_newdb!L:L, "Environment")</f>
        <v>0</v>
      </c>
      <c r="M10">
        <f>COUNTIFS(alldata_newdb!Q:Q, CONCATENATE("*",J10,"*"), alldata_newdb!L:L, "Flour")</f>
        <v>0</v>
      </c>
      <c r="N10">
        <f>COUNTIFS(alldata_newdb!Q:Q, CONCATENATE("*",J10,"*"), alldata_newdb!L:L, "Meat")</f>
        <v>2</v>
      </c>
      <c r="O10">
        <f>COUNTIFS(alldata_newdb!Q:Q, CONCATENATE("*",J10,"*"), alldata_newdb!L:L, "Lamb")</f>
        <v>0</v>
      </c>
      <c r="P10">
        <f>COUNTIFS(alldata_newdb!Q:Q, CONCATENATE("*",J10,"*"), alldata_newdb!L:L, "Nuts/Seeds")</f>
        <v>0</v>
      </c>
      <c r="Q10">
        <f>COUNTIFS(alldata_newdb!Q:Q, CONCATENATE("*",J10,"*"), alldata_newdb!L:L, "Other")</f>
        <v>1</v>
      </c>
      <c r="R10">
        <f>COUNTIFS(alldata_newdb!Q:Q, CONCATENATE("*",J10,"*"), alldata_newdb!L:L, "Vegetable")</f>
        <v>0</v>
      </c>
      <c r="S10">
        <f t="shared" si="0"/>
        <v>3</v>
      </c>
      <c r="U10" s="18" t="s">
        <v>7361</v>
      </c>
      <c r="V10">
        <f t="shared" si="1"/>
        <v>0</v>
      </c>
      <c r="W10">
        <f t="shared" si="2"/>
        <v>0</v>
      </c>
      <c r="X10">
        <f t="shared" si="3"/>
        <v>0</v>
      </c>
      <c r="Y10">
        <f t="shared" si="4"/>
        <v>2</v>
      </c>
      <c r="Z10">
        <f t="shared" si="5"/>
        <v>0</v>
      </c>
      <c r="AA10">
        <f t="shared" si="6"/>
        <v>1</v>
      </c>
      <c r="AB10">
        <f t="shared" si="7"/>
        <v>0</v>
      </c>
    </row>
    <row r="11" spans="1:29" x14ac:dyDescent="0.2">
      <c r="A11" s="16" t="s">
        <v>7209</v>
      </c>
      <c r="D11">
        <v>1</v>
      </c>
      <c r="E11">
        <v>1</v>
      </c>
      <c r="G11">
        <v>1</v>
      </c>
      <c r="J11" s="18" t="s">
        <v>7362</v>
      </c>
      <c r="K11">
        <f>COUNTIFS(alldata_newdb!Q:Q, CONCATENATE("*",J11,"*"), alldata_newdb!L:L, "Dairy")</f>
        <v>0</v>
      </c>
      <c r="L11" s="21">
        <f>COUNTIFS(alldata_newdb!Q:Q, CONCATENATE("*",J11,"*"), alldata_newdb!L:L, "Environment")</f>
        <v>0</v>
      </c>
      <c r="M11">
        <f>COUNTIFS(alldata_newdb!Q:Q, CONCATENATE("*",J11,"*"), alldata_newdb!L:L, "Flour")</f>
        <v>0</v>
      </c>
      <c r="N11">
        <f>COUNTIFS(alldata_newdb!Q:Q, CONCATENATE("*",J11,"*"), alldata_newdb!L:L, "Meat")</f>
        <v>0</v>
      </c>
      <c r="O11">
        <f>COUNTIFS(alldata_newdb!Q:Q, CONCATENATE("*",J11,"*"), alldata_newdb!L:L, "Lamb")</f>
        <v>12</v>
      </c>
      <c r="P11">
        <f>COUNTIFS(alldata_newdb!Q:Q, CONCATENATE("*",J11,"*"), alldata_newdb!L:L, "Nuts/Seeds")</f>
        <v>0</v>
      </c>
      <c r="Q11">
        <f>COUNTIFS(alldata_newdb!Q:Q, CONCATENATE("*",J11,"*"), alldata_newdb!L:L, "Other")</f>
        <v>4</v>
      </c>
      <c r="R11">
        <f>COUNTIFS(alldata_newdb!Q:Q, CONCATENATE("*",J11,"*"), alldata_newdb!L:L, "Vegetable")</f>
        <v>0</v>
      </c>
      <c r="S11">
        <f t="shared" si="0"/>
        <v>16</v>
      </c>
      <c r="U11" s="18" t="s">
        <v>7362</v>
      </c>
      <c r="V11">
        <f t="shared" si="1"/>
        <v>0</v>
      </c>
      <c r="W11">
        <f t="shared" si="2"/>
        <v>0</v>
      </c>
      <c r="X11">
        <f t="shared" si="3"/>
        <v>0</v>
      </c>
      <c r="Y11">
        <f t="shared" si="4"/>
        <v>12</v>
      </c>
      <c r="Z11">
        <f t="shared" si="5"/>
        <v>0</v>
      </c>
      <c r="AA11">
        <f t="shared" si="6"/>
        <v>4</v>
      </c>
      <c r="AB11">
        <f t="shared" si="7"/>
        <v>0</v>
      </c>
    </row>
    <row r="12" spans="1:29" x14ac:dyDescent="0.2">
      <c r="A12" s="16" t="s">
        <v>7222</v>
      </c>
      <c r="E12">
        <v>1</v>
      </c>
      <c r="G12">
        <v>1</v>
      </c>
      <c r="J12" s="18" t="s">
        <v>7363</v>
      </c>
      <c r="K12">
        <f>COUNTIFS(alldata_newdb!Q:Q, CONCATENATE("*",J12,"*"), alldata_newdb!L:L, "Dairy")</f>
        <v>0</v>
      </c>
      <c r="L12" s="21">
        <f>COUNTIFS(alldata_newdb!Q:Q, CONCATENATE("*",J12,"*"), alldata_newdb!L:L, "Environment")</f>
        <v>0</v>
      </c>
      <c r="M12">
        <f>COUNTIFS(alldata_newdb!Q:Q, CONCATENATE("*",J12,"*"), alldata_newdb!L:L, "Flour")</f>
        <v>0</v>
      </c>
      <c r="N12">
        <f>COUNTIFS(alldata_newdb!Q:Q, CONCATENATE("*",J12,"*"), alldata_newdb!L:L, "Meat")</f>
        <v>0</v>
      </c>
      <c r="O12">
        <f>COUNTIFS(alldata_newdb!Q:Q, CONCATENATE("*",J12,"*"), alldata_newdb!L:L, "Lamb")</f>
        <v>0</v>
      </c>
      <c r="P12">
        <f>COUNTIFS(alldata_newdb!Q:Q, CONCATENATE("*",J12,"*"), alldata_newdb!L:L, "Nuts/Seeds")</f>
        <v>1</v>
      </c>
      <c r="Q12">
        <f>COUNTIFS(alldata_newdb!Q:Q, CONCATENATE("*",J12,"*"), alldata_newdb!L:L, "Other")</f>
        <v>0</v>
      </c>
      <c r="R12">
        <f>COUNTIFS(alldata_newdb!Q:Q, CONCATENATE("*",J12,"*"), alldata_newdb!L:L, "Vegetable")</f>
        <v>0</v>
      </c>
      <c r="S12">
        <f t="shared" si="0"/>
        <v>1</v>
      </c>
      <c r="U12" s="18" t="s">
        <v>7363</v>
      </c>
      <c r="V12">
        <f t="shared" si="1"/>
        <v>0</v>
      </c>
      <c r="W12">
        <f t="shared" si="2"/>
        <v>0</v>
      </c>
      <c r="X12">
        <f t="shared" si="3"/>
        <v>0</v>
      </c>
      <c r="Y12">
        <f t="shared" si="4"/>
        <v>0</v>
      </c>
      <c r="Z12">
        <f t="shared" si="5"/>
        <v>1</v>
      </c>
      <c r="AA12">
        <f t="shared" si="6"/>
        <v>0</v>
      </c>
      <c r="AB12">
        <f t="shared" si="7"/>
        <v>0</v>
      </c>
    </row>
    <row r="13" spans="1:29" x14ac:dyDescent="0.2">
      <c r="A13" s="16" t="s">
        <v>7296</v>
      </c>
      <c r="F13">
        <v>3</v>
      </c>
      <c r="U13" s="18"/>
    </row>
    <row r="14" spans="1:29" x14ac:dyDescent="0.2">
      <c r="A14" s="16" t="s">
        <v>7297</v>
      </c>
      <c r="E14">
        <v>2</v>
      </c>
      <c r="L14" s="21"/>
    </row>
    <row r="15" spans="1:29" x14ac:dyDescent="0.2">
      <c r="A15" s="16" t="s">
        <v>7298</v>
      </c>
      <c r="E15">
        <v>1</v>
      </c>
    </row>
    <row r="16" spans="1:29" x14ac:dyDescent="0.2">
      <c r="A16" s="16" t="s">
        <v>7299</v>
      </c>
      <c r="E16">
        <v>1</v>
      </c>
      <c r="J16" t="s">
        <v>7366</v>
      </c>
      <c r="K16" t="s">
        <v>7167</v>
      </c>
      <c r="L16" s="21" t="s">
        <v>7170</v>
      </c>
      <c r="M16" t="s">
        <v>60</v>
      </c>
      <c r="N16" t="s">
        <v>7165</v>
      </c>
      <c r="O16" t="s">
        <v>7172</v>
      </c>
      <c r="P16" t="s">
        <v>7169</v>
      </c>
      <c r="Q16" t="s">
        <v>7162</v>
      </c>
      <c r="R16" t="s">
        <v>7168</v>
      </c>
      <c r="S16" t="s">
        <v>7180</v>
      </c>
      <c r="U16" t="s">
        <v>7364</v>
      </c>
      <c r="V16" t="s">
        <v>7167</v>
      </c>
      <c r="W16" t="s">
        <v>7170</v>
      </c>
      <c r="X16" t="s">
        <v>60</v>
      </c>
      <c r="Y16" t="s">
        <v>7165</v>
      </c>
      <c r="Z16" t="s">
        <v>7169</v>
      </c>
      <c r="AA16" t="s">
        <v>7162</v>
      </c>
      <c r="AB16" t="s">
        <v>7168</v>
      </c>
    </row>
    <row r="17" spans="1:28" x14ac:dyDescent="0.2">
      <c r="A17" s="16" t="s">
        <v>7300</v>
      </c>
      <c r="E17">
        <v>2</v>
      </c>
      <c r="J17" t="s">
        <v>7353</v>
      </c>
      <c r="K17">
        <v>8</v>
      </c>
      <c r="L17">
        <v>3</v>
      </c>
      <c r="M17">
        <v>5</v>
      </c>
      <c r="N17">
        <v>195</v>
      </c>
      <c r="O17">
        <v>8</v>
      </c>
      <c r="P17">
        <v>4</v>
      </c>
      <c r="Q17">
        <v>20</v>
      </c>
      <c r="R17">
        <v>2</v>
      </c>
      <c r="S17">
        <v>245</v>
      </c>
      <c r="U17" t="s">
        <v>7353</v>
      </c>
      <c r="V17">
        <v>8</v>
      </c>
      <c r="W17">
        <v>3</v>
      </c>
      <c r="X17">
        <v>5</v>
      </c>
      <c r="Y17">
        <v>203</v>
      </c>
      <c r="Z17">
        <v>4</v>
      </c>
      <c r="AA17">
        <v>20</v>
      </c>
      <c r="AB17">
        <v>2</v>
      </c>
    </row>
    <row r="18" spans="1:28" x14ac:dyDescent="0.2">
      <c r="A18" s="16" t="s">
        <v>7301</v>
      </c>
      <c r="E18">
        <v>1</v>
      </c>
      <c r="J18" t="s">
        <v>7354</v>
      </c>
      <c r="K18">
        <v>10</v>
      </c>
      <c r="L18" s="21">
        <v>2</v>
      </c>
      <c r="M18">
        <v>23</v>
      </c>
      <c r="N18">
        <v>175</v>
      </c>
      <c r="O18">
        <v>0</v>
      </c>
      <c r="P18">
        <v>14</v>
      </c>
      <c r="Q18">
        <v>10</v>
      </c>
      <c r="R18">
        <v>4</v>
      </c>
      <c r="S18">
        <v>238</v>
      </c>
      <c r="U18" t="s">
        <v>7354</v>
      </c>
      <c r="V18">
        <v>10</v>
      </c>
      <c r="W18">
        <v>2</v>
      </c>
      <c r="X18">
        <v>23</v>
      </c>
      <c r="Y18">
        <v>175</v>
      </c>
      <c r="Z18">
        <v>14</v>
      </c>
      <c r="AA18">
        <v>10</v>
      </c>
      <c r="AB18">
        <v>4</v>
      </c>
    </row>
    <row r="19" spans="1:28" x14ac:dyDescent="0.2">
      <c r="A19" s="16" t="s">
        <v>7302</v>
      </c>
      <c r="E19">
        <v>2</v>
      </c>
      <c r="J19" t="s">
        <v>7355</v>
      </c>
      <c r="K19">
        <v>3</v>
      </c>
      <c r="L19">
        <v>0</v>
      </c>
      <c r="M19">
        <v>0</v>
      </c>
      <c r="N19">
        <v>15</v>
      </c>
      <c r="O19">
        <v>0</v>
      </c>
      <c r="P19">
        <v>0</v>
      </c>
      <c r="Q19">
        <v>2</v>
      </c>
      <c r="R19">
        <v>0</v>
      </c>
      <c r="S19">
        <v>20</v>
      </c>
      <c r="U19" t="s">
        <v>7355</v>
      </c>
      <c r="V19">
        <v>3</v>
      </c>
      <c r="W19">
        <v>0</v>
      </c>
      <c r="X19">
        <v>0</v>
      </c>
      <c r="Y19">
        <v>15</v>
      </c>
      <c r="Z19">
        <v>0</v>
      </c>
      <c r="AA19">
        <v>2</v>
      </c>
      <c r="AB19">
        <v>0</v>
      </c>
    </row>
    <row r="20" spans="1:28" x14ac:dyDescent="0.2">
      <c r="A20" s="16" t="s">
        <v>7206</v>
      </c>
      <c r="E20">
        <v>1</v>
      </c>
      <c r="G20">
        <v>1</v>
      </c>
      <c r="J20" t="s">
        <v>7356</v>
      </c>
      <c r="K20">
        <v>0</v>
      </c>
      <c r="L20" s="21">
        <v>7</v>
      </c>
      <c r="M20">
        <v>1</v>
      </c>
      <c r="N20">
        <v>52</v>
      </c>
      <c r="O20">
        <v>0</v>
      </c>
      <c r="P20">
        <v>3</v>
      </c>
      <c r="Q20">
        <v>4</v>
      </c>
      <c r="R20">
        <v>0</v>
      </c>
      <c r="S20">
        <v>67</v>
      </c>
      <c r="U20" t="s">
        <v>7356</v>
      </c>
      <c r="V20">
        <v>0</v>
      </c>
      <c r="W20">
        <v>7</v>
      </c>
      <c r="X20">
        <v>1</v>
      </c>
      <c r="Y20">
        <v>52</v>
      </c>
      <c r="Z20">
        <v>3</v>
      </c>
      <c r="AA20">
        <v>4</v>
      </c>
      <c r="AB20">
        <v>0</v>
      </c>
    </row>
    <row r="21" spans="1:28" x14ac:dyDescent="0.2">
      <c r="A21" s="16" t="s">
        <v>7215</v>
      </c>
      <c r="E21">
        <v>2</v>
      </c>
      <c r="G21">
        <v>1</v>
      </c>
      <c r="J21" t="s">
        <v>7357</v>
      </c>
      <c r="K21">
        <v>0</v>
      </c>
      <c r="L21">
        <v>0</v>
      </c>
      <c r="M21">
        <v>1</v>
      </c>
      <c r="N21">
        <v>52</v>
      </c>
      <c r="O21">
        <v>28</v>
      </c>
      <c r="P21">
        <v>0</v>
      </c>
      <c r="Q21">
        <v>27</v>
      </c>
      <c r="R21">
        <v>0</v>
      </c>
      <c r="S21">
        <v>108</v>
      </c>
      <c r="U21" t="s">
        <v>7357</v>
      </c>
      <c r="V21">
        <v>0</v>
      </c>
      <c r="W21">
        <v>0</v>
      </c>
      <c r="X21">
        <v>1</v>
      </c>
      <c r="Y21">
        <v>80</v>
      </c>
      <c r="Z21">
        <v>0</v>
      </c>
      <c r="AA21">
        <v>27</v>
      </c>
      <c r="AB21">
        <v>0</v>
      </c>
    </row>
    <row r="22" spans="1:28" x14ac:dyDescent="0.2">
      <c r="A22" s="16" t="s">
        <v>7226</v>
      </c>
      <c r="E22">
        <v>1</v>
      </c>
      <c r="G22">
        <v>1</v>
      </c>
      <c r="J22" t="s">
        <v>7358</v>
      </c>
      <c r="K22">
        <v>0</v>
      </c>
      <c r="L22">
        <v>0</v>
      </c>
      <c r="M22">
        <v>0</v>
      </c>
      <c r="N22">
        <v>63</v>
      </c>
      <c r="O22">
        <v>23</v>
      </c>
      <c r="P22">
        <v>0</v>
      </c>
      <c r="Q22">
        <v>32</v>
      </c>
      <c r="R22">
        <v>0</v>
      </c>
      <c r="S22">
        <v>118</v>
      </c>
      <c r="U22" t="s">
        <v>7358</v>
      </c>
      <c r="V22">
        <v>0</v>
      </c>
      <c r="W22">
        <v>0</v>
      </c>
      <c r="X22">
        <v>0</v>
      </c>
      <c r="Y22">
        <v>86</v>
      </c>
      <c r="Z22">
        <v>0</v>
      </c>
      <c r="AA22">
        <v>32</v>
      </c>
      <c r="AB22">
        <v>0</v>
      </c>
    </row>
    <row r="23" spans="1:28" x14ac:dyDescent="0.2">
      <c r="A23" s="16" t="s">
        <v>7228</v>
      </c>
      <c r="E23">
        <v>3</v>
      </c>
      <c r="G23">
        <v>1</v>
      </c>
      <c r="J23" t="s">
        <v>7359</v>
      </c>
      <c r="K23">
        <v>0</v>
      </c>
      <c r="L23" s="21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U23" t="s">
        <v>7359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</row>
    <row r="24" spans="1:28" x14ac:dyDescent="0.2">
      <c r="A24" s="16" t="s">
        <v>7303</v>
      </c>
      <c r="E24">
        <v>1</v>
      </c>
      <c r="J24" t="s">
        <v>7360</v>
      </c>
      <c r="K24">
        <v>0</v>
      </c>
      <c r="L24">
        <v>0</v>
      </c>
      <c r="M24">
        <v>0</v>
      </c>
      <c r="N24">
        <v>7</v>
      </c>
      <c r="O24">
        <v>1</v>
      </c>
      <c r="P24">
        <v>0</v>
      </c>
      <c r="Q24">
        <v>0</v>
      </c>
      <c r="R24">
        <v>0</v>
      </c>
      <c r="S24">
        <v>8</v>
      </c>
      <c r="U24" t="s">
        <v>7360</v>
      </c>
      <c r="V24">
        <v>0</v>
      </c>
      <c r="W24">
        <v>0</v>
      </c>
      <c r="X24">
        <v>0</v>
      </c>
      <c r="Y24">
        <v>8</v>
      </c>
      <c r="Z24">
        <v>0</v>
      </c>
      <c r="AA24">
        <v>0</v>
      </c>
      <c r="AB24">
        <v>0</v>
      </c>
    </row>
    <row r="25" spans="1:28" x14ac:dyDescent="0.2">
      <c r="A25" s="16" t="s">
        <v>7304</v>
      </c>
      <c r="E25">
        <v>1</v>
      </c>
      <c r="J25" t="s">
        <v>7361</v>
      </c>
      <c r="K25">
        <v>0</v>
      </c>
      <c r="L25" s="21">
        <v>0</v>
      </c>
      <c r="M25">
        <v>0</v>
      </c>
      <c r="N25">
        <v>2</v>
      </c>
      <c r="O25">
        <v>0</v>
      </c>
      <c r="P25">
        <v>0</v>
      </c>
      <c r="Q25">
        <v>1</v>
      </c>
      <c r="R25">
        <v>0</v>
      </c>
      <c r="S25">
        <v>3</v>
      </c>
      <c r="U25" t="s">
        <v>7361</v>
      </c>
      <c r="V25">
        <v>0</v>
      </c>
      <c r="W25">
        <v>0</v>
      </c>
      <c r="X25">
        <v>0</v>
      </c>
      <c r="Y25">
        <v>2</v>
      </c>
      <c r="Z25">
        <v>0</v>
      </c>
      <c r="AA25">
        <v>1</v>
      </c>
      <c r="AB25">
        <v>0</v>
      </c>
    </row>
    <row r="26" spans="1:28" x14ac:dyDescent="0.2">
      <c r="A26" s="16" t="s">
        <v>7195</v>
      </c>
      <c r="E26">
        <v>4</v>
      </c>
      <c r="G26">
        <v>2</v>
      </c>
      <c r="J26" t="s">
        <v>7362</v>
      </c>
      <c r="K26">
        <v>0</v>
      </c>
      <c r="L26">
        <v>0</v>
      </c>
      <c r="M26">
        <v>0</v>
      </c>
      <c r="N26">
        <v>0</v>
      </c>
      <c r="O26">
        <v>12</v>
      </c>
      <c r="P26">
        <v>0</v>
      </c>
      <c r="Q26">
        <v>4</v>
      </c>
      <c r="R26">
        <v>0</v>
      </c>
      <c r="S26">
        <v>16</v>
      </c>
      <c r="U26" t="s">
        <v>7362</v>
      </c>
      <c r="V26">
        <v>0</v>
      </c>
      <c r="W26">
        <v>0</v>
      </c>
      <c r="X26">
        <v>0</v>
      </c>
      <c r="Y26">
        <v>12</v>
      </c>
      <c r="Z26">
        <v>0</v>
      </c>
      <c r="AA26">
        <v>4</v>
      </c>
      <c r="AB26">
        <v>0</v>
      </c>
    </row>
    <row r="27" spans="1:28" x14ac:dyDescent="0.2">
      <c r="A27" s="16" t="s">
        <v>7202</v>
      </c>
      <c r="E27">
        <v>1</v>
      </c>
      <c r="G27">
        <v>1</v>
      </c>
      <c r="J27" t="s">
        <v>7363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U27" t="s">
        <v>7363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</row>
    <row r="28" spans="1:28" x14ac:dyDescent="0.2">
      <c r="A28" s="16" t="s">
        <v>7305</v>
      </c>
      <c r="E28">
        <v>1</v>
      </c>
    </row>
    <row r="29" spans="1:28" x14ac:dyDescent="0.2">
      <c r="A29" s="16" t="s">
        <v>7306</v>
      </c>
      <c r="E29">
        <v>1</v>
      </c>
      <c r="J29" t="s">
        <v>7372</v>
      </c>
      <c r="L29" s="21"/>
    </row>
    <row r="30" spans="1:28" x14ac:dyDescent="0.2">
      <c r="A30" s="16" t="s">
        <v>7307</v>
      </c>
      <c r="E30">
        <v>2</v>
      </c>
      <c r="J30" s="17" t="s">
        <v>7366</v>
      </c>
      <c r="K30" s="16" t="s">
        <v>7167</v>
      </c>
      <c r="L30" s="16" t="s">
        <v>7170</v>
      </c>
      <c r="M30" s="16" t="s">
        <v>60</v>
      </c>
      <c r="N30" s="16" t="s">
        <v>7165</v>
      </c>
      <c r="O30" s="16" t="s">
        <v>7172</v>
      </c>
      <c r="P30" s="16" t="s">
        <v>7169</v>
      </c>
      <c r="Q30" s="16" t="s">
        <v>7162</v>
      </c>
      <c r="R30" s="16" t="s">
        <v>7168</v>
      </c>
      <c r="S30" s="16" t="s">
        <v>7180</v>
      </c>
    </row>
    <row r="31" spans="1:28" x14ac:dyDescent="0.2">
      <c r="A31" s="16" t="s">
        <v>7308</v>
      </c>
      <c r="E31">
        <v>1</v>
      </c>
      <c r="J31" t="s">
        <v>7353</v>
      </c>
      <c r="K31">
        <f>COUNTIFS(alldata_newdb!M:M, "&lt;&gt;O157:H7", alldata_newdb!Q:Q, CONCATENATE("*",J31,"*"), alldata_newdb!L:L, "Dairy")</f>
        <v>0</v>
      </c>
      <c r="L31" s="21">
        <f>COUNTIFS(alldata_newdb!M:M, "&lt;&gt;O157:H7",alldata_newdb!Q:Q, CONCATENATE("*",J31,"*"), alldata_newdb!L:L, "Environment")</f>
        <v>0</v>
      </c>
      <c r="M31">
        <f>COUNTIFS(alldata_newdb!M:M, "&lt;&gt;O157:H7",alldata_newdb!Q:Q, CONCATENATE("*",J31,"*"), alldata_newdb!L:L, "Flour")</f>
        <v>5</v>
      </c>
      <c r="N31">
        <f>COUNTIFS(alldata_newdb!M:M, "&lt;&gt;O157:H7",alldata_newdb!Q:Q, CONCATENATE("*",J31,"*"), alldata_newdb!L:L, "Meat")</f>
        <v>61</v>
      </c>
      <c r="O31">
        <f>COUNTIFS(alldata_newdb!M:M, "&lt;&gt;O157:H7",alldata_newdb!Q:Q, CONCATENATE("*",J31,"*"), alldata_newdb!L:L, "Lamb")</f>
        <v>8</v>
      </c>
      <c r="P31">
        <f>COUNTIFS(alldata_newdb!M:M, "&lt;&gt;O157:H7",alldata_newdb!Q:Q, CONCATENATE("*",J31,"*"), alldata_newdb!L:L, "Nuts/Seeds")</f>
        <v>4</v>
      </c>
      <c r="Q31">
        <f>COUNTIFS(alldata_newdb!M:M, "&lt;&gt;O157:H7",alldata_newdb!Q:Q, CONCATENATE("*",J31,"*"), alldata_newdb!L:L, "Other")</f>
        <v>15</v>
      </c>
      <c r="R31">
        <f>COUNTIFS(alldata_newdb!M:M, "&lt;&gt;O157:H7",alldata_newdb!Q:Q, CONCATENATE("*",J31,"*"), alldata_newdb!L:L, "Vegetable")</f>
        <v>0</v>
      </c>
      <c r="S31">
        <f>SUM(K31:R31)</f>
        <v>93</v>
      </c>
    </row>
    <row r="32" spans="1:28" x14ac:dyDescent="0.2">
      <c r="A32" s="16" t="s">
        <v>7309</v>
      </c>
      <c r="E32">
        <v>1</v>
      </c>
      <c r="J32" t="s">
        <v>7354</v>
      </c>
      <c r="K32">
        <f>COUNTIFS(alldata_newdb!M:M, "&lt;&gt;O157:H7", alldata_newdb!Q:Q, CONCATENATE("*",J32,"*"), alldata_newdb!L:L, "Dairy")</f>
        <v>0</v>
      </c>
      <c r="L32" s="21">
        <f>COUNTIFS(alldata_newdb!M:M, "&lt;&gt;O157:H7",alldata_newdb!Q:Q, CONCATENATE("*",J32,"*"), alldata_newdb!L:L, "Environment")</f>
        <v>0</v>
      </c>
      <c r="M32">
        <f>COUNTIFS(alldata_newdb!M:M, "&lt;&gt;O157:H7",alldata_newdb!Q:Q, CONCATENATE("*",J32,"*"), alldata_newdb!L:L, "Flour")</f>
        <v>23</v>
      </c>
      <c r="N32">
        <f>COUNTIFS(alldata_newdb!M:M, "&lt;&gt;O157:H7",alldata_newdb!Q:Q, CONCATENATE("*",J32,"*"), alldata_newdb!L:L, "Meat")</f>
        <v>18</v>
      </c>
      <c r="O32">
        <f>COUNTIFS(alldata_newdb!M:M, "&lt;&gt;O157:H7",alldata_newdb!Q:Q, CONCATENATE("*",J32,"*"), alldata_newdb!L:L, "Lamb")</f>
        <v>0</v>
      </c>
      <c r="P32">
        <f>COUNTIFS(alldata_newdb!M:M, "&lt;&gt;O157:H7",alldata_newdb!Q:Q, CONCATENATE("*",J32,"*"), alldata_newdb!L:L, "Nuts/Seeds")</f>
        <v>13</v>
      </c>
      <c r="Q32">
        <f>COUNTIFS(alldata_newdb!M:M, "&lt;&gt;O157:H7",alldata_newdb!Q:Q, CONCATENATE("*",J32,"*"), alldata_newdb!L:L, "Other")</f>
        <v>8</v>
      </c>
      <c r="R32">
        <f>COUNTIFS(alldata_newdb!M:M, "&lt;&gt;O157:H7",alldata_newdb!Q:Q, CONCATENATE("*",J32,"*"), alldata_newdb!L:L, "Vegetable")</f>
        <v>2</v>
      </c>
      <c r="S32">
        <f t="shared" ref="S32:S41" si="8">SUM(K32:R32)</f>
        <v>64</v>
      </c>
    </row>
    <row r="33" spans="1:19" x14ac:dyDescent="0.2">
      <c r="A33" s="16" t="s">
        <v>7214</v>
      </c>
      <c r="E33">
        <v>7</v>
      </c>
      <c r="G33">
        <v>2</v>
      </c>
      <c r="J33" t="s">
        <v>7355</v>
      </c>
      <c r="K33">
        <f>COUNTIFS(alldata_newdb!M:M, "&lt;&gt;O157:H7", alldata_newdb!Q:Q, CONCATENATE("*",J33,"*"), alldata_newdb!L:L, "Dairy")</f>
        <v>3</v>
      </c>
      <c r="L33" s="21">
        <f>COUNTIFS(alldata_newdb!M:M, "&lt;&gt;O157:H7",alldata_newdb!Q:Q, CONCATENATE("*",J33,"*"), alldata_newdb!L:L, "Environment")</f>
        <v>0</v>
      </c>
      <c r="M33">
        <f>COUNTIFS(alldata_newdb!M:M, "&lt;&gt;O157:H7",alldata_newdb!Q:Q, CONCATENATE("*",J33,"*"), alldata_newdb!L:L, "Flour")</f>
        <v>0</v>
      </c>
      <c r="N33">
        <f>COUNTIFS(alldata_newdb!M:M, "&lt;&gt;O157:H7",alldata_newdb!Q:Q, CONCATENATE("*",J33,"*"), alldata_newdb!L:L, "Meat")</f>
        <v>15</v>
      </c>
      <c r="O33">
        <f>COUNTIFS(alldata_newdb!M:M, "&lt;&gt;O157:H7",alldata_newdb!Q:Q, CONCATENATE("*",J33,"*"), alldata_newdb!L:L, "Lamb")</f>
        <v>0</v>
      </c>
      <c r="P33">
        <f>COUNTIFS(alldata_newdb!M:M, "&lt;&gt;O157:H7",alldata_newdb!Q:Q, CONCATENATE("*",J33,"*"), alldata_newdb!L:L, "Nuts/Seeds")</f>
        <v>0</v>
      </c>
      <c r="Q33">
        <f>COUNTIFS(alldata_newdb!M:M, "&lt;&gt;O157:H7",alldata_newdb!Q:Q, CONCATENATE("*",J33,"*"), alldata_newdb!L:L, "Other")</f>
        <v>2</v>
      </c>
      <c r="R33">
        <f>COUNTIFS(alldata_newdb!M:M, "&lt;&gt;O157:H7",alldata_newdb!Q:Q, CONCATENATE("*",J33,"*"), alldata_newdb!L:L, "Vegetable")</f>
        <v>0</v>
      </c>
      <c r="S33">
        <f t="shared" si="8"/>
        <v>20</v>
      </c>
    </row>
    <row r="34" spans="1:19" x14ac:dyDescent="0.2">
      <c r="A34" s="16" t="s">
        <v>7310</v>
      </c>
      <c r="E34">
        <v>2</v>
      </c>
      <c r="J34" t="s">
        <v>7356</v>
      </c>
      <c r="K34">
        <f>COUNTIFS(alldata_newdb!M:M, "&lt;&gt;O157:H7", alldata_newdb!Q:Q, CONCATENATE("*",J34,"*"), alldata_newdb!L:L, "Dairy")</f>
        <v>0</v>
      </c>
      <c r="L34" s="21">
        <f>COUNTIFS(alldata_newdb!M:M, "&lt;&gt;O157:H7",alldata_newdb!Q:Q, CONCATENATE("*",J34,"*"), alldata_newdb!L:L, "Environment")</f>
        <v>0</v>
      </c>
      <c r="M34">
        <f>COUNTIFS(alldata_newdb!M:M, "&lt;&gt;O157:H7",alldata_newdb!Q:Q, CONCATENATE("*",J34,"*"), alldata_newdb!L:L, "Flour")</f>
        <v>1</v>
      </c>
      <c r="N34">
        <f>COUNTIFS(alldata_newdb!M:M, "&lt;&gt;O157:H7",alldata_newdb!Q:Q, CONCATENATE("*",J34,"*"), alldata_newdb!L:L, "Meat")</f>
        <v>15</v>
      </c>
      <c r="O34">
        <f>COUNTIFS(alldata_newdb!M:M, "&lt;&gt;O157:H7",alldata_newdb!Q:Q, CONCATENATE("*",J34,"*"), alldata_newdb!L:L, "Lamb")</f>
        <v>0</v>
      </c>
      <c r="P34">
        <f>COUNTIFS(alldata_newdb!M:M, "&lt;&gt;O157:H7",alldata_newdb!Q:Q, CONCATENATE("*",J34,"*"), alldata_newdb!L:L, "Nuts/Seeds")</f>
        <v>3</v>
      </c>
      <c r="Q34">
        <f>COUNTIFS(alldata_newdb!M:M, "&lt;&gt;O157:H7",alldata_newdb!Q:Q, CONCATENATE("*",J34,"*"), alldata_newdb!L:L, "Other")</f>
        <v>4</v>
      </c>
      <c r="R34">
        <f>COUNTIFS(alldata_newdb!M:M, "&lt;&gt;O157:H7",alldata_newdb!Q:Q, CONCATENATE("*",J34,"*"), alldata_newdb!L:L, "Vegetable")</f>
        <v>0</v>
      </c>
      <c r="S34">
        <f t="shared" si="8"/>
        <v>23</v>
      </c>
    </row>
    <row r="35" spans="1:19" x14ac:dyDescent="0.2">
      <c r="A35" s="16" t="s">
        <v>7216</v>
      </c>
      <c r="E35">
        <v>1</v>
      </c>
      <c r="G35">
        <v>1</v>
      </c>
      <c r="J35" t="s">
        <v>7357</v>
      </c>
      <c r="K35">
        <f>COUNTIFS(alldata_newdb!M:M, "&lt;&gt;O157:H7", alldata_newdb!Q:Q, CONCATENATE("*",J35,"*"), alldata_newdb!L:L, "Dairy")</f>
        <v>0</v>
      </c>
      <c r="L35" s="21">
        <f>COUNTIFS(alldata_newdb!M:M, "&lt;&gt;O157:H7",alldata_newdb!Q:Q, CONCATENATE("*",J35,"*"), alldata_newdb!L:L, "Environment")</f>
        <v>0</v>
      </c>
      <c r="M35">
        <f>COUNTIFS(alldata_newdb!M:M, "&lt;&gt;O157:H7",alldata_newdb!Q:Q, CONCATENATE("*",J35,"*"), alldata_newdb!L:L, "Flour")</f>
        <v>1</v>
      </c>
      <c r="N35">
        <f>COUNTIFS(alldata_newdb!M:M, "&lt;&gt;O157:H7",alldata_newdb!Q:Q, CONCATENATE("*",J35,"*"), alldata_newdb!L:L, "Meat")</f>
        <v>52</v>
      </c>
      <c r="O35">
        <f>COUNTIFS(alldata_newdb!M:M, "&lt;&gt;O157:H7",alldata_newdb!Q:Q, CONCATENATE("*",J35,"*"), alldata_newdb!L:L, "Lamb")</f>
        <v>28</v>
      </c>
      <c r="P35">
        <f>COUNTIFS(alldata_newdb!M:M, "&lt;&gt;O157:H7",alldata_newdb!Q:Q, CONCATENATE("*",J35,"*"), alldata_newdb!L:L, "Nuts/Seeds")</f>
        <v>0</v>
      </c>
      <c r="Q35">
        <f>COUNTIFS(alldata_newdb!M:M, "&lt;&gt;O157:H7",alldata_newdb!Q:Q, CONCATENATE("*",J35,"*"), alldata_newdb!L:L, "Other")</f>
        <v>24</v>
      </c>
      <c r="R35">
        <f>COUNTIFS(alldata_newdb!M:M, "&lt;&gt;O157:H7",alldata_newdb!Q:Q, CONCATENATE("*",J35,"*"), alldata_newdb!L:L, "Vegetable")</f>
        <v>0</v>
      </c>
      <c r="S35">
        <f t="shared" si="8"/>
        <v>105</v>
      </c>
    </row>
    <row r="36" spans="1:19" x14ac:dyDescent="0.2">
      <c r="A36" s="16" t="s">
        <v>7200</v>
      </c>
      <c r="E36">
        <v>11</v>
      </c>
      <c r="G36">
        <v>8</v>
      </c>
      <c r="J36" t="s">
        <v>7358</v>
      </c>
      <c r="K36">
        <f>COUNTIFS(alldata_newdb!M:M, "&lt;&gt;O157:H7", alldata_newdb!Q:Q, CONCATENATE("*",J36,"*"), alldata_newdb!L:L, "Dairy")</f>
        <v>0</v>
      </c>
      <c r="L36" s="21">
        <f>COUNTIFS(alldata_newdb!M:M, "&lt;&gt;O157:H7",alldata_newdb!Q:Q, CONCATENATE("*",J36,"*"), alldata_newdb!L:L, "Environment")</f>
        <v>0</v>
      </c>
      <c r="M36">
        <f>COUNTIFS(alldata_newdb!M:M, "&lt;&gt;O157:H7",alldata_newdb!Q:Q, CONCATENATE("*",J36,"*"), alldata_newdb!L:L, "Flour")</f>
        <v>0</v>
      </c>
      <c r="N36">
        <f>COUNTIFS(alldata_newdb!M:M, "&lt;&gt;O157:H7",alldata_newdb!Q:Q, CONCATENATE("*",J36,"*"), alldata_newdb!L:L, "Meat")</f>
        <v>63</v>
      </c>
      <c r="O36">
        <f>COUNTIFS(alldata_newdb!M:M, "&lt;&gt;O157:H7",alldata_newdb!Q:Q, CONCATENATE("*",J36,"*"), alldata_newdb!L:L, "Lamb")</f>
        <v>23</v>
      </c>
      <c r="P36">
        <f>COUNTIFS(alldata_newdb!M:M, "&lt;&gt;O157:H7",alldata_newdb!Q:Q, CONCATENATE("*",J36,"*"), alldata_newdb!L:L, "Nuts/Seeds")</f>
        <v>0</v>
      </c>
      <c r="Q36">
        <f>COUNTIFS(alldata_newdb!M:M, "&lt;&gt;O157:H7",alldata_newdb!Q:Q, CONCATENATE("*",J36,"*"), alldata_newdb!L:L, "Other")</f>
        <v>27</v>
      </c>
      <c r="R36">
        <f>COUNTIFS(alldata_newdb!M:M, "&lt;&gt;O157:H7",alldata_newdb!Q:Q, CONCATENATE("*",J36,"*"), alldata_newdb!L:L, "Vegetable")</f>
        <v>0</v>
      </c>
      <c r="S36">
        <f t="shared" si="8"/>
        <v>113</v>
      </c>
    </row>
    <row r="37" spans="1:19" x14ac:dyDescent="0.2">
      <c r="A37" s="16" t="s">
        <v>7311</v>
      </c>
      <c r="E37">
        <v>1</v>
      </c>
      <c r="J37" t="s">
        <v>7359</v>
      </c>
      <c r="K37">
        <f>COUNTIFS(alldata_newdb!M:M, "&lt;&gt;O157:H7", alldata_newdb!Q:Q, CONCATENATE("*",J37,"*"), alldata_newdb!L:L, "Dairy")</f>
        <v>0</v>
      </c>
      <c r="L37" s="21">
        <f>COUNTIFS(alldata_newdb!M:M, "&lt;&gt;O157:H7",alldata_newdb!Q:Q, CONCATENATE("*",J37,"*"), alldata_newdb!L:L, "Environment")</f>
        <v>0</v>
      </c>
      <c r="M37">
        <f>COUNTIFS(alldata_newdb!M:M, "&lt;&gt;O157:H7",alldata_newdb!Q:Q, CONCATENATE("*",J37,"*"), alldata_newdb!L:L, "Flour")</f>
        <v>0</v>
      </c>
      <c r="N37">
        <f>COUNTIFS(alldata_newdb!M:M, "&lt;&gt;O157:H7",alldata_newdb!Q:Q, CONCATENATE("*",J37,"*"), alldata_newdb!L:L, "Meat")</f>
        <v>1</v>
      </c>
      <c r="O37">
        <f>COUNTIFS(alldata_newdb!M:M, "&lt;&gt;O157:H7",alldata_newdb!Q:Q, CONCATENATE("*",J37,"*"), alldata_newdb!L:L, "Lamb")</f>
        <v>0</v>
      </c>
      <c r="P37">
        <f>COUNTIFS(alldata_newdb!M:M, "&lt;&gt;O157:H7",alldata_newdb!Q:Q, CONCATENATE("*",J37,"*"), alldata_newdb!L:L, "Nuts/Seeds")</f>
        <v>0</v>
      </c>
      <c r="Q37">
        <f>COUNTIFS(alldata_newdb!M:M, "&lt;&gt;O157:H7",alldata_newdb!Q:Q, CONCATENATE("*",J37,"*"), alldata_newdb!L:L, "Other")</f>
        <v>0</v>
      </c>
      <c r="R37">
        <f>COUNTIFS(alldata_newdb!M:M, "&lt;&gt;O157:H7",alldata_newdb!Q:Q, CONCATENATE("*",J37,"*"), alldata_newdb!L:L, "Vegetable")</f>
        <v>0</v>
      </c>
      <c r="S37">
        <f t="shared" si="8"/>
        <v>1</v>
      </c>
    </row>
    <row r="38" spans="1:19" x14ac:dyDescent="0.2">
      <c r="A38" s="16" t="s">
        <v>7204</v>
      </c>
      <c r="E38">
        <v>1</v>
      </c>
      <c r="F38">
        <v>1</v>
      </c>
      <c r="G38">
        <v>1</v>
      </c>
      <c r="J38" s="18" t="s">
        <v>7360</v>
      </c>
      <c r="K38">
        <f>COUNTIFS(alldata_newdb!M:M, "&lt;&gt;O157:H7", alldata_newdb!Q:Q, CONCATENATE("*",J38,"*"), alldata_newdb!L:L, "Dairy")</f>
        <v>0</v>
      </c>
      <c r="L38" s="21">
        <f>COUNTIFS(alldata_newdb!M:M, "&lt;&gt;O157:H7",alldata_newdb!Q:Q, CONCATENATE("*",J38,"*"), alldata_newdb!L:L, "Environment")</f>
        <v>0</v>
      </c>
      <c r="M38">
        <f>COUNTIFS(alldata_newdb!M:M, "&lt;&gt;O157:H7",alldata_newdb!Q:Q, CONCATENATE("*",J38,"*"), alldata_newdb!L:L, "Flour")</f>
        <v>0</v>
      </c>
      <c r="N38">
        <f>COUNTIFS(alldata_newdb!M:M, "&lt;&gt;O157:H7",alldata_newdb!Q:Q, CONCATENATE("*",J38,"*"), alldata_newdb!L:L, "Meat")</f>
        <v>7</v>
      </c>
      <c r="O38">
        <f>COUNTIFS(alldata_newdb!M:M, "&lt;&gt;O157:H7",alldata_newdb!Q:Q, CONCATENATE("*",J38,"*"), alldata_newdb!L:L, "Lamb")</f>
        <v>1</v>
      </c>
      <c r="P38">
        <f>COUNTIFS(alldata_newdb!M:M, "&lt;&gt;O157:H7",alldata_newdb!Q:Q, CONCATENATE("*",J38,"*"), alldata_newdb!L:L, "Nuts/Seeds")</f>
        <v>0</v>
      </c>
      <c r="Q38">
        <f>COUNTIFS(alldata_newdb!M:M, "&lt;&gt;O157:H7",alldata_newdb!Q:Q, CONCATENATE("*",J38,"*"), alldata_newdb!L:L, "Other")</f>
        <v>0</v>
      </c>
      <c r="R38">
        <f>COUNTIFS(alldata_newdb!M:M, "&lt;&gt;O157:H7",alldata_newdb!Q:Q, CONCATENATE("*",J38,"*"), alldata_newdb!L:L, "Vegetable")</f>
        <v>0</v>
      </c>
      <c r="S38">
        <f t="shared" si="8"/>
        <v>8</v>
      </c>
    </row>
    <row r="39" spans="1:19" x14ac:dyDescent="0.2">
      <c r="A39" s="16" t="s">
        <v>7221</v>
      </c>
      <c r="E39">
        <v>9</v>
      </c>
      <c r="G39">
        <v>2</v>
      </c>
      <c r="J39" s="18" t="s">
        <v>7361</v>
      </c>
      <c r="K39">
        <f>COUNTIFS(alldata_newdb!M:M, "&lt;&gt;O157:H7", alldata_newdb!Q:Q, CONCATENATE("*",J39,"*"), alldata_newdb!L:L, "Dairy")</f>
        <v>0</v>
      </c>
      <c r="L39" s="21">
        <f>COUNTIFS(alldata_newdb!M:M, "&lt;&gt;O157:H7",alldata_newdb!Q:Q, CONCATENATE("*",J39,"*"), alldata_newdb!L:L, "Environment")</f>
        <v>0</v>
      </c>
      <c r="M39">
        <f>COUNTIFS(alldata_newdb!M:M, "&lt;&gt;O157:H7",alldata_newdb!Q:Q, CONCATENATE("*",J39,"*"), alldata_newdb!L:L, "Flour")</f>
        <v>0</v>
      </c>
      <c r="N39">
        <f>COUNTIFS(alldata_newdb!M:M, "&lt;&gt;O157:H7",alldata_newdb!Q:Q, CONCATENATE("*",J39,"*"), alldata_newdb!L:L, "Meat")</f>
        <v>2</v>
      </c>
      <c r="O39">
        <f>COUNTIFS(alldata_newdb!M:M, "&lt;&gt;O157:H7",alldata_newdb!Q:Q, CONCATENATE("*",J39,"*"), alldata_newdb!L:L, "Lamb")</f>
        <v>0</v>
      </c>
      <c r="P39">
        <f>COUNTIFS(alldata_newdb!M:M, "&lt;&gt;O157:H7",alldata_newdb!Q:Q, CONCATENATE("*",J39,"*"), alldata_newdb!L:L, "Nuts/Seeds")</f>
        <v>0</v>
      </c>
      <c r="Q39">
        <f>COUNTIFS(alldata_newdb!M:M, "&lt;&gt;O157:H7",alldata_newdb!Q:Q, CONCATENATE("*",J39,"*"), alldata_newdb!L:L, "Other")</f>
        <v>1</v>
      </c>
      <c r="R39">
        <f>COUNTIFS(alldata_newdb!M:M, "&lt;&gt;O157:H7",alldata_newdb!Q:Q, CONCATENATE("*",J39,"*"), alldata_newdb!L:L, "Vegetable")</f>
        <v>0</v>
      </c>
      <c r="S39">
        <f t="shared" si="8"/>
        <v>3</v>
      </c>
    </row>
    <row r="40" spans="1:19" x14ac:dyDescent="0.2">
      <c r="A40" s="16" t="s">
        <v>7312</v>
      </c>
      <c r="E40">
        <v>1</v>
      </c>
      <c r="J40" s="18" t="s">
        <v>7362</v>
      </c>
      <c r="K40">
        <f>COUNTIFS(alldata_newdb!M:M, "&lt;&gt;O157:H7", alldata_newdb!Q:Q, CONCATENATE("*",J40,"*"), alldata_newdb!L:L, "Dairy")</f>
        <v>0</v>
      </c>
      <c r="L40" s="21">
        <f>COUNTIFS(alldata_newdb!M:M, "&lt;&gt;O157:H7",alldata_newdb!Q:Q, CONCATENATE("*",J40,"*"), alldata_newdb!L:L, "Environment")</f>
        <v>0</v>
      </c>
      <c r="M40">
        <f>COUNTIFS(alldata_newdb!M:M, "&lt;&gt;O157:H7",alldata_newdb!Q:Q, CONCATENATE("*",J40,"*"), alldata_newdb!L:L, "Flour")</f>
        <v>0</v>
      </c>
      <c r="N40">
        <f>COUNTIFS(alldata_newdb!M:M, "&lt;&gt;O157:H7",alldata_newdb!Q:Q, CONCATENATE("*",J40,"*"), alldata_newdb!L:L, "Meat")</f>
        <v>0</v>
      </c>
      <c r="O40">
        <f>COUNTIFS(alldata_newdb!M:M, "&lt;&gt;O157:H7",alldata_newdb!Q:Q, CONCATENATE("*",J40,"*"), alldata_newdb!L:L, "Lamb")</f>
        <v>12</v>
      </c>
      <c r="P40">
        <f>COUNTIFS(alldata_newdb!M:M, "&lt;&gt;O157:H7",alldata_newdb!Q:Q, CONCATENATE("*",J40,"*"), alldata_newdb!L:L, "Nuts/Seeds")</f>
        <v>0</v>
      </c>
      <c r="Q40">
        <f>COUNTIFS(alldata_newdb!M:M, "&lt;&gt;O157:H7",alldata_newdb!Q:Q, CONCATENATE("*",J40,"*"), alldata_newdb!L:L, "Other")</f>
        <v>2</v>
      </c>
      <c r="R40">
        <f>COUNTIFS(alldata_newdb!M:M, "&lt;&gt;O157:H7",alldata_newdb!Q:Q, CONCATENATE("*",J40,"*"), alldata_newdb!L:L, "Vegetable")</f>
        <v>0</v>
      </c>
      <c r="S40">
        <f t="shared" si="8"/>
        <v>14</v>
      </c>
    </row>
    <row r="41" spans="1:19" x14ac:dyDescent="0.2">
      <c r="A41" s="16" t="s">
        <v>7224</v>
      </c>
      <c r="E41">
        <v>1</v>
      </c>
      <c r="G41">
        <v>1</v>
      </c>
      <c r="J41" s="18" t="s">
        <v>7363</v>
      </c>
      <c r="K41">
        <f>COUNTIFS(alldata_newdb!M:M, "&lt;&gt;O157:H7", alldata_newdb!Q:Q, CONCATENATE("*",J41,"*"), alldata_newdb!L:L, "Dairy")</f>
        <v>0</v>
      </c>
      <c r="L41" s="21">
        <f>COUNTIFS(alldata_newdb!M:M, "&lt;&gt;O157:H7",alldata_newdb!Q:Q, CONCATENATE("*",J41,"*"), alldata_newdb!L:L, "Environment")</f>
        <v>0</v>
      </c>
      <c r="M41">
        <f>COUNTIFS(alldata_newdb!M:M, "&lt;&gt;O157:H7",alldata_newdb!Q:Q, CONCATENATE("*",J41,"*"), alldata_newdb!L:L, "Flour")</f>
        <v>0</v>
      </c>
      <c r="N41">
        <f>COUNTIFS(alldata_newdb!M:M, "&lt;&gt;O157:H7",alldata_newdb!Q:Q, CONCATENATE("*",J41,"*"), alldata_newdb!L:L, "Meat")</f>
        <v>0</v>
      </c>
      <c r="O41">
        <f>COUNTIFS(alldata_newdb!M:M, "&lt;&gt;O157:H7",alldata_newdb!Q:Q, CONCATENATE("*",J41,"*"), alldata_newdb!L:L, "Lamb")</f>
        <v>0</v>
      </c>
      <c r="P41">
        <f>COUNTIFS(alldata_newdb!M:M, "&lt;&gt;O157:H7",alldata_newdb!Q:Q, CONCATENATE("*",J41,"*"), alldata_newdb!L:L, "Nuts/Seeds")</f>
        <v>1</v>
      </c>
      <c r="Q41">
        <f>COUNTIFS(alldata_newdb!M:M, "&lt;&gt;O157:H7",alldata_newdb!Q:Q, CONCATENATE("*",J41,"*"), alldata_newdb!L:L, "Other")</f>
        <v>0</v>
      </c>
      <c r="R41">
        <f>COUNTIFS(alldata_newdb!M:M, "&lt;&gt;O157:H7",alldata_newdb!Q:Q, CONCATENATE("*",J41,"*"), alldata_newdb!L:L, "Vegetable")</f>
        <v>0</v>
      </c>
      <c r="S41">
        <f t="shared" si="8"/>
        <v>1</v>
      </c>
    </row>
    <row r="42" spans="1:19" x14ac:dyDescent="0.2">
      <c r="A42" s="16" t="s">
        <v>7313</v>
      </c>
      <c r="D42">
        <v>1</v>
      </c>
      <c r="L42" s="21"/>
    </row>
    <row r="43" spans="1:19" x14ac:dyDescent="0.2">
      <c r="A43" s="16" t="s">
        <v>7314</v>
      </c>
      <c r="E43">
        <v>2</v>
      </c>
      <c r="J43" t="s">
        <v>7366</v>
      </c>
      <c r="K43" t="s">
        <v>7167</v>
      </c>
      <c r="L43" t="s">
        <v>7170</v>
      </c>
      <c r="M43" t="s">
        <v>60</v>
      </c>
      <c r="N43" t="s">
        <v>7165</v>
      </c>
      <c r="O43" t="s">
        <v>7172</v>
      </c>
      <c r="P43" t="s">
        <v>7169</v>
      </c>
      <c r="Q43" t="s">
        <v>7162</v>
      </c>
      <c r="R43" t="s">
        <v>7168</v>
      </c>
      <c r="S43" t="s">
        <v>7180</v>
      </c>
    </row>
    <row r="44" spans="1:19" x14ac:dyDescent="0.2">
      <c r="A44" s="16" t="s">
        <v>7315</v>
      </c>
      <c r="E44">
        <v>1</v>
      </c>
      <c r="J44" t="s">
        <v>7353</v>
      </c>
      <c r="K44">
        <v>0</v>
      </c>
      <c r="L44" s="21">
        <v>0</v>
      </c>
      <c r="M44">
        <v>5</v>
      </c>
      <c r="N44">
        <v>61</v>
      </c>
      <c r="O44">
        <v>8</v>
      </c>
      <c r="P44">
        <v>4</v>
      </c>
      <c r="Q44">
        <v>15</v>
      </c>
      <c r="R44">
        <v>0</v>
      </c>
      <c r="S44">
        <v>93</v>
      </c>
    </row>
    <row r="45" spans="1:19" x14ac:dyDescent="0.2">
      <c r="A45" s="16" t="s">
        <v>7316</v>
      </c>
      <c r="E45">
        <v>1</v>
      </c>
      <c r="J45" t="s">
        <v>7354</v>
      </c>
      <c r="K45">
        <v>0</v>
      </c>
      <c r="L45">
        <v>0</v>
      </c>
      <c r="M45">
        <v>23</v>
      </c>
      <c r="N45">
        <v>18</v>
      </c>
      <c r="O45">
        <v>0</v>
      </c>
      <c r="P45">
        <v>13</v>
      </c>
      <c r="Q45">
        <v>8</v>
      </c>
      <c r="R45">
        <v>2</v>
      </c>
      <c r="S45">
        <v>64</v>
      </c>
    </row>
    <row r="46" spans="1:19" x14ac:dyDescent="0.2">
      <c r="A46" s="16" t="s">
        <v>7317</v>
      </c>
      <c r="E46">
        <v>1</v>
      </c>
      <c r="I46" s="21"/>
      <c r="J46" s="21" t="s">
        <v>7355</v>
      </c>
      <c r="K46" s="21">
        <v>3</v>
      </c>
      <c r="L46" s="21">
        <v>0</v>
      </c>
      <c r="M46">
        <v>0</v>
      </c>
      <c r="N46">
        <v>15</v>
      </c>
      <c r="O46">
        <v>0</v>
      </c>
      <c r="P46">
        <v>0</v>
      </c>
      <c r="Q46">
        <v>2</v>
      </c>
      <c r="R46">
        <v>0</v>
      </c>
      <c r="S46">
        <v>20</v>
      </c>
    </row>
    <row r="47" spans="1:19" x14ac:dyDescent="0.2">
      <c r="A47" s="16" t="s">
        <v>7207</v>
      </c>
      <c r="E47">
        <v>6</v>
      </c>
      <c r="G47">
        <v>2</v>
      </c>
      <c r="J47" t="s">
        <v>7356</v>
      </c>
      <c r="K47">
        <v>0</v>
      </c>
      <c r="L47">
        <v>0</v>
      </c>
      <c r="M47">
        <v>1</v>
      </c>
      <c r="N47">
        <v>15</v>
      </c>
      <c r="O47">
        <v>0</v>
      </c>
      <c r="P47">
        <v>3</v>
      </c>
      <c r="Q47">
        <v>4</v>
      </c>
      <c r="R47">
        <v>0</v>
      </c>
      <c r="S47">
        <v>23</v>
      </c>
    </row>
    <row r="48" spans="1:19" x14ac:dyDescent="0.2">
      <c r="A48" s="16" t="s">
        <v>7318</v>
      </c>
      <c r="H48">
        <v>1</v>
      </c>
      <c r="I48" s="21"/>
      <c r="J48" s="21" t="s">
        <v>7357</v>
      </c>
      <c r="K48" s="21">
        <v>0</v>
      </c>
      <c r="L48" s="21">
        <v>0</v>
      </c>
      <c r="M48">
        <v>1</v>
      </c>
      <c r="N48">
        <v>52</v>
      </c>
      <c r="O48">
        <v>28</v>
      </c>
      <c r="P48">
        <v>0</v>
      </c>
      <c r="Q48">
        <v>24</v>
      </c>
      <c r="R48">
        <v>0</v>
      </c>
      <c r="S48">
        <v>105</v>
      </c>
    </row>
    <row r="49" spans="1:19" x14ac:dyDescent="0.2">
      <c r="A49" s="16" t="s">
        <v>7319</v>
      </c>
      <c r="E49">
        <v>3</v>
      </c>
      <c r="J49" t="s">
        <v>7358</v>
      </c>
      <c r="K49">
        <v>0</v>
      </c>
      <c r="L49">
        <v>0</v>
      </c>
      <c r="M49">
        <v>0</v>
      </c>
      <c r="N49">
        <v>63</v>
      </c>
      <c r="O49">
        <v>23</v>
      </c>
      <c r="P49">
        <v>0</v>
      </c>
      <c r="Q49">
        <v>27</v>
      </c>
      <c r="R49">
        <v>0</v>
      </c>
      <c r="S49">
        <v>113</v>
      </c>
    </row>
    <row r="50" spans="1:19" x14ac:dyDescent="0.2">
      <c r="A50" s="16" t="s">
        <v>7208</v>
      </c>
      <c r="E50">
        <v>11</v>
      </c>
      <c r="G50">
        <v>2</v>
      </c>
      <c r="J50" t="s">
        <v>7359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</row>
    <row r="51" spans="1:19" x14ac:dyDescent="0.2">
      <c r="A51" s="16" t="s">
        <v>7223</v>
      </c>
      <c r="E51">
        <v>2</v>
      </c>
      <c r="G51">
        <v>1</v>
      </c>
      <c r="I51" s="21"/>
      <c r="J51" s="21" t="s">
        <v>7360</v>
      </c>
      <c r="K51" s="21">
        <v>0</v>
      </c>
      <c r="L51" s="21">
        <v>0</v>
      </c>
      <c r="M51">
        <v>0</v>
      </c>
      <c r="N51">
        <v>7</v>
      </c>
      <c r="O51">
        <v>1</v>
      </c>
      <c r="P51">
        <v>0</v>
      </c>
      <c r="Q51">
        <v>0</v>
      </c>
      <c r="R51">
        <v>0</v>
      </c>
      <c r="S51">
        <v>8</v>
      </c>
    </row>
    <row r="52" spans="1:19" x14ac:dyDescent="0.2">
      <c r="A52" s="16" t="s">
        <v>7320</v>
      </c>
      <c r="E52">
        <v>1</v>
      </c>
      <c r="J52" t="s">
        <v>7361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1</v>
      </c>
      <c r="R52">
        <v>0</v>
      </c>
      <c r="S52">
        <v>3</v>
      </c>
    </row>
    <row r="53" spans="1:19" x14ac:dyDescent="0.2">
      <c r="A53" s="16" t="s">
        <v>7321</v>
      </c>
      <c r="E53">
        <v>1</v>
      </c>
      <c r="I53" s="21"/>
      <c r="J53" s="21" t="s">
        <v>7362</v>
      </c>
      <c r="K53" s="21">
        <v>0</v>
      </c>
      <c r="L53" s="21">
        <v>0</v>
      </c>
      <c r="M53">
        <v>0</v>
      </c>
      <c r="N53">
        <v>0</v>
      </c>
      <c r="O53">
        <v>12</v>
      </c>
      <c r="P53">
        <v>0</v>
      </c>
      <c r="Q53">
        <v>2</v>
      </c>
      <c r="R53">
        <v>0</v>
      </c>
      <c r="S53">
        <v>14</v>
      </c>
    </row>
    <row r="54" spans="1:19" x14ac:dyDescent="0.2">
      <c r="A54" s="16" t="s">
        <v>7322</v>
      </c>
      <c r="E54">
        <v>1</v>
      </c>
      <c r="J54" t="s">
        <v>7363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</row>
    <row r="55" spans="1:19" x14ac:dyDescent="0.2">
      <c r="A55" s="16" t="s">
        <v>7211</v>
      </c>
      <c r="B55">
        <v>7</v>
      </c>
      <c r="E55">
        <v>58</v>
      </c>
      <c r="G55">
        <v>3</v>
      </c>
      <c r="I55" s="21"/>
      <c r="J55" s="21"/>
      <c r="K55" s="21"/>
      <c r="L55" s="21"/>
    </row>
    <row r="56" spans="1:19" x14ac:dyDescent="0.2">
      <c r="A56" s="16" t="s">
        <v>7323</v>
      </c>
      <c r="E56">
        <v>3</v>
      </c>
      <c r="J56">
        <f>COUNTIF(alldata_newdb!M2:M587, "&lt;&gt;O157:H7")</f>
        <v>350</v>
      </c>
    </row>
    <row r="57" spans="1:19" x14ac:dyDescent="0.2">
      <c r="A57" s="16" t="s">
        <v>7324</v>
      </c>
      <c r="E57">
        <v>1</v>
      </c>
      <c r="I57" s="21"/>
      <c r="J57" s="21"/>
      <c r="K57" s="21"/>
      <c r="L57" s="21"/>
    </row>
    <row r="58" spans="1:19" x14ac:dyDescent="0.2">
      <c r="A58" s="16" t="s">
        <v>7219</v>
      </c>
      <c r="E58">
        <v>2</v>
      </c>
      <c r="G58">
        <v>1</v>
      </c>
    </row>
    <row r="59" spans="1:19" x14ac:dyDescent="0.2">
      <c r="A59" s="16" t="s">
        <v>7213</v>
      </c>
      <c r="E59">
        <v>2</v>
      </c>
      <c r="G59">
        <v>1</v>
      </c>
      <c r="I59" s="21"/>
      <c r="J59" s="21"/>
      <c r="K59" s="21"/>
      <c r="L59" s="21"/>
    </row>
    <row r="60" spans="1:19" x14ac:dyDescent="0.2">
      <c r="A60" s="16" t="s">
        <v>7325</v>
      </c>
      <c r="E60">
        <v>1</v>
      </c>
    </row>
    <row r="61" spans="1:19" x14ac:dyDescent="0.2">
      <c r="A61" s="16" t="s">
        <v>7196</v>
      </c>
      <c r="E61">
        <v>1</v>
      </c>
      <c r="G61">
        <v>1</v>
      </c>
      <c r="I61" s="21"/>
      <c r="J61" s="21"/>
      <c r="K61" s="21"/>
      <c r="L61" s="21"/>
    </row>
    <row r="62" spans="1:19" x14ac:dyDescent="0.2">
      <c r="A62" s="16" t="s">
        <v>7326</v>
      </c>
      <c r="E62">
        <v>3</v>
      </c>
    </row>
    <row r="63" spans="1:19" x14ac:dyDescent="0.2">
      <c r="A63" s="16" t="s">
        <v>7327</v>
      </c>
      <c r="D63">
        <v>4</v>
      </c>
      <c r="E63">
        <v>12</v>
      </c>
    </row>
    <row r="64" spans="1:19" x14ac:dyDescent="0.2">
      <c r="A64" s="16" t="s">
        <v>7328</v>
      </c>
      <c r="C64">
        <v>2</v>
      </c>
      <c r="E64">
        <v>1</v>
      </c>
    </row>
    <row r="65" spans="1:12" x14ac:dyDescent="0.2">
      <c r="A65" s="16" t="s">
        <v>7329</v>
      </c>
      <c r="C65">
        <v>1</v>
      </c>
    </row>
    <row r="66" spans="1:12" x14ac:dyDescent="0.2">
      <c r="A66" s="16" t="s">
        <v>7231</v>
      </c>
      <c r="D66">
        <v>10</v>
      </c>
      <c r="E66">
        <v>1</v>
      </c>
      <c r="F66">
        <v>2</v>
      </c>
      <c r="G66">
        <v>2</v>
      </c>
    </row>
    <row r="67" spans="1:12" x14ac:dyDescent="0.2">
      <c r="A67" s="16" t="s">
        <v>7330</v>
      </c>
      <c r="C67">
        <v>1</v>
      </c>
      <c r="I67" s="21"/>
      <c r="J67" s="21"/>
      <c r="K67" s="21"/>
      <c r="L67" s="21"/>
    </row>
    <row r="68" spans="1:12" x14ac:dyDescent="0.2">
      <c r="A68" s="16" t="s">
        <v>7331</v>
      </c>
      <c r="D68">
        <v>12</v>
      </c>
      <c r="F68">
        <v>6</v>
      </c>
    </row>
    <row r="69" spans="1:12" x14ac:dyDescent="0.2">
      <c r="A69" s="16" t="s">
        <v>7332</v>
      </c>
      <c r="E69">
        <v>1</v>
      </c>
      <c r="I69" s="21"/>
      <c r="J69" s="21"/>
      <c r="K69" s="21"/>
      <c r="L69" s="21"/>
    </row>
    <row r="70" spans="1:12" x14ac:dyDescent="0.2">
      <c r="A70" s="16" t="s">
        <v>7333</v>
      </c>
      <c r="E70">
        <v>5</v>
      </c>
    </row>
    <row r="71" spans="1:12" x14ac:dyDescent="0.2">
      <c r="A71" s="16" t="s">
        <v>7201</v>
      </c>
      <c r="E71">
        <v>8</v>
      </c>
      <c r="G71">
        <v>3</v>
      </c>
      <c r="I71" s="21"/>
      <c r="J71" s="21"/>
      <c r="K71" s="21"/>
      <c r="L71" s="21"/>
    </row>
    <row r="72" spans="1:12" x14ac:dyDescent="0.2">
      <c r="A72" s="16" t="s">
        <v>7217</v>
      </c>
      <c r="E72">
        <v>1</v>
      </c>
      <c r="G72">
        <v>1</v>
      </c>
    </row>
    <row r="73" spans="1:12" x14ac:dyDescent="0.2">
      <c r="A73" s="16" t="s">
        <v>7334</v>
      </c>
      <c r="H73">
        <v>2</v>
      </c>
      <c r="I73" s="21"/>
      <c r="J73" s="21"/>
      <c r="K73" s="21"/>
      <c r="L73" s="21"/>
    </row>
    <row r="74" spans="1:12" x14ac:dyDescent="0.2">
      <c r="A74" s="16" t="s">
        <v>7335</v>
      </c>
      <c r="E74">
        <v>1</v>
      </c>
    </row>
    <row r="75" spans="1:12" x14ac:dyDescent="0.2">
      <c r="A75" s="16" t="s">
        <v>7336</v>
      </c>
      <c r="E75">
        <v>5</v>
      </c>
      <c r="I75" s="21"/>
      <c r="J75" s="21"/>
      <c r="K75" s="21"/>
      <c r="L75" s="21"/>
    </row>
    <row r="76" spans="1:12" x14ac:dyDescent="0.2">
      <c r="A76" s="16" t="s">
        <v>7218</v>
      </c>
      <c r="E76">
        <v>1</v>
      </c>
      <c r="G76">
        <v>1</v>
      </c>
    </row>
    <row r="77" spans="1:12" x14ac:dyDescent="0.2">
      <c r="A77" s="16" t="s">
        <v>7230</v>
      </c>
      <c r="E77">
        <v>2</v>
      </c>
      <c r="G77">
        <v>2</v>
      </c>
      <c r="I77" s="21"/>
      <c r="J77" s="21"/>
      <c r="K77" s="21"/>
      <c r="L77" s="21"/>
    </row>
    <row r="78" spans="1:12" x14ac:dyDescent="0.2">
      <c r="A78" s="16" t="s">
        <v>7210</v>
      </c>
      <c r="E78">
        <v>19</v>
      </c>
      <c r="G78">
        <v>4</v>
      </c>
    </row>
    <row r="79" spans="1:12" x14ac:dyDescent="0.2">
      <c r="A79" s="16" t="s">
        <v>7229</v>
      </c>
      <c r="E79">
        <v>1</v>
      </c>
      <c r="G79">
        <v>1</v>
      </c>
    </row>
    <row r="80" spans="1:12" x14ac:dyDescent="0.2">
      <c r="A80" s="16" t="s">
        <v>7337</v>
      </c>
      <c r="E80">
        <v>1</v>
      </c>
      <c r="I80" s="21"/>
      <c r="J80" s="21"/>
      <c r="K80" s="21"/>
      <c r="L80" s="21"/>
    </row>
    <row r="81" spans="1:12" x14ac:dyDescent="0.2">
      <c r="A81" s="16" t="s">
        <v>7199</v>
      </c>
      <c r="E81">
        <v>1</v>
      </c>
      <c r="G81">
        <v>1</v>
      </c>
    </row>
    <row r="82" spans="1:12" x14ac:dyDescent="0.2">
      <c r="A82" s="16" t="s">
        <v>7338</v>
      </c>
      <c r="E82">
        <v>2</v>
      </c>
      <c r="I82" s="21"/>
      <c r="J82" s="21"/>
      <c r="K82" s="21"/>
      <c r="L82" s="21"/>
    </row>
    <row r="83" spans="1:12" x14ac:dyDescent="0.2">
      <c r="A83" s="16" t="s">
        <v>7339</v>
      </c>
      <c r="C83">
        <v>3</v>
      </c>
      <c r="E83">
        <v>24</v>
      </c>
    </row>
    <row r="84" spans="1:12" x14ac:dyDescent="0.2">
      <c r="A84" s="16" t="s">
        <v>7340</v>
      </c>
      <c r="E84">
        <v>4</v>
      </c>
      <c r="I84" s="21"/>
      <c r="J84" s="21"/>
      <c r="K84" s="21"/>
      <c r="L84" s="21"/>
    </row>
    <row r="85" spans="1:12" x14ac:dyDescent="0.2">
      <c r="A85" s="16" t="s">
        <v>7341</v>
      </c>
      <c r="E85">
        <v>2</v>
      </c>
    </row>
    <row r="86" spans="1:12" x14ac:dyDescent="0.2">
      <c r="A86" s="16" t="s">
        <v>7342</v>
      </c>
      <c r="E86">
        <v>2</v>
      </c>
      <c r="F86">
        <v>2</v>
      </c>
      <c r="I86" s="21"/>
      <c r="J86" s="21"/>
      <c r="K86" s="21"/>
      <c r="L86" s="21"/>
    </row>
    <row r="87" spans="1:12" x14ac:dyDescent="0.2">
      <c r="A87" s="16" t="s">
        <v>7343</v>
      </c>
      <c r="E87">
        <v>1</v>
      </c>
    </row>
    <row r="88" spans="1:12" x14ac:dyDescent="0.2">
      <c r="A88" s="16" t="s">
        <v>7344</v>
      </c>
      <c r="E88">
        <v>6</v>
      </c>
      <c r="I88" s="21"/>
      <c r="J88" s="21"/>
      <c r="K88" s="21"/>
      <c r="L88" s="21"/>
    </row>
    <row r="89" spans="1:12" x14ac:dyDescent="0.2">
      <c r="A89" s="16" t="s">
        <v>7345</v>
      </c>
      <c r="B89">
        <v>3</v>
      </c>
    </row>
    <row r="90" spans="1:12" x14ac:dyDescent="0.2">
      <c r="A90" s="16" t="s">
        <v>7346</v>
      </c>
      <c r="E90">
        <v>1</v>
      </c>
      <c r="I90" s="21"/>
      <c r="J90" s="21"/>
      <c r="K90" s="21"/>
      <c r="L90" s="21"/>
    </row>
    <row r="91" spans="1:12" x14ac:dyDescent="0.2">
      <c r="A91" s="16" t="s">
        <v>7212</v>
      </c>
      <c r="E91">
        <v>2</v>
      </c>
      <c r="G91">
        <v>1</v>
      </c>
    </row>
    <row r="92" spans="1:12" x14ac:dyDescent="0.2">
      <c r="A92" s="16" t="s">
        <v>7203</v>
      </c>
      <c r="E92">
        <v>3</v>
      </c>
      <c r="G92">
        <v>1</v>
      </c>
    </row>
    <row r="93" spans="1:12" x14ac:dyDescent="0.2">
      <c r="A93" s="16" t="s">
        <v>7347</v>
      </c>
      <c r="E93">
        <v>1</v>
      </c>
    </row>
    <row r="94" spans="1:12" x14ac:dyDescent="0.2">
      <c r="A94" s="16" t="s">
        <v>7225</v>
      </c>
      <c r="E94">
        <v>1</v>
      </c>
      <c r="G94">
        <v>1</v>
      </c>
    </row>
    <row r="95" spans="1:12" x14ac:dyDescent="0.2">
      <c r="A95" s="16" t="s">
        <v>7205</v>
      </c>
      <c r="E95">
        <v>1</v>
      </c>
      <c r="G95">
        <v>1</v>
      </c>
    </row>
    <row r="96" spans="1:12" x14ac:dyDescent="0.2">
      <c r="A96" s="16" t="s">
        <v>7348</v>
      </c>
      <c r="E96">
        <v>1</v>
      </c>
    </row>
    <row r="97" spans="1:12" x14ac:dyDescent="0.2">
      <c r="A97" s="16" t="s">
        <v>7198</v>
      </c>
      <c r="E97">
        <v>12</v>
      </c>
      <c r="G97">
        <v>4</v>
      </c>
    </row>
    <row r="98" spans="1:12" x14ac:dyDescent="0.2">
      <c r="A98" s="16" t="s">
        <v>7349</v>
      </c>
      <c r="E98">
        <v>1</v>
      </c>
    </row>
    <row r="99" spans="1:12" x14ac:dyDescent="0.2">
      <c r="A99" s="16" t="s">
        <v>7350</v>
      </c>
      <c r="F99">
        <v>1</v>
      </c>
    </row>
    <row r="100" spans="1:12" x14ac:dyDescent="0.2">
      <c r="A100" s="16" t="s">
        <v>7178</v>
      </c>
      <c r="H100">
        <v>1</v>
      </c>
    </row>
    <row r="101" spans="1:12" x14ac:dyDescent="0.2">
      <c r="A101" s="16" t="s">
        <v>7174</v>
      </c>
      <c r="G101">
        <v>27</v>
      </c>
    </row>
    <row r="102" spans="1:12" x14ac:dyDescent="0.2">
      <c r="A102" s="18"/>
      <c r="B102" s="18"/>
      <c r="C102" s="18"/>
    </row>
    <row r="103" spans="1:12" x14ac:dyDescent="0.2">
      <c r="A103" s="18"/>
      <c r="B103" s="18"/>
      <c r="C103" s="18"/>
    </row>
    <row r="104" spans="1:12" x14ac:dyDescent="0.2">
      <c r="A104" s="18"/>
      <c r="B104" s="18"/>
      <c r="C104" s="18"/>
    </row>
    <row r="105" spans="1:12" x14ac:dyDescent="0.2">
      <c r="A105" s="20"/>
      <c r="B105" s="20"/>
      <c r="C105" s="20"/>
      <c r="D105" s="21"/>
      <c r="E105" s="21"/>
      <c r="F105" s="21"/>
      <c r="G105" s="21"/>
      <c r="H105" s="21"/>
      <c r="I105" s="21"/>
      <c r="J105" s="21"/>
      <c r="K105" s="21"/>
      <c r="L105" s="21"/>
    </row>
    <row r="106" spans="1:12" x14ac:dyDescent="0.2">
      <c r="A106" s="18"/>
      <c r="B106" s="18"/>
      <c r="C106" s="18"/>
    </row>
    <row r="107" spans="1:12" x14ac:dyDescent="0.2">
      <c r="A107" s="18"/>
      <c r="B107" s="18"/>
      <c r="C107" s="18"/>
    </row>
    <row r="108" spans="1:12" x14ac:dyDescent="0.2">
      <c r="A108" s="20"/>
      <c r="B108" s="20"/>
      <c r="C108" s="20"/>
      <c r="D108" s="21"/>
      <c r="E108" s="21"/>
      <c r="F108" s="21"/>
      <c r="G108" s="21"/>
      <c r="H108" s="21"/>
      <c r="I108" s="21"/>
      <c r="J108" s="21"/>
      <c r="K108" s="21"/>
      <c r="L108" s="21"/>
    </row>
    <row r="109" spans="1:12" x14ac:dyDescent="0.2">
      <c r="A109" s="18"/>
      <c r="B109" s="18"/>
      <c r="C109" s="18"/>
    </row>
    <row r="110" spans="1:12" x14ac:dyDescent="0.2">
      <c r="A110" s="20"/>
      <c r="B110" s="20"/>
      <c r="C110" s="20"/>
      <c r="D110" s="21"/>
      <c r="E110" s="21"/>
      <c r="F110" s="21"/>
      <c r="G110" s="21"/>
      <c r="H110" s="21"/>
      <c r="I110" s="21"/>
      <c r="J110" s="21"/>
      <c r="K110" s="21"/>
      <c r="L110" s="21"/>
    </row>
    <row r="111" spans="1:12" x14ac:dyDescent="0.2">
      <c r="A111" s="18"/>
      <c r="B111" s="18"/>
      <c r="C111" s="18"/>
    </row>
    <row r="112" spans="1:12" x14ac:dyDescent="0.2">
      <c r="A112" s="20"/>
      <c r="B112" s="20"/>
      <c r="C112" s="20"/>
      <c r="D112" s="21"/>
      <c r="E112" s="21"/>
      <c r="F112" s="21"/>
      <c r="G112" s="21"/>
      <c r="H112" s="21"/>
      <c r="I112" s="21"/>
      <c r="J112" s="21"/>
      <c r="K112" s="21"/>
      <c r="L112" s="21"/>
    </row>
    <row r="113" spans="1:12" x14ac:dyDescent="0.2">
      <c r="A113" s="18"/>
      <c r="B113" s="18"/>
      <c r="C113" s="18"/>
    </row>
    <row r="114" spans="1:12" x14ac:dyDescent="0.2">
      <c r="A114" s="20"/>
      <c r="B114" s="20"/>
      <c r="C114" s="20"/>
      <c r="D114" s="21"/>
      <c r="E114" s="21"/>
      <c r="F114" s="21"/>
      <c r="G114" s="21"/>
      <c r="H114" s="21"/>
      <c r="I114" s="21"/>
      <c r="J114" s="21"/>
      <c r="K114" s="21"/>
      <c r="L114" s="21"/>
    </row>
    <row r="115" spans="1:12" x14ac:dyDescent="0.2">
      <c r="A115" s="18"/>
      <c r="B115" s="18"/>
      <c r="C115" s="18"/>
    </row>
    <row r="116" spans="1:12" x14ac:dyDescent="0.2">
      <c r="A116" s="20"/>
      <c r="B116" s="20"/>
      <c r="C116" s="20"/>
      <c r="D116" s="21"/>
      <c r="E116" s="21"/>
      <c r="F116" s="21"/>
      <c r="G116" s="21"/>
      <c r="H116" s="21"/>
      <c r="I116" s="21"/>
      <c r="J116" s="21"/>
      <c r="K116" s="21"/>
      <c r="L116" s="21"/>
    </row>
    <row r="117" spans="1:12" x14ac:dyDescent="0.2">
      <c r="A117" s="18"/>
      <c r="B117" s="18"/>
      <c r="C117" s="18"/>
    </row>
    <row r="118" spans="1:12" x14ac:dyDescent="0.2">
      <c r="A118" s="20"/>
      <c r="B118" s="20"/>
      <c r="C118" s="20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2" x14ac:dyDescent="0.2">
      <c r="A119" s="18"/>
      <c r="B119" s="18"/>
      <c r="C119" s="18"/>
    </row>
    <row r="120" spans="1:12" x14ac:dyDescent="0.2">
      <c r="A120" s="18"/>
      <c r="B120" s="18"/>
      <c r="C120" s="18"/>
    </row>
    <row r="121" spans="1:12" x14ac:dyDescent="0.2">
      <c r="A121" s="18"/>
      <c r="B121" s="18"/>
      <c r="C121" s="18"/>
    </row>
    <row r="122" spans="1:12" x14ac:dyDescent="0.2">
      <c r="A122" s="18"/>
      <c r="B122" s="18"/>
      <c r="C122" s="18"/>
    </row>
    <row r="123" spans="1:12" x14ac:dyDescent="0.2">
      <c r="A123" s="20"/>
      <c r="B123" s="20"/>
      <c r="C123" s="20"/>
      <c r="D123" s="21"/>
      <c r="E123" s="21"/>
      <c r="F123" s="21"/>
      <c r="G123" s="21"/>
      <c r="H123" s="21"/>
      <c r="I123" s="21"/>
      <c r="J123" s="21"/>
      <c r="K123" s="21"/>
      <c r="L123" s="21"/>
    </row>
    <row r="124" spans="1:12" x14ac:dyDescent="0.2">
      <c r="A124" s="18"/>
      <c r="B124" s="18"/>
      <c r="C124" s="18"/>
    </row>
    <row r="125" spans="1:12" x14ac:dyDescent="0.2">
      <c r="A125" s="20"/>
      <c r="B125" s="20"/>
      <c r="C125" s="20"/>
      <c r="D125" s="21"/>
      <c r="E125" s="21"/>
      <c r="F125" s="21"/>
      <c r="G125" s="21"/>
      <c r="H125" s="21"/>
      <c r="I125" s="21"/>
      <c r="J125" s="21"/>
      <c r="K125" s="21"/>
      <c r="L125" s="21"/>
    </row>
    <row r="126" spans="1:12" x14ac:dyDescent="0.2">
      <c r="A126" s="18"/>
      <c r="B126" s="18"/>
      <c r="C126" s="18"/>
    </row>
    <row r="127" spans="1:12" x14ac:dyDescent="0.2">
      <c r="A127" s="20"/>
      <c r="B127" s="20"/>
      <c r="C127" s="20"/>
      <c r="D127" s="21"/>
      <c r="E127" s="21"/>
      <c r="F127" s="21"/>
      <c r="G127" s="21"/>
      <c r="H127" s="21"/>
      <c r="I127" s="21"/>
      <c r="J127" s="21"/>
      <c r="K127" s="21"/>
      <c r="L127" s="21"/>
    </row>
    <row r="128" spans="1:12" x14ac:dyDescent="0.2">
      <c r="A128" s="18"/>
      <c r="B128" s="18"/>
      <c r="C128" s="18"/>
    </row>
    <row r="129" spans="1:12" x14ac:dyDescent="0.2">
      <c r="A129" s="18"/>
      <c r="B129" s="18"/>
      <c r="C129" s="18"/>
    </row>
    <row r="130" spans="1:12" x14ac:dyDescent="0.2">
      <c r="A130" s="20"/>
      <c r="B130" s="20"/>
      <c r="C130" s="20"/>
      <c r="D130" s="21"/>
      <c r="E130" s="21"/>
      <c r="F130" s="21"/>
      <c r="G130" s="21"/>
      <c r="H130" s="21"/>
      <c r="I130" s="21"/>
      <c r="J130" s="21"/>
      <c r="K130" s="21"/>
      <c r="L130" s="21"/>
    </row>
    <row r="131" spans="1:12" x14ac:dyDescent="0.2">
      <c r="A131" s="18"/>
      <c r="B131" s="18"/>
      <c r="C131" s="18"/>
    </row>
    <row r="132" spans="1:12" x14ac:dyDescent="0.2">
      <c r="A132" s="20"/>
      <c r="B132" s="20"/>
      <c r="C132" s="20"/>
      <c r="D132" s="21"/>
      <c r="E132" s="21"/>
      <c r="F132" s="21"/>
      <c r="G132" s="21"/>
      <c r="H132" s="21"/>
      <c r="I132" s="21"/>
      <c r="J132" s="21"/>
      <c r="K132" s="21"/>
      <c r="L132" s="21"/>
    </row>
    <row r="133" spans="1:12" x14ac:dyDescent="0.2">
      <c r="A133" s="18"/>
      <c r="B133" s="18"/>
      <c r="C133" s="18"/>
    </row>
    <row r="134" spans="1:12" x14ac:dyDescent="0.2">
      <c r="A134" s="20"/>
      <c r="B134" s="20"/>
      <c r="C134" s="20"/>
      <c r="D134" s="21"/>
      <c r="E134" s="21"/>
      <c r="F134" s="21"/>
      <c r="G134" s="21"/>
      <c r="H134" s="21"/>
      <c r="I134" s="21"/>
      <c r="J134" s="21"/>
      <c r="K134" s="21"/>
      <c r="L134" s="21"/>
    </row>
    <row r="135" spans="1:12" x14ac:dyDescent="0.2">
      <c r="A135" s="18"/>
      <c r="B135" s="18"/>
      <c r="C135" s="18"/>
    </row>
    <row r="136" spans="1:12" x14ac:dyDescent="0.2">
      <c r="A136" s="20"/>
      <c r="B136" s="20"/>
      <c r="C136" s="20"/>
      <c r="D136" s="21"/>
      <c r="E136" s="21"/>
      <c r="F136" s="21"/>
      <c r="G136" s="21"/>
      <c r="H136" s="21"/>
      <c r="I136" s="21"/>
      <c r="J136" s="21"/>
      <c r="K136" s="21"/>
      <c r="L136" s="21"/>
    </row>
    <row r="137" spans="1:12" x14ac:dyDescent="0.2">
      <c r="A137" s="18"/>
      <c r="B137" s="18"/>
      <c r="C137" s="18"/>
    </row>
    <row r="138" spans="1:12" x14ac:dyDescent="0.2">
      <c r="A138" s="20"/>
      <c r="B138" s="20"/>
      <c r="C138" s="20"/>
      <c r="D138" s="21"/>
      <c r="E138" s="21"/>
      <c r="F138" s="21"/>
      <c r="G138" s="21"/>
      <c r="H138" s="21"/>
      <c r="I138" s="21"/>
      <c r="J138" s="21"/>
      <c r="K138" s="21"/>
      <c r="L138" s="21"/>
    </row>
    <row r="139" spans="1:12" x14ac:dyDescent="0.2">
      <c r="A139" s="18"/>
      <c r="B139" s="18"/>
      <c r="C139" s="18"/>
    </row>
    <row r="140" spans="1:12" x14ac:dyDescent="0.2">
      <c r="A140" s="20"/>
      <c r="B140" s="20"/>
      <c r="C140" s="20"/>
      <c r="D140" s="21"/>
      <c r="E140" s="21"/>
      <c r="F140" s="21"/>
      <c r="G140" s="21"/>
      <c r="H140" s="21"/>
      <c r="I140" s="21"/>
      <c r="J140" s="21"/>
      <c r="K140" s="21"/>
      <c r="L140" s="21"/>
    </row>
    <row r="141" spans="1:12" x14ac:dyDescent="0.2">
      <c r="A141" s="18"/>
      <c r="B141" s="18"/>
      <c r="C141" s="18"/>
    </row>
    <row r="142" spans="1:12" x14ac:dyDescent="0.2">
      <c r="A142" s="20"/>
      <c r="B142" s="20"/>
      <c r="C142" s="20"/>
      <c r="D142" s="21"/>
      <c r="E142" s="21"/>
      <c r="F142" s="21"/>
      <c r="G142" s="21"/>
      <c r="H142" s="21"/>
      <c r="I142" s="21"/>
      <c r="J142" s="21"/>
      <c r="K142" s="21"/>
      <c r="L142" s="21"/>
    </row>
    <row r="143" spans="1:12" x14ac:dyDescent="0.2">
      <c r="A143" s="18"/>
      <c r="B143" s="18"/>
      <c r="C143" s="18"/>
    </row>
    <row r="144" spans="1:12" x14ac:dyDescent="0.2">
      <c r="A144" s="20"/>
      <c r="B144" s="20"/>
      <c r="C144" s="20"/>
      <c r="D144" s="21"/>
      <c r="E144" s="21"/>
      <c r="F144" s="21"/>
      <c r="G144" s="21"/>
      <c r="H144" s="21"/>
      <c r="I144" s="21"/>
      <c r="J144" s="21"/>
      <c r="K144" s="21"/>
      <c r="L144" s="21"/>
    </row>
    <row r="145" spans="1:12" x14ac:dyDescent="0.2">
      <c r="A145" s="18"/>
      <c r="B145" s="18"/>
      <c r="C145" s="18"/>
    </row>
    <row r="146" spans="1:12" x14ac:dyDescent="0.2">
      <c r="A146" s="20"/>
      <c r="B146" s="20"/>
      <c r="C146" s="20"/>
      <c r="D146" s="21"/>
      <c r="E146" s="21"/>
      <c r="F146" s="21"/>
      <c r="G146" s="21"/>
      <c r="H146" s="21"/>
      <c r="I146" s="21"/>
      <c r="J146" s="21"/>
      <c r="K146" s="21"/>
      <c r="L146" s="21"/>
    </row>
    <row r="147" spans="1:12" x14ac:dyDescent="0.2">
      <c r="A147" s="18"/>
      <c r="B147" s="18"/>
      <c r="C147" s="18"/>
    </row>
    <row r="148" spans="1:12" x14ac:dyDescent="0.2">
      <c r="A148" s="20"/>
      <c r="B148" s="20"/>
      <c r="C148" s="20"/>
      <c r="D148" s="21"/>
      <c r="E148" s="21"/>
      <c r="F148" s="21"/>
      <c r="G148" s="21"/>
      <c r="H148" s="21"/>
      <c r="I148" s="21"/>
      <c r="J148" s="21"/>
      <c r="K148" s="21"/>
      <c r="L148" s="21"/>
    </row>
    <row r="149" spans="1:12" x14ac:dyDescent="0.2">
      <c r="A149" s="18"/>
      <c r="B149" s="18"/>
      <c r="C149" s="18"/>
    </row>
    <row r="150" spans="1:12" x14ac:dyDescent="0.2">
      <c r="A150" s="20"/>
      <c r="B150" s="20"/>
      <c r="C150" s="20"/>
      <c r="D150" s="21"/>
      <c r="E150" s="21"/>
      <c r="F150" s="21"/>
      <c r="G150" s="21"/>
      <c r="H150" s="21"/>
      <c r="I150" s="21"/>
      <c r="J150" s="21"/>
      <c r="K150" s="21"/>
      <c r="L150" s="21"/>
    </row>
    <row r="151" spans="1:12" x14ac:dyDescent="0.2">
      <c r="A151" s="18"/>
      <c r="B151" s="18"/>
      <c r="C151" s="18"/>
    </row>
    <row r="152" spans="1:12" x14ac:dyDescent="0.2">
      <c r="A152" s="18"/>
      <c r="B152" s="18"/>
      <c r="C152" s="18"/>
    </row>
    <row r="153" spans="1:12" x14ac:dyDescent="0.2">
      <c r="A153" s="18"/>
      <c r="B153" s="18"/>
      <c r="C153" s="18"/>
    </row>
    <row r="154" spans="1:12" x14ac:dyDescent="0.2">
      <c r="A154" s="20"/>
      <c r="B154" s="20"/>
      <c r="C154" s="20"/>
      <c r="D154" s="21"/>
      <c r="E154" s="21"/>
      <c r="F154" s="21"/>
      <c r="G154" s="21"/>
      <c r="H154" s="21"/>
      <c r="I154" s="21"/>
      <c r="J154" s="21"/>
      <c r="K154" s="21"/>
      <c r="L154" s="21"/>
    </row>
    <row r="155" spans="1:12" x14ac:dyDescent="0.2">
      <c r="A155" s="18"/>
      <c r="B155" s="18"/>
      <c r="C155" s="18"/>
    </row>
    <row r="156" spans="1:12" x14ac:dyDescent="0.2">
      <c r="A156" s="20"/>
      <c r="B156" s="20"/>
      <c r="C156" s="20"/>
      <c r="D156" s="21"/>
      <c r="E156" s="21"/>
      <c r="F156" s="21"/>
      <c r="G156" s="21"/>
      <c r="H156" s="21"/>
      <c r="I156" s="21"/>
      <c r="J156" s="21"/>
      <c r="K156" s="21"/>
      <c r="L156" s="21"/>
    </row>
    <row r="157" spans="1:12" x14ac:dyDescent="0.2">
      <c r="A157" s="18"/>
      <c r="B157" s="18"/>
      <c r="C157" s="18"/>
    </row>
    <row r="158" spans="1:12" x14ac:dyDescent="0.2">
      <c r="A158" s="20"/>
      <c r="B158" s="20"/>
      <c r="C158" s="20"/>
      <c r="D158" s="21"/>
      <c r="E158" s="21"/>
      <c r="F158" s="21"/>
      <c r="G158" s="21"/>
      <c r="H158" s="21"/>
      <c r="I158" s="21"/>
      <c r="J158" s="21"/>
      <c r="K158" s="21"/>
      <c r="L158" s="21"/>
    </row>
    <row r="159" spans="1:12" x14ac:dyDescent="0.2">
      <c r="A159" s="18"/>
      <c r="B159" s="18"/>
      <c r="C159" s="18"/>
    </row>
    <row r="160" spans="1:12" x14ac:dyDescent="0.2">
      <c r="A160" s="20"/>
      <c r="B160" s="20"/>
      <c r="C160" s="20"/>
      <c r="D160" s="21"/>
      <c r="E160" s="21"/>
      <c r="F160" s="21"/>
      <c r="G160" s="21"/>
      <c r="H160" s="21"/>
      <c r="I160" s="21"/>
      <c r="J160" s="21"/>
      <c r="K160" s="21"/>
      <c r="L160" s="21"/>
    </row>
    <row r="161" spans="1:12" x14ac:dyDescent="0.2">
      <c r="A161" s="18"/>
      <c r="B161" s="18"/>
      <c r="C161" s="18"/>
    </row>
    <row r="162" spans="1:12" x14ac:dyDescent="0.2">
      <c r="A162" s="20"/>
      <c r="B162" s="20"/>
      <c r="C162" s="20"/>
      <c r="D162" s="21"/>
      <c r="E162" s="21"/>
      <c r="F162" s="21"/>
      <c r="G162" s="21"/>
      <c r="H162" s="21"/>
      <c r="I162" s="21"/>
      <c r="J162" s="21"/>
      <c r="K162" s="21"/>
      <c r="L162" s="21"/>
    </row>
    <row r="163" spans="1:12" x14ac:dyDescent="0.2">
      <c r="A163" s="18"/>
      <c r="B163" s="18"/>
      <c r="C163" s="18"/>
    </row>
    <row r="164" spans="1:12" x14ac:dyDescent="0.2">
      <c r="A164" s="20"/>
      <c r="B164" s="20"/>
      <c r="C164" s="20"/>
      <c r="D164" s="21"/>
      <c r="E164" s="21"/>
      <c r="F164" s="21"/>
      <c r="G164" s="21"/>
      <c r="H164" s="21"/>
      <c r="I164" s="21"/>
      <c r="J164" s="21"/>
      <c r="K164" s="21"/>
      <c r="L164" s="21"/>
    </row>
    <row r="165" spans="1:12" x14ac:dyDescent="0.2">
      <c r="A165" s="18"/>
      <c r="B165" s="18"/>
      <c r="C165" s="18"/>
    </row>
    <row r="166" spans="1:12" x14ac:dyDescent="0.2">
      <c r="A166" s="20"/>
      <c r="B166" s="20"/>
      <c r="C166" s="20"/>
      <c r="D166" s="21"/>
      <c r="E166" s="21"/>
      <c r="F166" s="21"/>
      <c r="G166" s="21"/>
      <c r="H166" s="21"/>
      <c r="I166" s="21"/>
      <c r="J166" s="21"/>
      <c r="K166" s="21"/>
      <c r="L166" s="21"/>
    </row>
    <row r="167" spans="1:12" x14ac:dyDescent="0.2">
      <c r="A167" s="18"/>
      <c r="B167" s="18"/>
      <c r="C167" s="18"/>
    </row>
    <row r="168" spans="1:12" x14ac:dyDescent="0.2">
      <c r="A168" s="18"/>
      <c r="B168" s="18"/>
      <c r="C168" s="18"/>
    </row>
    <row r="169" spans="1:12" x14ac:dyDescent="0.2">
      <c r="A169" s="20"/>
      <c r="B169" s="20"/>
      <c r="C169" s="20"/>
      <c r="D169" s="21"/>
      <c r="E169" s="21"/>
      <c r="F169" s="21"/>
      <c r="G169" s="21"/>
      <c r="H169" s="21"/>
      <c r="I169" s="21"/>
      <c r="J169" s="21"/>
      <c r="K169" s="21"/>
      <c r="L169" s="21"/>
    </row>
    <row r="170" spans="1:12" x14ac:dyDescent="0.2">
      <c r="A170" s="18"/>
      <c r="B170" s="18"/>
      <c r="C170" s="18"/>
    </row>
    <row r="171" spans="1:12" x14ac:dyDescent="0.2">
      <c r="A171" s="20"/>
      <c r="B171" s="20"/>
      <c r="C171" s="20"/>
      <c r="D171" s="21"/>
      <c r="E171" s="21"/>
      <c r="F171" s="21"/>
      <c r="G171" s="21"/>
      <c r="H171" s="21"/>
      <c r="I171" s="21"/>
      <c r="J171" s="21"/>
      <c r="K171" s="21"/>
      <c r="L171" s="21"/>
    </row>
    <row r="172" spans="1:12" x14ac:dyDescent="0.2">
      <c r="A172" s="18"/>
      <c r="B172" s="18"/>
      <c r="C172" s="18"/>
    </row>
    <row r="173" spans="1:12" x14ac:dyDescent="0.2">
      <c r="A173" s="20"/>
      <c r="B173" s="20"/>
      <c r="C173" s="20"/>
      <c r="D173" s="21"/>
      <c r="E173" s="21"/>
      <c r="F173" s="21"/>
      <c r="G173" s="21"/>
      <c r="H173" s="21"/>
      <c r="I173" s="21"/>
      <c r="J173" s="21"/>
      <c r="K173" s="21"/>
      <c r="L173" s="21"/>
    </row>
    <row r="174" spans="1:12" x14ac:dyDescent="0.2">
      <c r="A174" s="18"/>
      <c r="B174" s="18"/>
      <c r="C174" s="18"/>
    </row>
    <row r="175" spans="1:12" x14ac:dyDescent="0.2">
      <c r="A175" s="20"/>
      <c r="B175" s="20"/>
      <c r="C175" s="20"/>
      <c r="D175" s="21"/>
      <c r="E175" s="21"/>
      <c r="F175" s="21"/>
      <c r="G175" s="21"/>
      <c r="H175" s="21"/>
      <c r="I175" s="21"/>
      <c r="J175" s="21"/>
      <c r="K175" s="21"/>
      <c r="L175" s="21"/>
    </row>
    <row r="176" spans="1:12" x14ac:dyDescent="0.2">
      <c r="A176" s="18"/>
      <c r="B176" s="18"/>
      <c r="C176" s="18"/>
    </row>
    <row r="177" spans="1:12" x14ac:dyDescent="0.2">
      <c r="A177" s="20"/>
      <c r="B177" s="20"/>
      <c r="C177" s="20"/>
      <c r="D177" s="21"/>
      <c r="E177" s="21"/>
      <c r="F177" s="21"/>
      <c r="G177" s="21"/>
      <c r="H177" s="21"/>
      <c r="I177" s="21"/>
      <c r="J177" s="21"/>
      <c r="K177" s="21"/>
      <c r="L177" s="21"/>
    </row>
    <row r="178" spans="1:12" x14ac:dyDescent="0.2">
      <c r="A178" s="18"/>
      <c r="B178" s="18"/>
      <c r="C178" s="18"/>
    </row>
    <row r="179" spans="1:12" x14ac:dyDescent="0.2">
      <c r="A179" s="18"/>
      <c r="B179" s="18"/>
      <c r="C179" s="18"/>
    </row>
    <row r="180" spans="1:12" x14ac:dyDescent="0.2">
      <c r="A180" s="20"/>
      <c r="B180" s="20"/>
      <c r="C180" s="20"/>
      <c r="D180" s="21"/>
      <c r="E180" s="21"/>
      <c r="F180" s="21"/>
      <c r="G180" s="21"/>
      <c r="H180" s="21"/>
      <c r="I180" s="21"/>
      <c r="J180" s="21"/>
      <c r="K180" s="21"/>
      <c r="L180" s="21"/>
    </row>
    <row r="181" spans="1:12" x14ac:dyDescent="0.2">
      <c r="A181" s="18"/>
      <c r="B181" s="18"/>
      <c r="C181" s="18"/>
    </row>
    <row r="182" spans="1:12" x14ac:dyDescent="0.2">
      <c r="A182" s="18"/>
      <c r="B182" s="18"/>
      <c r="C182" s="18"/>
    </row>
    <row r="183" spans="1:12" x14ac:dyDescent="0.2">
      <c r="A183" s="18"/>
      <c r="B183" s="18"/>
      <c r="C183" s="18"/>
    </row>
    <row r="184" spans="1:12" x14ac:dyDescent="0.2">
      <c r="A184" s="20"/>
      <c r="B184" s="20"/>
      <c r="C184" s="20"/>
      <c r="D184" s="21"/>
      <c r="E184" s="21"/>
      <c r="F184" s="21"/>
      <c r="G184" s="21"/>
      <c r="H184" s="21"/>
      <c r="I184" s="21"/>
      <c r="J184" s="21"/>
      <c r="K184" s="21"/>
      <c r="L184" s="21"/>
    </row>
    <row r="185" spans="1:12" x14ac:dyDescent="0.2">
      <c r="A185" s="18"/>
      <c r="B185" s="18"/>
      <c r="C185" s="18"/>
    </row>
    <row r="186" spans="1:12" x14ac:dyDescent="0.2">
      <c r="A186" s="20"/>
      <c r="B186" s="20"/>
      <c r="C186" s="20"/>
      <c r="D186" s="21"/>
      <c r="E186" s="21"/>
      <c r="F186" s="21"/>
      <c r="G186" s="21"/>
      <c r="H186" s="21"/>
      <c r="I186" s="21"/>
      <c r="J186" s="21"/>
      <c r="K186" s="21"/>
      <c r="L186" s="21"/>
    </row>
    <row r="187" spans="1:12" x14ac:dyDescent="0.2">
      <c r="A187" s="18"/>
      <c r="B187" s="18"/>
      <c r="C187" s="18"/>
    </row>
    <row r="188" spans="1:12" x14ac:dyDescent="0.2">
      <c r="A188" s="20"/>
      <c r="B188" s="20"/>
      <c r="C188" s="20"/>
      <c r="D188" s="21"/>
      <c r="E188" s="21"/>
      <c r="F188" s="21"/>
      <c r="G188" s="21"/>
      <c r="H188" s="21"/>
      <c r="I188" s="21"/>
      <c r="J188" s="21"/>
      <c r="K188" s="21"/>
      <c r="L188" s="21"/>
    </row>
    <row r="189" spans="1:12" x14ac:dyDescent="0.2">
      <c r="A189" s="18"/>
      <c r="B189" s="18"/>
      <c r="C189" s="18"/>
    </row>
    <row r="190" spans="1:12" x14ac:dyDescent="0.2">
      <c r="A190" s="18"/>
      <c r="B190" s="18"/>
      <c r="C190" s="18"/>
    </row>
    <row r="191" spans="1:12" x14ac:dyDescent="0.2">
      <c r="A191" s="20"/>
      <c r="B191" s="20"/>
      <c r="C191" s="20"/>
      <c r="D191" s="21"/>
      <c r="E191" s="21"/>
      <c r="F191" s="21"/>
      <c r="G191" s="21"/>
      <c r="H191" s="21"/>
      <c r="I191" s="21"/>
      <c r="J191" s="21"/>
      <c r="K191" s="21"/>
      <c r="L191" s="21"/>
    </row>
    <row r="192" spans="1:12" x14ac:dyDescent="0.2">
      <c r="A192" s="18"/>
      <c r="B192" s="18"/>
      <c r="C192" s="18"/>
    </row>
    <row r="193" spans="1:12" x14ac:dyDescent="0.2">
      <c r="A193" s="20"/>
      <c r="B193" s="20"/>
      <c r="C193" s="20"/>
      <c r="D193" s="21"/>
      <c r="E193" s="21"/>
      <c r="F193" s="21"/>
      <c r="G193" s="21"/>
      <c r="H193" s="21"/>
      <c r="I193" s="21"/>
      <c r="J193" s="21"/>
      <c r="K193" s="21"/>
      <c r="L193" s="21"/>
    </row>
    <row r="194" spans="1:12" x14ac:dyDescent="0.2">
      <c r="A194" s="18"/>
      <c r="B194" s="18"/>
      <c r="C194" s="18"/>
    </row>
    <row r="195" spans="1:12" x14ac:dyDescent="0.2">
      <c r="A195" s="18"/>
      <c r="B195" s="18"/>
      <c r="C195" s="18"/>
    </row>
    <row r="196" spans="1:12" x14ac:dyDescent="0.2">
      <c r="A196" s="18"/>
      <c r="B196" s="18"/>
      <c r="C196" s="18"/>
    </row>
    <row r="197" spans="1:12" x14ac:dyDescent="0.2">
      <c r="A197" s="20"/>
      <c r="B197" s="20"/>
      <c r="C197" s="20"/>
      <c r="D197" s="21"/>
      <c r="E197" s="21"/>
      <c r="F197" s="21"/>
      <c r="G197" s="21"/>
      <c r="H197" s="21"/>
      <c r="I197" s="21"/>
      <c r="J197" s="21"/>
      <c r="K197" s="21"/>
      <c r="L197" s="21"/>
    </row>
    <row r="198" spans="1:12" x14ac:dyDescent="0.2">
      <c r="A198" s="18"/>
      <c r="B198" s="18"/>
      <c r="C198" s="18"/>
    </row>
    <row r="199" spans="1:12" x14ac:dyDescent="0.2">
      <c r="A199" s="20"/>
      <c r="B199" s="20"/>
      <c r="C199" s="20"/>
      <c r="D199" s="21"/>
      <c r="E199" s="21"/>
      <c r="F199" s="21"/>
      <c r="G199" s="21"/>
      <c r="H199" s="21"/>
      <c r="I199" s="21"/>
      <c r="J199" s="21"/>
      <c r="K199" s="21"/>
      <c r="L199" s="21"/>
    </row>
    <row r="200" spans="1:12" x14ac:dyDescent="0.2">
      <c r="A200" s="18"/>
      <c r="B200" s="18"/>
      <c r="C200" s="18"/>
    </row>
    <row r="201" spans="1:12" x14ac:dyDescent="0.2">
      <c r="A201" s="20"/>
      <c r="B201" s="20"/>
      <c r="C201" s="20"/>
      <c r="D201" s="21"/>
      <c r="E201" s="21"/>
      <c r="F201" s="21"/>
      <c r="G201" s="21"/>
      <c r="H201" s="21"/>
      <c r="I201" s="21"/>
      <c r="J201" s="21"/>
      <c r="K201" s="21"/>
      <c r="L201" s="21"/>
    </row>
    <row r="202" spans="1:12" x14ac:dyDescent="0.2">
      <c r="A202" s="18"/>
      <c r="B202" s="18"/>
      <c r="C202" s="18"/>
    </row>
    <row r="203" spans="1:12" x14ac:dyDescent="0.2">
      <c r="A203" s="20"/>
      <c r="B203" s="20"/>
      <c r="C203" s="20"/>
      <c r="D203" s="21"/>
      <c r="E203" s="21"/>
      <c r="F203" s="21"/>
      <c r="G203" s="21"/>
      <c r="H203" s="21"/>
      <c r="I203" s="21"/>
      <c r="J203" s="21"/>
      <c r="K203" s="21"/>
      <c r="L203" s="21"/>
    </row>
    <row r="204" spans="1:12" x14ac:dyDescent="0.2">
      <c r="A204" s="18"/>
      <c r="B204" s="18"/>
      <c r="C204" s="18"/>
    </row>
    <row r="205" spans="1:12" x14ac:dyDescent="0.2">
      <c r="A205" s="20"/>
      <c r="B205" s="20"/>
      <c r="C205" s="20"/>
      <c r="D205" s="21"/>
      <c r="E205" s="21"/>
      <c r="F205" s="21"/>
      <c r="G205" s="21"/>
      <c r="H205" s="21"/>
      <c r="I205" s="21"/>
      <c r="J205" s="21"/>
      <c r="K205" s="21"/>
      <c r="L205" s="21"/>
    </row>
    <row r="206" spans="1:12" x14ac:dyDescent="0.2">
      <c r="A206" s="18"/>
      <c r="B206" s="18"/>
      <c r="C206" s="18"/>
    </row>
    <row r="207" spans="1:12" x14ac:dyDescent="0.2">
      <c r="A207" s="20"/>
      <c r="B207" s="20"/>
      <c r="C207" s="20"/>
      <c r="D207" s="21"/>
      <c r="E207" s="21"/>
      <c r="F207" s="21"/>
      <c r="G207" s="21"/>
      <c r="H207" s="21"/>
      <c r="I207" s="21"/>
      <c r="J207" s="21"/>
      <c r="K207" s="21"/>
      <c r="L207" s="21"/>
    </row>
    <row r="208" spans="1:12" x14ac:dyDescent="0.2">
      <c r="A208" s="18"/>
      <c r="B208" s="18"/>
      <c r="C208" s="18"/>
    </row>
    <row r="209" spans="1:12" x14ac:dyDescent="0.2">
      <c r="A209" s="20"/>
      <c r="B209" s="20"/>
      <c r="C209" s="20"/>
      <c r="D209" s="21"/>
      <c r="E209" s="21"/>
      <c r="F209" s="21"/>
      <c r="G209" s="21"/>
      <c r="H209" s="21"/>
      <c r="I209" s="21"/>
      <c r="J209" s="21"/>
      <c r="K209" s="21"/>
      <c r="L209" s="21"/>
    </row>
    <row r="210" spans="1:12" x14ac:dyDescent="0.2">
      <c r="A210" s="18"/>
      <c r="B210" s="18"/>
      <c r="C210" s="18"/>
    </row>
    <row r="211" spans="1:12" x14ac:dyDescent="0.2">
      <c r="A211" s="20"/>
      <c r="B211" s="20"/>
      <c r="C211" s="20"/>
      <c r="D211" s="21"/>
      <c r="E211" s="21"/>
      <c r="F211" s="21"/>
      <c r="G211" s="21"/>
      <c r="H211" s="21"/>
      <c r="I211" s="21"/>
      <c r="J211" s="21"/>
      <c r="K211" s="21"/>
      <c r="L211" s="21"/>
    </row>
    <row r="212" spans="1:12" x14ac:dyDescent="0.2">
      <c r="A212" s="18"/>
      <c r="B212" s="18"/>
      <c r="C212" s="18"/>
    </row>
    <row r="213" spans="1:12" x14ac:dyDescent="0.2">
      <c r="A213" s="20"/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</row>
    <row r="214" spans="1:12" x14ac:dyDescent="0.2">
      <c r="A214" s="18"/>
      <c r="B214" s="18"/>
      <c r="C214" s="18"/>
    </row>
    <row r="215" spans="1:12" x14ac:dyDescent="0.2">
      <c r="A215" s="20"/>
      <c r="B215" s="20"/>
      <c r="C215" s="20"/>
      <c r="D215" s="21"/>
      <c r="E215" s="21"/>
      <c r="F215" s="21"/>
      <c r="G215" s="21"/>
      <c r="H215" s="21"/>
      <c r="I215" s="21"/>
      <c r="J215" s="21"/>
      <c r="K215" s="21"/>
      <c r="L215" s="21"/>
    </row>
    <row r="216" spans="1:12" x14ac:dyDescent="0.2">
      <c r="A216" s="18"/>
      <c r="B216" s="18"/>
      <c r="C216" s="18"/>
    </row>
    <row r="217" spans="1:12" x14ac:dyDescent="0.2">
      <c r="A217" s="18"/>
      <c r="B217" s="18"/>
      <c r="C217" s="18"/>
    </row>
    <row r="218" spans="1:12" x14ac:dyDescent="0.2">
      <c r="A218" s="18"/>
      <c r="B218" s="18"/>
      <c r="C218" s="18"/>
    </row>
    <row r="219" spans="1:12" x14ac:dyDescent="0.2">
      <c r="A219" s="18"/>
      <c r="B219" s="18"/>
      <c r="C219" s="18"/>
    </row>
    <row r="220" spans="1:12" x14ac:dyDescent="0.2">
      <c r="A220" s="18"/>
      <c r="B220" s="18"/>
      <c r="C220" s="18"/>
    </row>
    <row r="221" spans="1:12" x14ac:dyDescent="0.2">
      <c r="A221" s="20"/>
      <c r="B221" s="20"/>
      <c r="C221" s="20"/>
      <c r="D221" s="21"/>
      <c r="E221" s="21"/>
      <c r="F221" s="21"/>
      <c r="G221" s="21"/>
      <c r="H221" s="21"/>
      <c r="I221" s="21"/>
      <c r="J221" s="21"/>
      <c r="K221" s="21"/>
      <c r="L221" s="21"/>
    </row>
    <row r="222" spans="1:12" x14ac:dyDescent="0.2">
      <c r="A222" s="18"/>
      <c r="B222" s="18"/>
      <c r="C222" s="18"/>
    </row>
    <row r="223" spans="1:12" x14ac:dyDescent="0.2">
      <c r="A223" s="18"/>
      <c r="B223" s="18"/>
      <c r="C223" s="18"/>
    </row>
    <row r="224" spans="1:12" x14ac:dyDescent="0.2">
      <c r="A224" s="20"/>
      <c r="B224" s="20"/>
      <c r="C224" s="20"/>
      <c r="D224" s="21"/>
      <c r="E224" s="21"/>
      <c r="F224" s="21"/>
      <c r="G224" s="21"/>
      <c r="H224" s="21"/>
      <c r="I224" s="21"/>
      <c r="J224" s="21"/>
      <c r="K224" s="21"/>
      <c r="L224" s="21"/>
    </row>
    <row r="225" spans="1:12" x14ac:dyDescent="0.2">
      <c r="A225" s="18"/>
      <c r="B225" s="18"/>
      <c r="C225" s="18"/>
    </row>
    <row r="226" spans="1:12" x14ac:dyDescent="0.2">
      <c r="A226" s="20"/>
      <c r="B226" s="20"/>
      <c r="C226" s="20"/>
      <c r="D226" s="21"/>
      <c r="E226" s="21"/>
      <c r="F226" s="21"/>
      <c r="G226" s="21"/>
      <c r="H226" s="21"/>
      <c r="I226" s="21"/>
      <c r="J226" s="21"/>
      <c r="K226" s="21"/>
      <c r="L226" s="21"/>
    </row>
    <row r="227" spans="1:12" x14ac:dyDescent="0.2">
      <c r="A227" s="18"/>
      <c r="B227" s="18"/>
      <c r="C227" s="18"/>
    </row>
    <row r="228" spans="1:12" x14ac:dyDescent="0.2">
      <c r="A228" s="18"/>
      <c r="B228" s="18"/>
      <c r="C228" s="18"/>
    </row>
    <row r="229" spans="1:12" x14ac:dyDescent="0.2">
      <c r="A229" s="20"/>
      <c r="B229" s="20"/>
      <c r="C229" s="20"/>
      <c r="D229" s="21"/>
      <c r="E229" s="21"/>
      <c r="F229" s="21"/>
      <c r="G229" s="21"/>
      <c r="H229" s="21"/>
      <c r="I229" s="21"/>
      <c r="J229" s="21"/>
      <c r="K229" s="21"/>
      <c r="L229" s="21"/>
    </row>
    <row r="230" spans="1:12" x14ac:dyDescent="0.2">
      <c r="A230" s="18"/>
      <c r="B230" s="18"/>
      <c r="C230" s="18"/>
    </row>
    <row r="231" spans="1:12" x14ac:dyDescent="0.2">
      <c r="A231" s="20"/>
      <c r="B231" s="20"/>
      <c r="C231" s="20"/>
      <c r="D231" s="21"/>
      <c r="E231" s="21"/>
      <c r="F231" s="21"/>
      <c r="G231" s="21"/>
      <c r="H231" s="21"/>
      <c r="I231" s="21"/>
      <c r="J231" s="21"/>
      <c r="K231" s="21"/>
      <c r="L231" s="21"/>
    </row>
    <row r="232" spans="1:12" x14ac:dyDescent="0.2">
      <c r="A232" s="18"/>
      <c r="B232" s="18"/>
      <c r="C232" s="18"/>
    </row>
    <row r="233" spans="1:12" x14ac:dyDescent="0.2">
      <c r="A233" s="20"/>
      <c r="B233" s="20"/>
      <c r="C233" s="20"/>
      <c r="D233" s="21"/>
      <c r="E233" s="21"/>
      <c r="F233" s="21"/>
      <c r="G233" s="21"/>
      <c r="H233" s="21"/>
      <c r="I233" s="21"/>
      <c r="J233" s="21"/>
      <c r="K233" s="21"/>
      <c r="L233" s="21"/>
    </row>
    <row r="234" spans="1:12" x14ac:dyDescent="0.2">
      <c r="A234" s="18"/>
      <c r="B234" s="18"/>
      <c r="C234" s="18"/>
    </row>
    <row r="235" spans="1:12" x14ac:dyDescent="0.2">
      <c r="A235" s="20"/>
      <c r="B235" s="20"/>
      <c r="C235" s="20"/>
      <c r="D235" s="21"/>
      <c r="E235" s="21"/>
      <c r="F235" s="21"/>
      <c r="G235" s="21"/>
      <c r="H235" s="21"/>
      <c r="I235" s="21"/>
      <c r="J235" s="21"/>
      <c r="K235" s="21"/>
      <c r="L235" s="21"/>
    </row>
    <row r="236" spans="1:12" x14ac:dyDescent="0.2">
      <c r="A236" s="18"/>
      <c r="B236" s="18"/>
      <c r="C236" s="18"/>
    </row>
    <row r="237" spans="1:12" x14ac:dyDescent="0.2">
      <c r="A237" s="20"/>
      <c r="B237" s="20"/>
      <c r="C237" s="20"/>
      <c r="D237" s="21"/>
      <c r="E237" s="21"/>
      <c r="F237" s="21"/>
      <c r="G237" s="21"/>
      <c r="H237" s="21"/>
      <c r="I237" s="21"/>
      <c r="J237" s="21"/>
      <c r="K237" s="21"/>
      <c r="L237" s="21"/>
    </row>
    <row r="238" spans="1:12" x14ac:dyDescent="0.2">
      <c r="A238" s="18"/>
      <c r="B238" s="18"/>
      <c r="C238" s="18"/>
    </row>
    <row r="239" spans="1:12" x14ac:dyDescent="0.2">
      <c r="A239" s="20"/>
      <c r="B239" s="20"/>
      <c r="C239" s="20"/>
      <c r="D239" s="21"/>
      <c r="E239" s="21"/>
      <c r="F239" s="21"/>
      <c r="G239" s="21"/>
      <c r="H239" s="21"/>
      <c r="I239" s="21"/>
      <c r="J239" s="21"/>
      <c r="K239" s="21"/>
      <c r="L239" s="21"/>
    </row>
    <row r="240" spans="1:12" x14ac:dyDescent="0.2">
      <c r="A240" s="18"/>
      <c r="B240" s="18"/>
      <c r="C240" s="18"/>
    </row>
    <row r="241" spans="1:12" x14ac:dyDescent="0.2">
      <c r="A241" s="18"/>
      <c r="B241" s="18"/>
      <c r="C241" s="18"/>
    </row>
    <row r="242" spans="1:12" x14ac:dyDescent="0.2">
      <c r="A242" s="20"/>
      <c r="B242" s="20"/>
      <c r="C242" s="20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2" x14ac:dyDescent="0.2">
      <c r="A243" s="18"/>
      <c r="B243" s="18"/>
      <c r="C243" s="18"/>
    </row>
    <row r="244" spans="1:12" x14ac:dyDescent="0.2">
      <c r="A244" s="18"/>
      <c r="B244" s="18"/>
      <c r="C244" s="18"/>
    </row>
    <row r="245" spans="1:12" x14ac:dyDescent="0.2">
      <c r="A245" s="18"/>
      <c r="B245" s="18"/>
      <c r="C245" s="18"/>
    </row>
    <row r="246" spans="1:12" x14ac:dyDescent="0.2">
      <c r="A246" s="18"/>
      <c r="B246" s="18"/>
      <c r="C246" s="18"/>
    </row>
    <row r="247" spans="1:12" x14ac:dyDescent="0.2">
      <c r="A247" s="20"/>
      <c r="B247" s="20"/>
      <c r="C247" s="20"/>
      <c r="D247" s="21"/>
      <c r="E247" s="21"/>
      <c r="F247" s="21"/>
      <c r="G247" s="21"/>
      <c r="H247" s="21"/>
      <c r="I247" s="21"/>
      <c r="J247" s="21"/>
      <c r="K247" s="21"/>
      <c r="L247" s="21"/>
    </row>
    <row r="248" spans="1:12" x14ac:dyDescent="0.2">
      <c r="A248" s="18"/>
      <c r="B248" s="18"/>
      <c r="C248" s="18"/>
    </row>
    <row r="249" spans="1:12" x14ac:dyDescent="0.2">
      <c r="A249" s="20"/>
      <c r="B249" s="20"/>
      <c r="C249" s="20"/>
      <c r="D249" s="21"/>
      <c r="E249" s="21"/>
      <c r="F249" s="21"/>
      <c r="G249" s="21"/>
      <c r="H249" s="21"/>
      <c r="I249" s="21"/>
      <c r="J249" s="21"/>
      <c r="K249" s="21"/>
      <c r="L249" s="21"/>
    </row>
    <row r="250" spans="1:12" x14ac:dyDescent="0.2">
      <c r="A250" s="18"/>
      <c r="B250" s="18"/>
      <c r="C250" s="18"/>
    </row>
    <row r="251" spans="1:12" x14ac:dyDescent="0.2">
      <c r="A251" s="18"/>
      <c r="B251" s="18"/>
      <c r="C251" s="18"/>
    </row>
    <row r="252" spans="1:12" x14ac:dyDescent="0.2">
      <c r="A252" s="20"/>
      <c r="B252" s="20"/>
      <c r="C252" s="20"/>
      <c r="D252" s="21"/>
      <c r="E252" s="21"/>
      <c r="F252" s="21"/>
      <c r="G252" s="21"/>
      <c r="H252" s="21"/>
      <c r="I252" s="21"/>
      <c r="J252" s="21"/>
      <c r="K252" s="21"/>
      <c r="L252" s="21"/>
    </row>
    <row r="253" spans="1:12" x14ac:dyDescent="0.2">
      <c r="A253" s="18"/>
      <c r="B253" s="18"/>
      <c r="C253" s="18"/>
    </row>
    <row r="254" spans="1:12" x14ac:dyDescent="0.2">
      <c r="A254" s="20"/>
      <c r="B254" s="20"/>
      <c r="C254" s="20"/>
      <c r="D254" s="21"/>
      <c r="E254" s="21"/>
      <c r="F254" s="21"/>
      <c r="G254" s="21"/>
      <c r="H254" s="21"/>
      <c r="I254" s="21"/>
      <c r="J254" s="21"/>
      <c r="K254" s="21"/>
      <c r="L254" s="21"/>
    </row>
    <row r="255" spans="1:12" x14ac:dyDescent="0.2">
      <c r="A255" s="18"/>
      <c r="B255" s="18"/>
      <c r="C255" s="18"/>
    </row>
    <row r="256" spans="1:12" x14ac:dyDescent="0.2">
      <c r="A256" s="18"/>
      <c r="B256" s="18"/>
      <c r="C256" s="18"/>
    </row>
    <row r="257" spans="1:12" x14ac:dyDescent="0.2">
      <c r="A257" s="18"/>
      <c r="B257" s="18"/>
      <c r="C257" s="18"/>
    </row>
    <row r="258" spans="1:12" x14ac:dyDescent="0.2">
      <c r="A258" s="20"/>
      <c r="B258" s="20"/>
      <c r="C258" s="20"/>
      <c r="D258" s="21"/>
      <c r="E258" s="21"/>
      <c r="F258" s="21"/>
      <c r="G258" s="21"/>
      <c r="H258" s="21"/>
      <c r="I258" s="21"/>
      <c r="J258" s="21"/>
      <c r="K258" s="21"/>
      <c r="L258" s="21"/>
    </row>
    <row r="259" spans="1:12" x14ac:dyDescent="0.2">
      <c r="A259" s="18"/>
      <c r="B259" s="18"/>
      <c r="C259" s="18"/>
    </row>
    <row r="260" spans="1:12" x14ac:dyDescent="0.2">
      <c r="A260" s="18"/>
      <c r="B260" s="18"/>
      <c r="C260" s="18"/>
    </row>
    <row r="261" spans="1:12" x14ac:dyDescent="0.2">
      <c r="A261" s="18"/>
      <c r="B261" s="18"/>
      <c r="C261" s="18"/>
    </row>
    <row r="262" spans="1:12" x14ac:dyDescent="0.2">
      <c r="A262" s="20"/>
      <c r="B262" s="20"/>
      <c r="C262" s="20"/>
      <c r="D262" s="21"/>
      <c r="E262" s="21"/>
      <c r="F262" s="21"/>
      <c r="G262" s="21"/>
      <c r="H262" s="21"/>
      <c r="I262" s="21"/>
      <c r="J262" s="21"/>
      <c r="K262" s="21"/>
      <c r="L262" s="21"/>
    </row>
    <row r="263" spans="1:12" x14ac:dyDescent="0.2">
      <c r="A263" s="18"/>
      <c r="B263" s="18"/>
      <c r="C263" s="18"/>
    </row>
    <row r="264" spans="1:12" x14ac:dyDescent="0.2">
      <c r="A264" s="20"/>
      <c r="B264" s="20"/>
      <c r="C264" s="20"/>
      <c r="D264" s="21"/>
      <c r="E264" s="21"/>
      <c r="F264" s="21"/>
      <c r="G264" s="21"/>
      <c r="H264" s="21"/>
      <c r="I264" s="21"/>
      <c r="J264" s="21"/>
      <c r="K264" s="21"/>
      <c r="L264" s="21"/>
    </row>
    <row r="265" spans="1:12" x14ac:dyDescent="0.2">
      <c r="A265" s="18"/>
      <c r="B265" s="18"/>
      <c r="C265" s="18"/>
    </row>
    <row r="266" spans="1:12" x14ac:dyDescent="0.2">
      <c r="A266" s="20"/>
      <c r="B266" s="20"/>
      <c r="C266" s="20"/>
      <c r="D266" s="21"/>
      <c r="E266" s="21"/>
      <c r="F266" s="21"/>
      <c r="G266" s="21"/>
      <c r="H266" s="21"/>
      <c r="I266" s="21"/>
      <c r="J266" s="21"/>
      <c r="K266" s="21"/>
      <c r="L266" s="21"/>
    </row>
    <row r="267" spans="1:12" x14ac:dyDescent="0.2">
      <c r="A267" s="18"/>
      <c r="B267" s="18"/>
      <c r="C267" s="18"/>
    </row>
    <row r="268" spans="1:12" x14ac:dyDescent="0.2">
      <c r="A268" s="18"/>
      <c r="B268" s="18"/>
      <c r="C268" s="18"/>
    </row>
    <row r="269" spans="1:12" x14ac:dyDescent="0.2">
      <c r="A269" s="20"/>
      <c r="B269" s="20"/>
      <c r="C269" s="20"/>
      <c r="D269" s="21"/>
      <c r="E269" s="21"/>
      <c r="F269" s="21"/>
      <c r="G269" s="21"/>
      <c r="H269" s="21"/>
      <c r="I269" s="21"/>
      <c r="J269" s="21"/>
      <c r="K269" s="21"/>
      <c r="L269" s="21"/>
    </row>
    <row r="270" spans="1:12" x14ac:dyDescent="0.2">
      <c r="A270" s="18"/>
      <c r="B270" s="18"/>
      <c r="C270" s="18"/>
    </row>
    <row r="271" spans="1:12" x14ac:dyDescent="0.2">
      <c r="A271" s="22"/>
      <c r="B271" s="22"/>
      <c r="C271" s="22"/>
      <c r="D271" s="23"/>
      <c r="E271" s="23"/>
      <c r="F271" s="23"/>
      <c r="G271" s="23"/>
      <c r="H271" s="23"/>
      <c r="I271" s="23"/>
      <c r="J271" s="23"/>
      <c r="K271" s="23"/>
      <c r="L271" s="23"/>
    </row>
  </sheetData>
  <autoFilter ref="A1:H101" xr:uid="{4E51122F-B937-47EE-B11A-BE94330F10D1}"/>
  <conditionalFormatting sqref="J2:J12">
    <cfRule type="duplicateValues" dxfId="4" priority="2"/>
  </conditionalFormatting>
  <conditionalFormatting sqref="J31:J41">
    <cfRule type="duplicateValues" dxfId="3" priority="1"/>
  </conditionalFormatting>
  <conditionalFormatting sqref="U1:U13">
    <cfRule type="duplicateValues" dxfId="2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852B-EEC4-4905-A342-5137348EF623}">
  <dimension ref="A1:Y30"/>
  <sheetViews>
    <sheetView workbookViewId="0">
      <selection activeCell="P2" sqref="P2"/>
    </sheetView>
  </sheetViews>
  <sheetFormatPr baseColWidth="10" defaultColWidth="8.83203125" defaultRowHeight="15" x14ac:dyDescent="0.2"/>
  <cols>
    <col min="1" max="1" width="16.5" bestFit="1" customWidth="1"/>
    <col min="2" max="2" width="16.33203125" bestFit="1" customWidth="1"/>
    <col min="3" max="3" width="12.5" bestFit="1" customWidth="1"/>
    <col min="4" max="4" width="5.5" bestFit="1" customWidth="1"/>
    <col min="5" max="5" width="5.6640625" bestFit="1" customWidth="1"/>
    <col min="6" max="6" width="11.33203125" bestFit="1" customWidth="1"/>
    <col min="7" max="7" width="6.1640625" bestFit="1" customWidth="1"/>
    <col min="8" max="8" width="10.1640625" bestFit="1" customWidth="1"/>
    <col min="9" max="9" width="7.33203125" bestFit="1" customWidth="1"/>
    <col min="10" max="10" width="11.33203125" bestFit="1" customWidth="1"/>
    <col min="14" max="14" width="30" customWidth="1"/>
  </cols>
  <sheetData>
    <row r="1" spans="1:25" x14ac:dyDescent="0.2">
      <c r="A1" s="15" t="s">
        <v>7475</v>
      </c>
      <c r="B1" s="15" t="s">
        <v>7177</v>
      </c>
      <c r="N1" t="s">
        <v>7366</v>
      </c>
      <c r="O1" t="s">
        <v>7167</v>
      </c>
      <c r="P1" s="21" t="s">
        <v>7170</v>
      </c>
      <c r="Q1" t="s">
        <v>60</v>
      </c>
      <c r="R1" t="s">
        <v>7165</v>
      </c>
      <c r="S1" t="s">
        <v>7172</v>
      </c>
      <c r="T1" t="s">
        <v>7169</v>
      </c>
      <c r="U1" t="s">
        <v>7162</v>
      </c>
      <c r="V1" t="s">
        <v>7168</v>
      </c>
      <c r="W1" t="s">
        <v>7180</v>
      </c>
    </row>
    <row r="2" spans="1:25" x14ac:dyDescent="0.2">
      <c r="A2" s="15" t="s">
        <v>7173</v>
      </c>
      <c r="B2" t="s">
        <v>7167</v>
      </c>
      <c r="C2" t="s">
        <v>7170</v>
      </c>
      <c r="D2" t="s">
        <v>60</v>
      </c>
      <c r="E2" t="s">
        <v>7165</v>
      </c>
      <c r="F2" t="s">
        <v>7169</v>
      </c>
      <c r="G2" t="s">
        <v>7162</v>
      </c>
      <c r="H2" t="s">
        <v>7168</v>
      </c>
      <c r="I2" t="s">
        <v>7174</v>
      </c>
      <c r="J2" t="s">
        <v>7175</v>
      </c>
      <c r="N2" t="s">
        <v>7353</v>
      </c>
      <c r="O2">
        <f>SUMIF($A$3:$A$27,CONCATENATE("*",N2,"*"),$B$3:$B$27)</f>
        <v>8</v>
      </c>
      <c r="P2">
        <f>SUMIF($A$3:$A$27,CONCATENATE("*",N2,"*"),$C$3:$C$27)</f>
        <v>3</v>
      </c>
      <c r="Q2">
        <f>SUMIF($A$3:$A$27,CONCATENATE("*",N2,"*"),$D$3:$D$27)</f>
        <v>5</v>
      </c>
      <c r="R2">
        <f>SUMIF($A$3:$A$27,CONCATENATE("*",N2,"*"),$E$3:$E$27)</f>
        <v>204</v>
      </c>
      <c r="T2">
        <f>SUMIF($A$3:$A$27,CONCATENATE("*",N2,"*"),$F$3:$F$27)</f>
        <v>4</v>
      </c>
      <c r="U2">
        <f>SUMIF($A$3:$A$27,CONCATENATE("*",N2,"*"),$G$3:$G$27)</f>
        <v>1</v>
      </c>
      <c r="V2">
        <f>SUMIF($A$3:$A$27,CONCATENATE("*",N2,"*"),$H$3:$H$27)</f>
        <v>2</v>
      </c>
      <c r="W2">
        <f>SUMIF($A$3:$A$27,CONCATENATE("*",N2,"*"),$J$3:$J$27)</f>
        <v>227</v>
      </c>
      <c r="Y2">
        <v>227</v>
      </c>
    </row>
    <row r="3" spans="1:25" x14ac:dyDescent="0.2">
      <c r="A3" s="16" t="s">
        <v>169</v>
      </c>
      <c r="E3">
        <v>4</v>
      </c>
      <c r="J3">
        <v>4</v>
      </c>
      <c r="N3" t="s">
        <v>7354</v>
      </c>
      <c r="O3">
        <f t="shared" ref="O3:O14" si="0">SUMIF($A$3:$A$27,CONCATENATE("*",N3,"*"),$B$3:$B$27)</f>
        <v>10</v>
      </c>
      <c r="P3">
        <f t="shared" ref="P3:P14" si="1">SUMIF($A$3:$A$27,CONCATENATE("*",N3,"*"),$C$3:$C$27)</f>
        <v>2</v>
      </c>
      <c r="Q3">
        <f t="shared" ref="Q3:Q14" si="2">SUMIF($A$3:$A$27,CONCATENATE("*",N3,"*"),$D$3:$D$27)</f>
        <v>23</v>
      </c>
      <c r="R3">
        <f t="shared" ref="R3:R14" si="3">SUMIF($A$3:$A$27,CONCATENATE("*",N3,"*"),$E$3:$E$27)</f>
        <v>176</v>
      </c>
      <c r="T3">
        <f t="shared" ref="T3:T14" si="4">SUMIF($A$3:$A$27,CONCATENATE("*",N3,"*"),$F$3:$F$27)</f>
        <v>14</v>
      </c>
      <c r="U3">
        <f t="shared" ref="U3:U14" si="5">SUMIF($A$3:$A$27,CONCATENATE("*",N3,"*"),$G$3:$G$27)</f>
        <v>1</v>
      </c>
      <c r="V3">
        <f t="shared" ref="V3:V14" si="6">SUMIF($A$3:$A$27,CONCATENATE("*",N3,"*"),$H$3:$H$27)</f>
        <v>4</v>
      </c>
      <c r="W3">
        <f t="shared" ref="W3:W14" si="7">SUMIF($A$3:$A$27,CONCATENATE("*",N3,"*"),$J$3:$J$27)</f>
        <v>230</v>
      </c>
      <c r="Y3">
        <v>230</v>
      </c>
    </row>
    <row r="4" spans="1:25" x14ac:dyDescent="0.2">
      <c r="A4" s="16" t="s">
        <v>7353</v>
      </c>
      <c r="D4">
        <v>4</v>
      </c>
      <c r="E4">
        <v>33</v>
      </c>
      <c r="J4">
        <v>37</v>
      </c>
      <c r="N4" t="s">
        <v>7355</v>
      </c>
      <c r="O4">
        <f t="shared" si="0"/>
        <v>3</v>
      </c>
      <c r="P4">
        <f t="shared" si="1"/>
        <v>0</v>
      </c>
      <c r="Q4">
        <f t="shared" si="2"/>
        <v>0</v>
      </c>
      <c r="R4">
        <f t="shared" si="3"/>
        <v>15</v>
      </c>
      <c r="T4">
        <f t="shared" si="4"/>
        <v>0</v>
      </c>
      <c r="U4">
        <f t="shared" si="5"/>
        <v>0</v>
      </c>
      <c r="V4">
        <f t="shared" si="6"/>
        <v>0</v>
      </c>
      <c r="W4">
        <f t="shared" si="7"/>
        <v>18</v>
      </c>
      <c r="Y4">
        <v>18</v>
      </c>
    </row>
    <row r="5" spans="1:25" x14ac:dyDescent="0.2">
      <c r="A5" s="16" t="s">
        <v>7463</v>
      </c>
      <c r="B5">
        <v>7</v>
      </c>
      <c r="E5">
        <v>60</v>
      </c>
      <c r="F5">
        <v>1</v>
      </c>
      <c r="H5">
        <v>1</v>
      </c>
      <c r="J5">
        <v>69</v>
      </c>
      <c r="N5" t="s">
        <v>7356</v>
      </c>
      <c r="O5">
        <f t="shared" si="0"/>
        <v>0</v>
      </c>
      <c r="P5">
        <f t="shared" si="1"/>
        <v>7</v>
      </c>
      <c r="Q5">
        <f t="shared" si="2"/>
        <v>1</v>
      </c>
      <c r="R5">
        <f t="shared" si="3"/>
        <v>52</v>
      </c>
      <c r="T5">
        <f t="shared" si="4"/>
        <v>3</v>
      </c>
      <c r="U5">
        <f t="shared" si="5"/>
        <v>0</v>
      </c>
      <c r="V5">
        <f t="shared" si="6"/>
        <v>0</v>
      </c>
      <c r="W5">
        <f t="shared" si="7"/>
        <v>63</v>
      </c>
      <c r="Y5">
        <v>63</v>
      </c>
    </row>
    <row r="6" spans="1:25" x14ac:dyDescent="0.2">
      <c r="A6" s="16" t="s">
        <v>7468</v>
      </c>
      <c r="E6">
        <v>7</v>
      </c>
      <c r="J6">
        <v>7</v>
      </c>
      <c r="N6" t="s">
        <v>7357</v>
      </c>
      <c r="O6">
        <f t="shared" si="0"/>
        <v>0</v>
      </c>
      <c r="P6">
        <f t="shared" si="1"/>
        <v>0</v>
      </c>
      <c r="Q6">
        <f t="shared" si="2"/>
        <v>1</v>
      </c>
      <c r="R6">
        <f t="shared" si="3"/>
        <v>80</v>
      </c>
      <c r="T6">
        <f t="shared" si="4"/>
        <v>0</v>
      </c>
      <c r="U6">
        <f t="shared" si="5"/>
        <v>0</v>
      </c>
      <c r="V6">
        <f t="shared" si="6"/>
        <v>0</v>
      </c>
      <c r="W6">
        <f t="shared" si="7"/>
        <v>81</v>
      </c>
      <c r="Y6">
        <v>81</v>
      </c>
    </row>
    <row r="7" spans="1:25" x14ac:dyDescent="0.2">
      <c r="A7" s="16" t="s">
        <v>7357</v>
      </c>
      <c r="D7">
        <v>1</v>
      </c>
      <c r="E7">
        <v>35</v>
      </c>
      <c r="J7">
        <v>36</v>
      </c>
      <c r="N7" t="s">
        <v>7358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86</v>
      </c>
      <c r="T7">
        <f t="shared" si="4"/>
        <v>0</v>
      </c>
      <c r="U7">
        <f t="shared" si="5"/>
        <v>0</v>
      </c>
      <c r="V7">
        <f t="shared" si="6"/>
        <v>0</v>
      </c>
      <c r="W7">
        <f t="shared" si="7"/>
        <v>86</v>
      </c>
      <c r="Y7">
        <v>86</v>
      </c>
    </row>
    <row r="8" spans="1:25" x14ac:dyDescent="0.2">
      <c r="A8" s="16" t="s">
        <v>7466</v>
      </c>
      <c r="E8">
        <v>1</v>
      </c>
      <c r="J8">
        <v>1</v>
      </c>
      <c r="N8" t="s">
        <v>7359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1</v>
      </c>
      <c r="T8">
        <f t="shared" si="4"/>
        <v>0</v>
      </c>
      <c r="U8">
        <f t="shared" si="5"/>
        <v>0</v>
      </c>
      <c r="V8">
        <f t="shared" si="6"/>
        <v>0</v>
      </c>
      <c r="W8">
        <f t="shared" si="7"/>
        <v>1</v>
      </c>
      <c r="Y8">
        <v>1</v>
      </c>
    </row>
    <row r="9" spans="1:25" x14ac:dyDescent="0.2">
      <c r="A9" s="16" t="s">
        <v>7363</v>
      </c>
      <c r="F9">
        <v>1</v>
      </c>
      <c r="J9">
        <v>1</v>
      </c>
      <c r="N9" t="s">
        <v>7360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8</v>
      </c>
      <c r="T9">
        <f t="shared" si="4"/>
        <v>0</v>
      </c>
      <c r="U9">
        <f t="shared" si="5"/>
        <v>0</v>
      </c>
      <c r="V9">
        <f t="shared" si="6"/>
        <v>0</v>
      </c>
      <c r="W9">
        <f t="shared" si="7"/>
        <v>8</v>
      </c>
      <c r="Y9">
        <v>8</v>
      </c>
    </row>
    <row r="10" spans="1:25" x14ac:dyDescent="0.2">
      <c r="A10" s="16" t="s">
        <v>7354</v>
      </c>
      <c r="B10">
        <v>2</v>
      </c>
      <c r="D10">
        <v>22</v>
      </c>
      <c r="E10">
        <v>46</v>
      </c>
      <c r="F10">
        <v>10</v>
      </c>
      <c r="H10">
        <v>2</v>
      </c>
      <c r="J10">
        <v>82</v>
      </c>
      <c r="N10" t="s">
        <v>7361</v>
      </c>
      <c r="O10">
        <f t="shared" si="0"/>
        <v>0</v>
      </c>
      <c r="P10">
        <f t="shared" si="1"/>
        <v>0</v>
      </c>
      <c r="Q10">
        <f t="shared" si="2"/>
        <v>0</v>
      </c>
      <c r="R10">
        <f t="shared" si="3"/>
        <v>2</v>
      </c>
      <c r="T10">
        <f t="shared" si="4"/>
        <v>0</v>
      </c>
      <c r="U10">
        <f t="shared" si="5"/>
        <v>0</v>
      </c>
      <c r="V10">
        <f t="shared" si="6"/>
        <v>0</v>
      </c>
      <c r="W10">
        <f t="shared" si="7"/>
        <v>2</v>
      </c>
      <c r="Y10">
        <v>2</v>
      </c>
    </row>
    <row r="11" spans="1:25" x14ac:dyDescent="0.2">
      <c r="A11" s="16" t="s">
        <v>7464</v>
      </c>
      <c r="B11">
        <v>1</v>
      </c>
      <c r="C11">
        <v>2</v>
      </c>
      <c r="D11">
        <v>1</v>
      </c>
      <c r="E11">
        <v>68</v>
      </c>
      <c r="F11">
        <v>3</v>
      </c>
      <c r="G11">
        <v>1</v>
      </c>
      <c r="H11">
        <v>1</v>
      </c>
      <c r="J11">
        <v>77</v>
      </c>
      <c r="N11" t="s">
        <v>7362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12</v>
      </c>
      <c r="T11">
        <f t="shared" si="4"/>
        <v>0</v>
      </c>
      <c r="U11">
        <f t="shared" si="5"/>
        <v>0</v>
      </c>
      <c r="V11">
        <f t="shared" si="6"/>
        <v>0</v>
      </c>
      <c r="W11">
        <f t="shared" si="7"/>
        <v>12</v>
      </c>
      <c r="Y11">
        <v>12</v>
      </c>
    </row>
    <row r="12" spans="1:25" x14ac:dyDescent="0.2">
      <c r="A12" s="16" t="s">
        <v>7474</v>
      </c>
      <c r="E12">
        <v>1</v>
      </c>
      <c r="J12">
        <v>1</v>
      </c>
      <c r="N12" t="s">
        <v>7363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0</v>
      </c>
      <c r="T12">
        <f t="shared" si="4"/>
        <v>1</v>
      </c>
      <c r="U12">
        <f t="shared" si="5"/>
        <v>0</v>
      </c>
      <c r="V12">
        <f t="shared" si="6"/>
        <v>0</v>
      </c>
      <c r="W12">
        <f t="shared" si="7"/>
        <v>1</v>
      </c>
      <c r="Y12">
        <v>1</v>
      </c>
    </row>
    <row r="13" spans="1:25" x14ac:dyDescent="0.2">
      <c r="A13" s="16" t="s">
        <v>7358</v>
      </c>
      <c r="E13">
        <v>11</v>
      </c>
      <c r="J13">
        <v>11</v>
      </c>
      <c r="N13" t="s">
        <v>7471</v>
      </c>
      <c r="O13">
        <f t="shared" si="0"/>
        <v>0</v>
      </c>
      <c r="P13">
        <f t="shared" si="1"/>
        <v>0</v>
      </c>
      <c r="Q13">
        <f t="shared" si="2"/>
        <v>0</v>
      </c>
      <c r="R13">
        <f t="shared" si="3"/>
        <v>0</v>
      </c>
      <c r="T13">
        <f t="shared" si="4"/>
        <v>0</v>
      </c>
      <c r="U13">
        <f t="shared" si="5"/>
        <v>0</v>
      </c>
      <c r="V13">
        <f t="shared" si="6"/>
        <v>1</v>
      </c>
      <c r="W13">
        <f t="shared" si="7"/>
        <v>1</v>
      </c>
      <c r="Y13">
        <v>1</v>
      </c>
    </row>
    <row r="14" spans="1:25" x14ac:dyDescent="0.2">
      <c r="A14" s="16" t="s">
        <v>7462</v>
      </c>
      <c r="E14">
        <v>28</v>
      </c>
      <c r="J14">
        <v>28</v>
      </c>
      <c r="N14" t="s">
        <v>7472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T14">
        <f t="shared" si="4"/>
        <v>0</v>
      </c>
      <c r="U14">
        <f t="shared" si="5"/>
        <v>0</v>
      </c>
      <c r="V14">
        <f t="shared" si="6"/>
        <v>1</v>
      </c>
      <c r="W14">
        <f t="shared" si="7"/>
        <v>1</v>
      </c>
      <c r="Y14">
        <v>1</v>
      </c>
    </row>
    <row r="15" spans="1:25" x14ac:dyDescent="0.2">
      <c r="A15" s="16" t="s">
        <v>7460</v>
      </c>
      <c r="E15">
        <v>43</v>
      </c>
      <c r="J15">
        <v>43</v>
      </c>
    </row>
    <row r="16" spans="1:25" x14ac:dyDescent="0.2">
      <c r="A16" s="16" t="s">
        <v>7470</v>
      </c>
      <c r="E16">
        <v>1</v>
      </c>
      <c r="J16">
        <v>1</v>
      </c>
    </row>
    <row r="17" spans="1:21" x14ac:dyDescent="0.2">
      <c r="A17" s="16" t="s">
        <v>7356</v>
      </c>
      <c r="C17">
        <v>6</v>
      </c>
      <c r="D17">
        <v>1</v>
      </c>
      <c r="E17">
        <v>38</v>
      </c>
      <c r="F17">
        <v>3</v>
      </c>
      <c r="J17">
        <v>48</v>
      </c>
      <c r="N17" t="s">
        <v>7495</v>
      </c>
      <c r="O17" t="s">
        <v>7167</v>
      </c>
      <c r="P17" t="s">
        <v>7170</v>
      </c>
      <c r="Q17" t="s">
        <v>60</v>
      </c>
      <c r="R17" t="s">
        <v>7165</v>
      </c>
      <c r="S17" t="s">
        <v>7169</v>
      </c>
      <c r="T17" t="s">
        <v>7162</v>
      </c>
      <c r="U17" t="s">
        <v>7168</v>
      </c>
    </row>
    <row r="18" spans="1:21" x14ac:dyDescent="0.2">
      <c r="A18" s="16" t="s">
        <v>7465</v>
      </c>
      <c r="C18">
        <v>1</v>
      </c>
      <c r="E18">
        <v>6</v>
      </c>
      <c r="J18">
        <v>7</v>
      </c>
      <c r="N18" t="s">
        <v>7353</v>
      </c>
      <c r="O18">
        <v>8</v>
      </c>
      <c r="P18">
        <v>3</v>
      </c>
      <c r="Q18">
        <v>5</v>
      </c>
      <c r="R18">
        <v>204</v>
      </c>
      <c r="S18">
        <v>4</v>
      </c>
      <c r="T18">
        <v>1</v>
      </c>
      <c r="U18">
        <v>2</v>
      </c>
    </row>
    <row r="19" spans="1:21" x14ac:dyDescent="0.2">
      <c r="A19" s="16" t="s">
        <v>7461</v>
      </c>
      <c r="E19">
        <v>1</v>
      </c>
      <c r="J19">
        <v>1</v>
      </c>
      <c r="N19" t="s">
        <v>7354</v>
      </c>
      <c r="O19">
        <v>10</v>
      </c>
      <c r="P19">
        <v>2</v>
      </c>
      <c r="Q19">
        <v>23</v>
      </c>
      <c r="R19">
        <v>176</v>
      </c>
      <c r="S19">
        <v>14</v>
      </c>
      <c r="T19">
        <v>1</v>
      </c>
      <c r="U19">
        <v>4</v>
      </c>
    </row>
    <row r="20" spans="1:21" x14ac:dyDescent="0.2">
      <c r="A20" s="16" t="s">
        <v>7355</v>
      </c>
      <c r="B20">
        <v>3</v>
      </c>
      <c r="E20">
        <v>13</v>
      </c>
      <c r="J20">
        <v>16</v>
      </c>
      <c r="N20" t="s">
        <v>7355</v>
      </c>
      <c r="O20">
        <v>3</v>
      </c>
      <c r="P20" t="s">
        <v>57</v>
      </c>
      <c r="Q20" t="s">
        <v>57</v>
      </c>
      <c r="R20">
        <v>15</v>
      </c>
      <c r="S20" t="s">
        <v>57</v>
      </c>
      <c r="T20" t="s">
        <v>57</v>
      </c>
      <c r="U20" t="s">
        <v>57</v>
      </c>
    </row>
    <row r="21" spans="1:21" x14ac:dyDescent="0.2">
      <c r="A21" s="16" t="s">
        <v>7467</v>
      </c>
      <c r="E21">
        <v>2</v>
      </c>
      <c r="J21">
        <v>2</v>
      </c>
      <c r="N21" t="s">
        <v>7356</v>
      </c>
      <c r="O21" t="s">
        <v>57</v>
      </c>
      <c r="P21">
        <v>7</v>
      </c>
      <c r="Q21">
        <v>1</v>
      </c>
      <c r="R21">
        <v>52</v>
      </c>
      <c r="S21">
        <v>3</v>
      </c>
      <c r="T21" t="s">
        <v>57</v>
      </c>
      <c r="U21" t="s">
        <v>57</v>
      </c>
    </row>
    <row r="22" spans="1:21" x14ac:dyDescent="0.2">
      <c r="A22" s="16" t="s">
        <v>7360</v>
      </c>
      <c r="E22">
        <v>8</v>
      </c>
      <c r="J22">
        <v>8</v>
      </c>
      <c r="N22" t="s">
        <v>7357</v>
      </c>
      <c r="O22" t="s">
        <v>57</v>
      </c>
      <c r="P22" t="s">
        <v>57</v>
      </c>
      <c r="Q22">
        <v>1</v>
      </c>
      <c r="R22">
        <v>80</v>
      </c>
      <c r="S22" t="s">
        <v>57</v>
      </c>
      <c r="T22" t="s">
        <v>57</v>
      </c>
      <c r="U22" t="s">
        <v>57</v>
      </c>
    </row>
    <row r="23" spans="1:21" x14ac:dyDescent="0.2">
      <c r="A23" s="16" t="s">
        <v>7361</v>
      </c>
      <c r="E23">
        <v>2</v>
      </c>
      <c r="J23">
        <v>2</v>
      </c>
      <c r="N23" t="s">
        <v>7358</v>
      </c>
      <c r="O23" t="s">
        <v>57</v>
      </c>
      <c r="P23" t="s">
        <v>57</v>
      </c>
      <c r="Q23" t="s">
        <v>57</v>
      </c>
      <c r="R23">
        <v>86</v>
      </c>
      <c r="S23" t="s">
        <v>57</v>
      </c>
      <c r="T23" t="s">
        <v>57</v>
      </c>
      <c r="U23" t="s">
        <v>57</v>
      </c>
    </row>
    <row r="24" spans="1:21" x14ac:dyDescent="0.2">
      <c r="A24" s="16" t="s">
        <v>7471</v>
      </c>
      <c r="H24">
        <v>1</v>
      </c>
      <c r="J24">
        <v>1</v>
      </c>
      <c r="N24" t="s">
        <v>7359</v>
      </c>
      <c r="O24" t="s">
        <v>57</v>
      </c>
      <c r="P24" t="s">
        <v>57</v>
      </c>
      <c r="Q24" t="s">
        <v>57</v>
      </c>
      <c r="R24">
        <v>1</v>
      </c>
      <c r="S24" t="s">
        <v>57</v>
      </c>
      <c r="T24" t="s">
        <v>57</v>
      </c>
      <c r="U24" t="s">
        <v>57</v>
      </c>
    </row>
    <row r="25" spans="1:21" x14ac:dyDescent="0.2">
      <c r="A25" s="16" t="s">
        <v>7362</v>
      </c>
      <c r="E25">
        <v>12</v>
      </c>
      <c r="J25">
        <v>12</v>
      </c>
      <c r="N25" t="s">
        <v>7360</v>
      </c>
      <c r="O25" t="s">
        <v>57</v>
      </c>
      <c r="P25" t="s">
        <v>57</v>
      </c>
      <c r="Q25" t="s">
        <v>57</v>
      </c>
      <c r="R25">
        <v>8</v>
      </c>
      <c r="S25" t="s">
        <v>57</v>
      </c>
      <c r="T25" t="s">
        <v>57</v>
      </c>
      <c r="U25" t="s">
        <v>57</v>
      </c>
    </row>
    <row r="26" spans="1:21" x14ac:dyDescent="0.2">
      <c r="A26" s="16" t="s">
        <v>7472</v>
      </c>
      <c r="H26">
        <v>1</v>
      </c>
      <c r="J26">
        <v>1</v>
      </c>
      <c r="N26" t="s">
        <v>7361</v>
      </c>
      <c r="O26" t="s">
        <v>57</v>
      </c>
      <c r="P26" t="s">
        <v>57</v>
      </c>
      <c r="Q26" t="s">
        <v>57</v>
      </c>
      <c r="R26">
        <v>2</v>
      </c>
      <c r="S26" t="s">
        <v>57</v>
      </c>
      <c r="T26" t="s">
        <v>57</v>
      </c>
      <c r="U26" t="s">
        <v>57</v>
      </c>
    </row>
    <row r="27" spans="1:21" x14ac:dyDescent="0.2">
      <c r="A27" s="16" t="s">
        <v>7469</v>
      </c>
      <c r="E27">
        <v>1</v>
      </c>
      <c r="J27">
        <v>1</v>
      </c>
      <c r="N27" t="s">
        <v>7362</v>
      </c>
      <c r="O27" t="s">
        <v>57</v>
      </c>
      <c r="P27" t="s">
        <v>57</v>
      </c>
      <c r="Q27" t="s">
        <v>57</v>
      </c>
      <c r="R27">
        <v>12</v>
      </c>
      <c r="S27" t="s">
        <v>57</v>
      </c>
      <c r="T27" t="s">
        <v>57</v>
      </c>
      <c r="U27" t="s">
        <v>57</v>
      </c>
    </row>
    <row r="28" spans="1:21" x14ac:dyDescent="0.2">
      <c r="A28" s="16" t="s">
        <v>7174</v>
      </c>
      <c r="N28" t="s">
        <v>7363</v>
      </c>
      <c r="O28" t="s">
        <v>57</v>
      </c>
      <c r="P28" t="s">
        <v>57</v>
      </c>
      <c r="Q28" t="s">
        <v>57</v>
      </c>
      <c r="R28" t="s">
        <v>57</v>
      </c>
      <c r="S28">
        <v>1</v>
      </c>
      <c r="T28" t="s">
        <v>57</v>
      </c>
      <c r="U28" t="s">
        <v>57</v>
      </c>
    </row>
    <row r="29" spans="1:21" x14ac:dyDescent="0.2">
      <c r="A29" s="16" t="s">
        <v>7175</v>
      </c>
      <c r="B29">
        <v>13</v>
      </c>
      <c r="C29">
        <v>9</v>
      </c>
      <c r="D29">
        <v>29</v>
      </c>
      <c r="E29">
        <v>421</v>
      </c>
      <c r="F29">
        <v>18</v>
      </c>
      <c r="G29">
        <v>1</v>
      </c>
      <c r="H29">
        <v>6</v>
      </c>
      <c r="J29">
        <v>497</v>
      </c>
      <c r="N29" t="s">
        <v>7471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>
        <v>1</v>
      </c>
    </row>
    <row r="30" spans="1:21" x14ac:dyDescent="0.2">
      <c r="N30" t="s">
        <v>7472</v>
      </c>
      <c r="O30" t="s">
        <v>57</v>
      </c>
      <c r="P30" t="s">
        <v>57</v>
      </c>
      <c r="Q30" t="s">
        <v>57</v>
      </c>
      <c r="R30" t="s">
        <v>57</v>
      </c>
      <c r="S30" t="s">
        <v>57</v>
      </c>
      <c r="T30" t="s">
        <v>57</v>
      </c>
      <c r="U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733E-0902-4216-AD08-2C08CEB258DF}">
  <dimension ref="A1:L92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12" x14ac:dyDescent="0.2">
      <c r="A1" t="s">
        <v>7136</v>
      </c>
      <c r="B1" t="s">
        <v>7138</v>
      </c>
      <c r="C1" t="s">
        <v>7367</v>
      </c>
      <c r="D1" t="s">
        <v>7368</v>
      </c>
      <c r="E1" t="s">
        <v>7369</v>
      </c>
      <c r="F1" t="s">
        <v>7370</v>
      </c>
      <c r="G1" t="s">
        <v>7371</v>
      </c>
      <c r="H1" t="s">
        <v>7145</v>
      </c>
      <c r="I1" t="s">
        <v>7141</v>
      </c>
      <c r="J1" t="s">
        <v>7147</v>
      </c>
      <c r="K1" t="s">
        <v>7373</v>
      </c>
      <c r="L1" t="s">
        <v>7374</v>
      </c>
    </row>
    <row r="2" spans="1:12" x14ac:dyDescent="0.2">
      <c r="A2">
        <v>5</v>
      </c>
      <c r="B2">
        <v>12</v>
      </c>
      <c r="C2">
        <v>497</v>
      </c>
      <c r="D2" t="s">
        <v>7353</v>
      </c>
      <c r="E2">
        <v>227</v>
      </c>
      <c r="F2" t="s">
        <v>7167</v>
      </c>
      <c r="G2">
        <v>8</v>
      </c>
      <c r="H2">
        <f>G2/E2*100</f>
        <v>3.5242290748898681</v>
      </c>
      <c r="I2">
        <f>E2/C2*100</f>
        <v>45.674044265593558</v>
      </c>
      <c r="J2" t="s">
        <v>7150</v>
      </c>
      <c r="K2">
        <v>5</v>
      </c>
      <c r="L2">
        <v>17</v>
      </c>
    </row>
    <row r="3" spans="1:12" x14ac:dyDescent="0.2">
      <c r="A3">
        <v>35</v>
      </c>
      <c r="B3">
        <v>12</v>
      </c>
      <c r="C3">
        <v>497</v>
      </c>
      <c r="D3" t="s">
        <v>7354</v>
      </c>
      <c r="E3">
        <v>230</v>
      </c>
      <c r="F3" t="s">
        <v>7167</v>
      </c>
      <c r="G3">
        <v>10</v>
      </c>
      <c r="H3">
        <f t="shared" ref="H3:H66" si="0">G3/E3*100</f>
        <v>4.3478260869565215</v>
      </c>
      <c r="I3">
        <f t="shared" ref="I3:I66" si="1">E3/C3*100</f>
        <v>46.277665995975852</v>
      </c>
      <c r="J3" t="s">
        <v>7150</v>
      </c>
      <c r="K3">
        <f>K2+35</f>
        <v>40</v>
      </c>
      <c r="L3">
        <v>17</v>
      </c>
    </row>
    <row r="4" spans="1:12" x14ac:dyDescent="0.2">
      <c r="A4">
        <v>60</v>
      </c>
      <c r="B4">
        <v>12</v>
      </c>
      <c r="C4">
        <v>497</v>
      </c>
      <c r="D4" t="s">
        <v>7355</v>
      </c>
      <c r="E4">
        <v>18</v>
      </c>
      <c r="F4" t="s">
        <v>7167</v>
      </c>
      <c r="G4">
        <v>3</v>
      </c>
      <c r="H4">
        <f t="shared" si="0"/>
        <v>16.666666666666664</v>
      </c>
      <c r="I4">
        <f t="shared" si="1"/>
        <v>3.6217303822937628</v>
      </c>
      <c r="J4" t="s">
        <v>7150</v>
      </c>
      <c r="K4">
        <f t="shared" ref="K4:K14" si="2">K3+35</f>
        <v>75</v>
      </c>
      <c r="L4">
        <v>17</v>
      </c>
    </row>
    <row r="5" spans="1:12" x14ac:dyDescent="0.2">
      <c r="A5">
        <v>85</v>
      </c>
      <c r="B5">
        <v>12</v>
      </c>
      <c r="C5">
        <v>497</v>
      </c>
      <c r="D5" t="s">
        <v>7356</v>
      </c>
      <c r="E5">
        <v>63</v>
      </c>
      <c r="F5" t="s">
        <v>7167</v>
      </c>
      <c r="G5">
        <v>0</v>
      </c>
      <c r="H5">
        <f t="shared" si="0"/>
        <v>0</v>
      </c>
      <c r="I5">
        <f t="shared" si="1"/>
        <v>12.676056338028168</v>
      </c>
      <c r="J5" t="s">
        <v>7150</v>
      </c>
      <c r="K5">
        <f t="shared" si="2"/>
        <v>110</v>
      </c>
      <c r="L5">
        <v>17</v>
      </c>
    </row>
    <row r="6" spans="1:12" x14ac:dyDescent="0.2">
      <c r="A6">
        <v>110</v>
      </c>
      <c r="B6">
        <v>12</v>
      </c>
      <c r="C6">
        <v>497</v>
      </c>
      <c r="D6" t="s">
        <v>7357</v>
      </c>
      <c r="E6">
        <v>81</v>
      </c>
      <c r="F6" t="s">
        <v>7167</v>
      </c>
      <c r="G6">
        <v>0</v>
      </c>
      <c r="H6">
        <f t="shared" si="0"/>
        <v>0</v>
      </c>
      <c r="I6">
        <f t="shared" si="1"/>
        <v>16.297786720321934</v>
      </c>
      <c r="J6" t="s">
        <v>7150</v>
      </c>
      <c r="K6">
        <f t="shared" si="2"/>
        <v>145</v>
      </c>
      <c r="L6">
        <v>17</v>
      </c>
    </row>
    <row r="7" spans="1:12" x14ac:dyDescent="0.2">
      <c r="A7">
        <v>135</v>
      </c>
      <c r="B7">
        <v>12</v>
      </c>
      <c r="C7">
        <v>497</v>
      </c>
      <c r="D7" t="s">
        <v>7358</v>
      </c>
      <c r="E7">
        <v>86</v>
      </c>
      <c r="F7" t="s">
        <v>7167</v>
      </c>
      <c r="G7">
        <v>0</v>
      </c>
      <c r="H7">
        <f t="shared" si="0"/>
        <v>0</v>
      </c>
      <c r="I7">
        <f t="shared" si="1"/>
        <v>17.303822937625753</v>
      </c>
      <c r="J7" t="s">
        <v>7150</v>
      </c>
      <c r="K7">
        <f t="shared" si="2"/>
        <v>180</v>
      </c>
      <c r="L7">
        <v>17</v>
      </c>
    </row>
    <row r="8" spans="1:12" x14ac:dyDescent="0.2">
      <c r="A8">
        <v>160</v>
      </c>
      <c r="B8">
        <v>12</v>
      </c>
      <c r="C8">
        <v>497</v>
      </c>
      <c r="D8" t="s">
        <v>7359</v>
      </c>
      <c r="E8">
        <v>1</v>
      </c>
      <c r="F8" t="s">
        <v>7167</v>
      </c>
      <c r="G8">
        <v>0</v>
      </c>
      <c r="H8">
        <f t="shared" si="0"/>
        <v>0</v>
      </c>
      <c r="I8">
        <f t="shared" si="1"/>
        <v>0.2012072434607646</v>
      </c>
      <c r="J8" t="s">
        <v>7150</v>
      </c>
      <c r="K8">
        <f t="shared" si="2"/>
        <v>215</v>
      </c>
      <c r="L8">
        <v>17</v>
      </c>
    </row>
    <row r="9" spans="1:12" x14ac:dyDescent="0.2">
      <c r="A9">
        <v>185</v>
      </c>
      <c r="B9">
        <v>12</v>
      </c>
      <c r="C9">
        <v>497</v>
      </c>
      <c r="D9" t="s">
        <v>7360</v>
      </c>
      <c r="E9">
        <v>8</v>
      </c>
      <c r="F9" t="s">
        <v>7167</v>
      </c>
      <c r="G9">
        <v>0</v>
      </c>
      <c r="H9">
        <f t="shared" si="0"/>
        <v>0</v>
      </c>
      <c r="I9">
        <f t="shared" si="1"/>
        <v>1.6096579476861168</v>
      </c>
      <c r="J9" t="s">
        <v>7150</v>
      </c>
      <c r="K9">
        <f t="shared" si="2"/>
        <v>250</v>
      </c>
      <c r="L9">
        <v>17</v>
      </c>
    </row>
    <row r="10" spans="1:12" x14ac:dyDescent="0.2">
      <c r="A10">
        <v>210</v>
      </c>
      <c r="B10">
        <v>12</v>
      </c>
      <c r="C10">
        <v>497</v>
      </c>
      <c r="D10" t="s">
        <v>7361</v>
      </c>
      <c r="E10">
        <v>2</v>
      </c>
      <c r="F10" t="s">
        <v>7167</v>
      </c>
      <c r="G10">
        <v>0</v>
      </c>
      <c r="H10">
        <f t="shared" si="0"/>
        <v>0</v>
      </c>
      <c r="I10">
        <f t="shared" si="1"/>
        <v>0.4024144869215292</v>
      </c>
      <c r="J10" t="s">
        <v>7150</v>
      </c>
      <c r="K10">
        <f t="shared" si="2"/>
        <v>285</v>
      </c>
      <c r="L10">
        <v>17</v>
      </c>
    </row>
    <row r="11" spans="1:12" x14ac:dyDescent="0.2">
      <c r="A11">
        <v>235</v>
      </c>
      <c r="B11">
        <v>12</v>
      </c>
      <c r="C11">
        <v>497</v>
      </c>
      <c r="D11" t="s">
        <v>7362</v>
      </c>
      <c r="E11">
        <v>12</v>
      </c>
      <c r="F11" t="s">
        <v>7167</v>
      </c>
      <c r="G11">
        <v>0</v>
      </c>
      <c r="H11">
        <f t="shared" si="0"/>
        <v>0</v>
      </c>
      <c r="I11">
        <f t="shared" si="1"/>
        <v>2.4144869215291749</v>
      </c>
      <c r="J11" t="s">
        <v>7150</v>
      </c>
      <c r="K11">
        <f t="shared" si="2"/>
        <v>320</v>
      </c>
      <c r="L11">
        <v>17</v>
      </c>
    </row>
    <row r="12" spans="1:12" x14ac:dyDescent="0.2">
      <c r="A12">
        <v>260</v>
      </c>
      <c r="B12">
        <v>12</v>
      </c>
      <c r="C12">
        <v>497</v>
      </c>
      <c r="D12" t="s">
        <v>7363</v>
      </c>
      <c r="E12">
        <v>1</v>
      </c>
      <c r="F12" t="s">
        <v>7167</v>
      </c>
      <c r="G12">
        <v>0</v>
      </c>
      <c r="H12">
        <f t="shared" si="0"/>
        <v>0</v>
      </c>
      <c r="I12">
        <f t="shared" si="1"/>
        <v>0.2012072434607646</v>
      </c>
      <c r="J12" t="s">
        <v>7150</v>
      </c>
      <c r="K12">
        <f t="shared" si="2"/>
        <v>355</v>
      </c>
      <c r="L12">
        <v>17</v>
      </c>
    </row>
    <row r="13" spans="1:12" x14ac:dyDescent="0.2">
      <c r="A13">
        <v>285</v>
      </c>
      <c r="B13">
        <v>12</v>
      </c>
      <c r="C13">
        <v>497</v>
      </c>
      <c r="D13" t="s">
        <v>7471</v>
      </c>
      <c r="E13">
        <v>1</v>
      </c>
      <c r="F13" t="s">
        <v>7167</v>
      </c>
      <c r="G13">
        <v>0</v>
      </c>
      <c r="H13">
        <f t="shared" si="0"/>
        <v>0</v>
      </c>
      <c r="I13">
        <f t="shared" si="1"/>
        <v>0.2012072434607646</v>
      </c>
      <c r="J13" t="s">
        <v>7150</v>
      </c>
      <c r="K13">
        <f t="shared" si="2"/>
        <v>390</v>
      </c>
      <c r="L13">
        <v>17</v>
      </c>
    </row>
    <row r="14" spans="1:12" x14ac:dyDescent="0.2">
      <c r="A14">
        <v>310</v>
      </c>
      <c r="B14">
        <v>12</v>
      </c>
      <c r="C14">
        <v>497</v>
      </c>
      <c r="D14" t="s">
        <v>7472</v>
      </c>
      <c r="E14">
        <v>1</v>
      </c>
      <c r="F14" t="s">
        <v>7167</v>
      </c>
      <c r="G14">
        <v>0</v>
      </c>
      <c r="H14">
        <f t="shared" si="0"/>
        <v>0</v>
      </c>
      <c r="I14">
        <f t="shared" si="1"/>
        <v>0.2012072434607646</v>
      </c>
      <c r="J14" t="s">
        <v>7150</v>
      </c>
      <c r="K14">
        <f t="shared" si="2"/>
        <v>425</v>
      </c>
      <c r="L14">
        <v>17</v>
      </c>
    </row>
    <row r="15" spans="1:12" x14ac:dyDescent="0.2">
      <c r="A15">
        <v>5</v>
      </c>
      <c r="B15">
        <v>12</v>
      </c>
      <c r="C15">
        <v>497</v>
      </c>
      <c r="D15" t="s">
        <v>7353</v>
      </c>
      <c r="E15">
        <v>227</v>
      </c>
      <c r="F15" t="s">
        <v>7170</v>
      </c>
      <c r="G15">
        <v>3</v>
      </c>
      <c r="H15">
        <f t="shared" si="0"/>
        <v>1.3215859030837005</v>
      </c>
      <c r="I15">
        <f t="shared" si="1"/>
        <v>45.674044265593558</v>
      </c>
      <c r="J15" t="s">
        <v>7150</v>
      </c>
      <c r="K15">
        <v>5</v>
      </c>
      <c r="L15">
        <v>17</v>
      </c>
    </row>
    <row r="16" spans="1:12" x14ac:dyDescent="0.2">
      <c r="A16">
        <v>35</v>
      </c>
      <c r="B16">
        <v>12</v>
      </c>
      <c r="C16">
        <v>497</v>
      </c>
      <c r="D16" t="s">
        <v>7354</v>
      </c>
      <c r="E16">
        <v>230</v>
      </c>
      <c r="F16" t="s">
        <v>7170</v>
      </c>
      <c r="G16">
        <v>2</v>
      </c>
      <c r="H16">
        <f t="shared" si="0"/>
        <v>0.86956521739130432</v>
      </c>
      <c r="I16">
        <f t="shared" si="1"/>
        <v>46.277665995975852</v>
      </c>
      <c r="J16" t="s">
        <v>7150</v>
      </c>
      <c r="K16">
        <v>40</v>
      </c>
      <c r="L16">
        <v>17</v>
      </c>
    </row>
    <row r="17" spans="1:12" x14ac:dyDescent="0.2">
      <c r="A17">
        <v>60</v>
      </c>
      <c r="B17">
        <v>12</v>
      </c>
      <c r="C17">
        <v>497</v>
      </c>
      <c r="D17" t="s">
        <v>7355</v>
      </c>
      <c r="E17">
        <v>18</v>
      </c>
      <c r="F17" t="s">
        <v>7170</v>
      </c>
      <c r="G17">
        <v>0</v>
      </c>
      <c r="H17">
        <f t="shared" si="0"/>
        <v>0</v>
      </c>
      <c r="I17">
        <f t="shared" si="1"/>
        <v>3.6217303822937628</v>
      </c>
      <c r="J17" t="s">
        <v>7150</v>
      </c>
      <c r="K17">
        <v>75</v>
      </c>
      <c r="L17">
        <v>17</v>
      </c>
    </row>
    <row r="18" spans="1:12" x14ac:dyDescent="0.2">
      <c r="A18">
        <v>85</v>
      </c>
      <c r="B18">
        <v>12</v>
      </c>
      <c r="C18">
        <v>497</v>
      </c>
      <c r="D18" t="s">
        <v>7356</v>
      </c>
      <c r="E18">
        <v>63</v>
      </c>
      <c r="F18" t="s">
        <v>7170</v>
      </c>
      <c r="G18">
        <v>7</v>
      </c>
      <c r="H18">
        <f t="shared" si="0"/>
        <v>11.111111111111111</v>
      </c>
      <c r="I18">
        <f t="shared" si="1"/>
        <v>12.676056338028168</v>
      </c>
      <c r="J18" t="s">
        <v>7150</v>
      </c>
      <c r="K18">
        <v>110</v>
      </c>
      <c r="L18">
        <v>17</v>
      </c>
    </row>
    <row r="19" spans="1:12" x14ac:dyDescent="0.2">
      <c r="A19">
        <v>110</v>
      </c>
      <c r="B19">
        <v>12</v>
      </c>
      <c r="C19">
        <v>497</v>
      </c>
      <c r="D19" t="s">
        <v>7357</v>
      </c>
      <c r="E19">
        <v>81</v>
      </c>
      <c r="F19" t="s">
        <v>7170</v>
      </c>
      <c r="G19">
        <v>0</v>
      </c>
      <c r="H19">
        <f t="shared" si="0"/>
        <v>0</v>
      </c>
      <c r="I19">
        <f t="shared" si="1"/>
        <v>16.297786720321934</v>
      </c>
      <c r="J19" t="s">
        <v>7150</v>
      </c>
      <c r="K19">
        <v>145</v>
      </c>
      <c r="L19">
        <v>17</v>
      </c>
    </row>
    <row r="20" spans="1:12" x14ac:dyDescent="0.2">
      <c r="A20">
        <v>135</v>
      </c>
      <c r="B20">
        <v>12</v>
      </c>
      <c r="C20">
        <v>497</v>
      </c>
      <c r="D20" t="s">
        <v>7358</v>
      </c>
      <c r="E20">
        <v>86</v>
      </c>
      <c r="F20" t="s">
        <v>7170</v>
      </c>
      <c r="G20">
        <v>0</v>
      </c>
      <c r="H20">
        <f t="shared" si="0"/>
        <v>0</v>
      </c>
      <c r="I20">
        <f t="shared" si="1"/>
        <v>17.303822937625753</v>
      </c>
      <c r="J20" t="s">
        <v>7150</v>
      </c>
      <c r="K20">
        <v>180</v>
      </c>
      <c r="L20">
        <v>17</v>
      </c>
    </row>
    <row r="21" spans="1:12" x14ac:dyDescent="0.2">
      <c r="A21">
        <v>160</v>
      </c>
      <c r="B21">
        <v>12</v>
      </c>
      <c r="C21">
        <v>497</v>
      </c>
      <c r="D21" t="s">
        <v>7359</v>
      </c>
      <c r="E21">
        <v>1</v>
      </c>
      <c r="F21" t="s">
        <v>7170</v>
      </c>
      <c r="G21">
        <v>0</v>
      </c>
      <c r="H21">
        <f t="shared" si="0"/>
        <v>0</v>
      </c>
      <c r="I21">
        <f t="shared" si="1"/>
        <v>0.2012072434607646</v>
      </c>
      <c r="J21" t="s">
        <v>7150</v>
      </c>
      <c r="K21">
        <v>215</v>
      </c>
      <c r="L21">
        <v>17</v>
      </c>
    </row>
    <row r="22" spans="1:12" x14ac:dyDescent="0.2">
      <c r="A22">
        <v>185</v>
      </c>
      <c r="B22">
        <v>12</v>
      </c>
      <c r="C22">
        <v>497</v>
      </c>
      <c r="D22" t="s">
        <v>7360</v>
      </c>
      <c r="E22">
        <v>8</v>
      </c>
      <c r="F22" t="s">
        <v>7170</v>
      </c>
      <c r="G22">
        <v>0</v>
      </c>
      <c r="H22">
        <f t="shared" si="0"/>
        <v>0</v>
      </c>
      <c r="I22">
        <f t="shared" si="1"/>
        <v>1.6096579476861168</v>
      </c>
      <c r="J22" t="s">
        <v>7150</v>
      </c>
      <c r="K22">
        <v>250</v>
      </c>
      <c r="L22">
        <v>17</v>
      </c>
    </row>
    <row r="23" spans="1:12" x14ac:dyDescent="0.2">
      <c r="A23">
        <v>210</v>
      </c>
      <c r="B23">
        <v>12</v>
      </c>
      <c r="C23">
        <v>497</v>
      </c>
      <c r="D23" t="s">
        <v>7361</v>
      </c>
      <c r="E23">
        <v>2</v>
      </c>
      <c r="F23" t="s">
        <v>7170</v>
      </c>
      <c r="G23">
        <v>0</v>
      </c>
      <c r="H23">
        <f t="shared" si="0"/>
        <v>0</v>
      </c>
      <c r="I23">
        <f t="shared" si="1"/>
        <v>0.4024144869215292</v>
      </c>
      <c r="J23" t="s">
        <v>7150</v>
      </c>
      <c r="K23">
        <v>285</v>
      </c>
      <c r="L23">
        <v>17</v>
      </c>
    </row>
    <row r="24" spans="1:12" x14ac:dyDescent="0.2">
      <c r="A24">
        <v>235</v>
      </c>
      <c r="B24">
        <v>12</v>
      </c>
      <c r="C24">
        <v>497</v>
      </c>
      <c r="D24" t="s">
        <v>7362</v>
      </c>
      <c r="E24">
        <v>12</v>
      </c>
      <c r="F24" t="s">
        <v>7170</v>
      </c>
      <c r="G24">
        <v>0</v>
      </c>
      <c r="H24">
        <f t="shared" si="0"/>
        <v>0</v>
      </c>
      <c r="I24">
        <f t="shared" si="1"/>
        <v>2.4144869215291749</v>
      </c>
      <c r="J24" t="s">
        <v>7150</v>
      </c>
      <c r="K24">
        <v>320</v>
      </c>
      <c r="L24">
        <v>17</v>
      </c>
    </row>
    <row r="25" spans="1:12" x14ac:dyDescent="0.2">
      <c r="A25">
        <v>260</v>
      </c>
      <c r="B25">
        <v>12</v>
      </c>
      <c r="C25">
        <v>497</v>
      </c>
      <c r="D25" t="s">
        <v>7363</v>
      </c>
      <c r="E25">
        <v>1</v>
      </c>
      <c r="F25" t="s">
        <v>7170</v>
      </c>
      <c r="G25">
        <v>0</v>
      </c>
      <c r="H25">
        <f t="shared" si="0"/>
        <v>0</v>
      </c>
      <c r="I25">
        <f t="shared" si="1"/>
        <v>0.2012072434607646</v>
      </c>
      <c r="J25" t="s">
        <v>7150</v>
      </c>
      <c r="K25">
        <v>355</v>
      </c>
      <c r="L25">
        <v>17</v>
      </c>
    </row>
    <row r="26" spans="1:12" x14ac:dyDescent="0.2">
      <c r="A26">
        <v>285</v>
      </c>
      <c r="B26">
        <v>12</v>
      </c>
      <c r="C26">
        <v>497</v>
      </c>
      <c r="D26" t="s">
        <v>7471</v>
      </c>
      <c r="E26">
        <v>1</v>
      </c>
      <c r="F26" t="s">
        <v>7170</v>
      </c>
      <c r="G26">
        <v>0</v>
      </c>
      <c r="H26">
        <f t="shared" si="0"/>
        <v>0</v>
      </c>
      <c r="I26">
        <f t="shared" si="1"/>
        <v>0.2012072434607646</v>
      </c>
      <c r="J26" t="s">
        <v>7150</v>
      </c>
      <c r="K26">
        <v>390</v>
      </c>
      <c r="L26">
        <v>17</v>
      </c>
    </row>
    <row r="27" spans="1:12" x14ac:dyDescent="0.2">
      <c r="A27">
        <v>310</v>
      </c>
      <c r="B27">
        <v>12</v>
      </c>
      <c r="C27">
        <v>497</v>
      </c>
      <c r="D27" t="s">
        <v>7472</v>
      </c>
      <c r="E27">
        <v>1</v>
      </c>
      <c r="F27" t="s">
        <v>7170</v>
      </c>
      <c r="G27">
        <v>0</v>
      </c>
      <c r="H27">
        <f t="shared" si="0"/>
        <v>0</v>
      </c>
      <c r="I27">
        <f t="shared" si="1"/>
        <v>0.2012072434607646</v>
      </c>
      <c r="J27" t="s">
        <v>7150</v>
      </c>
      <c r="K27">
        <v>425</v>
      </c>
      <c r="L27">
        <v>17</v>
      </c>
    </row>
    <row r="28" spans="1:12" x14ac:dyDescent="0.2">
      <c r="A28">
        <v>5</v>
      </c>
      <c r="B28">
        <v>12</v>
      </c>
      <c r="C28">
        <v>497</v>
      </c>
      <c r="D28" t="s">
        <v>7353</v>
      </c>
      <c r="E28">
        <v>227</v>
      </c>
      <c r="F28" t="s">
        <v>60</v>
      </c>
      <c r="G28">
        <v>5</v>
      </c>
      <c r="H28">
        <f t="shared" si="0"/>
        <v>2.2026431718061676</v>
      </c>
      <c r="I28">
        <f t="shared" si="1"/>
        <v>45.674044265593558</v>
      </c>
      <c r="J28" t="s">
        <v>7150</v>
      </c>
      <c r="K28">
        <v>5</v>
      </c>
      <c r="L28">
        <v>17</v>
      </c>
    </row>
    <row r="29" spans="1:12" x14ac:dyDescent="0.2">
      <c r="A29">
        <v>35</v>
      </c>
      <c r="B29">
        <v>12</v>
      </c>
      <c r="C29">
        <v>497</v>
      </c>
      <c r="D29" t="s">
        <v>7354</v>
      </c>
      <c r="E29">
        <v>230</v>
      </c>
      <c r="F29" t="s">
        <v>60</v>
      </c>
      <c r="G29">
        <v>23</v>
      </c>
      <c r="H29">
        <f t="shared" si="0"/>
        <v>10</v>
      </c>
      <c r="I29">
        <f t="shared" si="1"/>
        <v>46.277665995975852</v>
      </c>
      <c r="J29" t="s">
        <v>7150</v>
      </c>
      <c r="K29">
        <v>40</v>
      </c>
      <c r="L29">
        <v>17</v>
      </c>
    </row>
    <row r="30" spans="1:12" x14ac:dyDescent="0.2">
      <c r="A30">
        <v>60</v>
      </c>
      <c r="B30">
        <v>12</v>
      </c>
      <c r="C30">
        <v>497</v>
      </c>
      <c r="D30" t="s">
        <v>7355</v>
      </c>
      <c r="E30">
        <v>18</v>
      </c>
      <c r="F30" t="s">
        <v>60</v>
      </c>
      <c r="G30">
        <v>0</v>
      </c>
      <c r="H30">
        <f t="shared" si="0"/>
        <v>0</v>
      </c>
      <c r="I30">
        <f t="shared" si="1"/>
        <v>3.6217303822937628</v>
      </c>
      <c r="J30" t="s">
        <v>7150</v>
      </c>
      <c r="K30">
        <v>75</v>
      </c>
      <c r="L30">
        <v>17</v>
      </c>
    </row>
    <row r="31" spans="1:12" x14ac:dyDescent="0.2">
      <c r="A31">
        <v>85</v>
      </c>
      <c r="B31">
        <v>12</v>
      </c>
      <c r="C31">
        <v>497</v>
      </c>
      <c r="D31" t="s">
        <v>7356</v>
      </c>
      <c r="E31">
        <v>63</v>
      </c>
      <c r="F31" t="s">
        <v>60</v>
      </c>
      <c r="G31">
        <v>1</v>
      </c>
      <c r="H31">
        <f t="shared" si="0"/>
        <v>1.5873015873015872</v>
      </c>
      <c r="I31">
        <f t="shared" si="1"/>
        <v>12.676056338028168</v>
      </c>
      <c r="J31" t="s">
        <v>7150</v>
      </c>
      <c r="K31">
        <v>110</v>
      </c>
      <c r="L31">
        <v>17</v>
      </c>
    </row>
    <row r="32" spans="1:12" x14ac:dyDescent="0.2">
      <c r="A32">
        <v>110</v>
      </c>
      <c r="B32">
        <v>12</v>
      </c>
      <c r="C32">
        <v>497</v>
      </c>
      <c r="D32" t="s">
        <v>7357</v>
      </c>
      <c r="E32">
        <v>81</v>
      </c>
      <c r="F32" t="s">
        <v>60</v>
      </c>
      <c r="G32">
        <v>1</v>
      </c>
      <c r="H32">
        <f t="shared" si="0"/>
        <v>1.2345679012345678</v>
      </c>
      <c r="I32">
        <f t="shared" si="1"/>
        <v>16.297786720321934</v>
      </c>
      <c r="J32" t="s">
        <v>7150</v>
      </c>
      <c r="K32">
        <v>145</v>
      </c>
      <c r="L32">
        <v>17</v>
      </c>
    </row>
    <row r="33" spans="1:12" x14ac:dyDescent="0.2">
      <c r="A33">
        <v>135</v>
      </c>
      <c r="B33">
        <v>12</v>
      </c>
      <c r="C33">
        <v>497</v>
      </c>
      <c r="D33" t="s">
        <v>7358</v>
      </c>
      <c r="E33">
        <v>86</v>
      </c>
      <c r="F33" t="s">
        <v>60</v>
      </c>
      <c r="G33">
        <v>0</v>
      </c>
      <c r="H33">
        <f t="shared" si="0"/>
        <v>0</v>
      </c>
      <c r="I33">
        <f t="shared" si="1"/>
        <v>17.303822937625753</v>
      </c>
      <c r="J33" t="s">
        <v>7150</v>
      </c>
      <c r="K33">
        <v>180</v>
      </c>
      <c r="L33">
        <v>17</v>
      </c>
    </row>
    <row r="34" spans="1:12" x14ac:dyDescent="0.2">
      <c r="A34">
        <v>160</v>
      </c>
      <c r="B34">
        <v>12</v>
      </c>
      <c r="C34">
        <v>497</v>
      </c>
      <c r="D34" t="s">
        <v>7359</v>
      </c>
      <c r="E34">
        <v>1</v>
      </c>
      <c r="F34" t="s">
        <v>60</v>
      </c>
      <c r="G34">
        <v>0</v>
      </c>
      <c r="H34">
        <f t="shared" si="0"/>
        <v>0</v>
      </c>
      <c r="I34">
        <f t="shared" si="1"/>
        <v>0.2012072434607646</v>
      </c>
      <c r="J34" t="s">
        <v>7150</v>
      </c>
      <c r="K34">
        <v>215</v>
      </c>
      <c r="L34">
        <v>17</v>
      </c>
    </row>
    <row r="35" spans="1:12" x14ac:dyDescent="0.2">
      <c r="A35">
        <v>185</v>
      </c>
      <c r="B35">
        <v>12</v>
      </c>
      <c r="C35">
        <v>497</v>
      </c>
      <c r="D35" t="s">
        <v>7360</v>
      </c>
      <c r="E35">
        <v>8</v>
      </c>
      <c r="F35" t="s">
        <v>60</v>
      </c>
      <c r="G35">
        <v>0</v>
      </c>
      <c r="H35">
        <f t="shared" si="0"/>
        <v>0</v>
      </c>
      <c r="I35">
        <f t="shared" si="1"/>
        <v>1.6096579476861168</v>
      </c>
      <c r="J35" t="s">
        <v>7150</v>
      </c>
      <c r="K35">
        <v>250</v>
      </c>
      <c r="L35">
        <v>17</v>
      </c>
    </row>
    <row r="36" spans="1:12" x14ac:dyDescent="0.2">
      <c r="A36">
        <v>210</v>
      </c>
      <c r="B36">
        <v>12</v>
      </c>
      <c r="C36">
        <v>497</v>
      </c>
      <c r="D36" t="s">
        <v>7361</v>
      </c>
      <c r="E36">
        <v>2</v>
      </c>
      <c r="F36" t="s">
        <v>60</v>
      </c>
      <c r="G36">
        <v>0</v>
      </c>
      <c r="H36">
        <f t="shared" si="0"/>
        <v>0</v>
      </c>
      <c r="I36">
        <f t="shared" si="1"/>
        <v>0.4024144869215292</v>
      </c>
      <c r="J36" t="s">
        <v>7150</v>
      </c>
      <c r="K36">
        <v>285</v>
      </c>
      <c r="L36">
        <v>17</v>
      </c>
    </row>
    <row r="37" spans="1:12" x14ac:dyDescent="0.2">
      <c r="A37">
        <v>235</v>
      </c>
      <c r="B37">
        <v>12</v>
      </c>
      <c r="C37">
        <v>497</v>
      </c>
      <c r="D37" t="s">
        <v>7362</v>
      </c>
      <c r="E37">
        <v>12</v>
      </c>
      <c r="F37" t="s">
        <v>60</v>
      </c>
      <c r="G37">
        <v>0</v>
      </c>
      <c r="H37">
        <f t="shared" si="0"/>
        <v>0</v>
      </c>
      <c r="I37">
        <f t="shared" si="1"/>
        <v>2.4144869215291749</v>
      </c>
      <c r="J37" t="s">
        <v>7150</v>
      </c>
      <c r="K37">
        <v>320</v>
      </c>
      <c r="L37">
        <v>17</v>
      </c>
    </row>
    <row r="38" spans="1:12" x14ac:dyDescent="0.2">
      <c r="A38">
        <v>260</v>
      </c>
      <c r="B38">
        <v>12</v>
      </c>
      <c r="C38">
        <v>497</v>
      </c>
      <c r="D38" t="s">
        <v>7363</v>
      </c>
      <c r="E38">
        <v>1</v>
      </c>
      <c r="F38" t="s">
        <v>60</v>
      </c>
      <c r="G38">
        <v>0</v>
      </c>
      <c r="H38">
        <f t="shared" si="0"/>
        <v>0</v>
      </c>
      <c r="I38">
        <f t="shared" si="1"/>
        <v>0.2012072434607646</v>
      </c>
      <c r="J38" t="s">
        <v>7150</v>
      </c>
      <c r="K38">
        <v>355</v>
      </c>
      <c r="L38">
        <v>17</v>
      </c>
    </row>
    <row r="39" spans="1:12" x14ac:dyDescent="0.2">
      <c r="A39">
        <v>285</v>
      </c>
      <c r="B39">
        <v>12</v>
      </c>
      <c r="C39">
        <v>497</v>
      </c>
      <c r="D39" t="s">
        <v>7471</v>
      </c>
      <c r="E39">
        <v>1</v>
      </c>
      <c r="F39" t="s">
        <v>60</v>
      </c>
      <c r="G39">
        <v>0</v>
      </c>
      <c r="H39">
        <f t="shared" si="0"/>
        <v>0</v>
      </c>
      <c r="I39">
        <f t="shared" si="1"/>
        <v>0.2012072434607646</v>
      </c>
      <c r="J39" t="s">
        <v>7150</v>
      </c>
      <c r="K39">
        <v>390</v>
      </c>
      <c r="L39">
        <v>17</v>
      </c>
    </row>
    <row r="40" spans="1:12" x14ac:dyDescent="0.2">
      <c r="A40">
        <v>310</v>
      </c>
      <c r="B40">
        <v>12</v>
      </c>
      <c r="C40">
        <v>497</v>
      </c>
      <c r="D40" t="s">
        <v>7472</v>
      </c>
      <c r="E40">
        <v>1</v>
      </c>
      <c r="F40" t="s">
        <v>60</v>
      </c>
      <c r="G40">
        <v>0</v>
      </c>
      <c r="H40">
        <f t="shared" si="0"/>
        <v>0</v>
      </c>
      <c r="I40">
        <f t="shared" si="1"/>
        <v>0.2012072434607646</v>
      </c>
      <c r="J40" t="s">
        <v>7150</v>
      </c>
      <c r="K40">
        <v>425</v>
      </c>
      <c r="L40">
        <v>17</v>
      </c>
    </row>
    <row r="41" spans="1:12" x14ac:dyDescent="0.2">
      <c r="A41">
        <v>5</v>
      </c>
      <c r="B41">
        <v>12</v>
      </c>
      <c r="C41">
        <v>497</v>
      </c>
      <c r="D41" t="s">
        <v>7353</v>
      </c>
      <c r="E41">
        <v>227</v>
      </c>
      <c r="F41" t="s">
        <v>7165</v>
      </c>
      <c r="G41">
        <v>204</v>
      </c>
      <c r="H41">
        <f t="shared" si="0"/>
        <v>89.867841409691636</v>
      </c>
      <c r="I41">
        <f t="shared" si="1"/>
        <v>45.674044265593558</v>
      </c>
      <c r="J41" t="s">
        <v>7150</v>
      </c>
      <c r="K41">
        <v>5</v>
      </c>
      <c r="L41">
        <v>17</v>
      </c>
    </row>
    <row r="42" spans="1:12" x14ac:dyDescent="0.2">
      <c r="A42">
        <v>35</v>
      </c>
      <c r="B42">
        <v>12</v>
      </c>
      <c r="C42">
        <v>497</v>
      </c>
      <c r="D42" t="s">
        <v>7354</v>
      </c>
      <c r="E42">
        <v>230</v>
      </c>
      <c r="F42" t="s">
        <v>7165</v>
      </c>
      <c r="G42">
        <v>176</v>
      </c>
      <c r="H42">
        <f t="shared" si="0"/>
        <v>76.521739130434781</v>
      </c>
      <c r="I42">
        <f t="shared" si="1"/>
        <v>46.277665995975852</v>
      </c>
      <c r="J42" t="s">
        <v>7150</v>
      </c>
      <c r="K42">
        <v>40</v>
      </c>
      <c r="L42">
        <v>17</v>
      </c>
    </row>
    <row r="43" spans="1:12" x14ac:dyDescent="0.2">
      <c r="A43">
        <v>60</v>
      </c>
      <c r="B43">
        <v>12</v>
      </c>
      <c r="C43">
        <v>497</v>
      </c>
      <c r="D43" t="s">
        <v>7355</v>
      </c>
      <c r="E43">
        <v>18</v>
      </c>
      <c r="F43" t="s">
        <v>7165</v>
      </c>
      <c r="G43">
        <v>15</v>
      </c>
      <c r="H43">
        <f t="shared" si="0"/>
        <v>83.333333333333343</v>
      </c>
      <c r="I43">
        <f t="shared" si="1"/>
        <v>3.6217303822937628</v>
      </c>
      <c r="J43" t="s">
        <v>7150</v>
      </c>
      <c r="K43">
        <v>75</v>
      </c>
      <c r="L43">
        <v>17</v>
      </c>
    </row>
    <row r="44" spans="1:12" x14ac:dyDescent="0.2">
      <c r="A44">
        <v>85</v>
      </c>
      <c r="B44">
        <v>12</v>
      </c>
      <c r="C44">
        <v>497</v>
      </c>
      <c r="D44" t="s">
        <v>7356</v>
      </c>
      <c r="E44">
        <v>63</v>
      </c>
      <c r="F44" t="s">
        <v>7165</v>
      </c>
      <c r="G44">
        <v>52</v>
      </c>
      <c r="H44">
        <f t="shared" si="0"/>
        <v>82.539682539682531</v>
      </c>
      <c r="I44">
        <f t="shared" si="1"/>
        <v>12.676056338028168</v>
      </c>
      <c r="J44" t="s">
        <v>7150</v>
      </c>
      <c r="K44">
        <v>110</v>
      </c>
      <c r="L44">
        <v>17</v>
      </c>
    </row>
    <row r="45" spans="1:12" x14ac:dyDescent="0.2">
      <c r="A45">
        <v>110</v>
      </c>
      <c r="B45">
        <v>12</v>
      </c>
      <c r="C45">
        <v>497</v>
      </c>
      <c r="D45" t="s">
        <v>7357</v>
      </c>
      <c r="E45">
        <v>81</v>
      </c>
      <c r="F45" t="s">
        <v>7165</v>
      </c>
      <c r="G45">
        <v>80</v>
      </c>
      <c r="H45">
        <f t="shared" si="0"/>
        <v>98.76543209876543</v>
      </c>
      <c r="I45">
        <f t="shared" si="1"/>
        <v>16.297786720321934</v>
      </c>
      <c r="J45" t="s">
        <v>7150</v>
      </c>
      <c r="K45">
        <v>145</v>
      </c>
      <c r="L45">
        <v>17</v>
      </c>
    </row>
    <row r="46" spans="1:12" x14ac:dyDescent="0.2">
      <c r="A46">
        <v>135</v>
      </c>
      <c r="B46">
        <v>12</v>
      </c>
      <c r="C46">
        <v>497</v>
      </c>
      <c r="D46" t="s">
        <v>7358</v>
      </c>
      <c r="E46">
        <v>86</v>
      </c>
      <c r="F46" t="s">
        <v>7165</v>
      </c>
      <c r="G46">
        <v>86</v>
      </c>
      <c r="H46">
        <f t="shared" si="0"/>
        <v>100</v>
      </c>
      <c r="I46">
        <f t="shared" si="1"/>
        <v>17.303822937625753</v>
      </c>
      <c r="J46" t="s">
        <v>7150</v>
      </c>
      <c r="K46">
        <v>180</v>
      </c>
      <c r="L46">
        <v>17</v>
      </c>
    </row>
    <row r="47" spans="1:12" x14ac:dyDescent="0.2">
      <c r="A47">
        <v>160</v>
      </c>
      <c r="B47">
        <v>12</v>
      </c>
      <c r="C47">
        <v>497</v>
      </c>
      <c r="D47" t="s">
        <v>7359</v>
      </c>
      <c r="E47">
        <v>1</v>
      </c>
      <c r="F47" t="s">
        <v>7165</v>
      </c>
      <c r="G47">
        <v>1</v>
      </c>
      <c r="H47">
        <f t="shared" si="0"/>
        <v>100</v>
      </c>
      <c r="I47">
        <f t="shared" si="1"/>
        <v>0.2012072434607646</v>
      </c>
      <c r="J47" t="s">
        <v>7150</v>
      </c>
      <c r="K47">
        <v>215</v>
      </c>
      <c r="L47">
        <v>17</v>
      </c>
    </row>
    <row r="48" spans="1:12" x14ac:dyDescent="0.2">
      <c r="A48">
        <v>185</v>
      </c>
      <c r="B48">
        <v>12</v>
      </c>
      <c r="C48">
        <v>497</v>
      </c>
      <c r="D48" t="s">
        <v>7360</v>
      </c>
      <c r="E48">
        <v>8</v>
      </c>
      <c r="F48" t="s">
        <v>7165</v>
      </c>
      <c r="G48">
        <v>8</v>
      </c>
      <c r="H48">
        <f t="shared" si="0"/>
        <v>100</v>
      </c>
      <c r="I48">
        <f t="shared" si="1"/>
        <v>1.6096579476861168</v>
      </c>
      <c r="J48" t="s">
        <v>7150</v>
      </c>
      <c r="K48">
        <v>250</v>
      </c>
      <c r="L48">
        <v>17</v>
      </c>
    </row>
    <row r="49" spans="1:12" x14ac:dyDescent="0.2">
      <c r="A49">
        <v>210</v>
      </c>
      <c r="B49">
        <v>12</v>
      </c>
      <c r="C49">
        <v>497</v>
      </c>
      <c r="D49" t="s">
        <v>7361</v>
      </c>
      <c r="E49">
        <v>2</v>
      </c>
      <c r="F49" t="s">
        <v>7165</v>
      </c>
      <c r="G49">
        <v>2</v>
      </c>
      <c r="H49">
        <f t="shared" si="0"/>
        <v>100</v>
      </c>
      <c r="I49">
        <f t="shared" si="1"/>
        <v>0.4024144869215292</v>
      </c>
      <c r="J49" t="s">
        <v>7150</v>
      </c>
      <c r="K49">
        <v>285</v>
      </c>
      <c r="L49">
        <v>17</v>
      </c>
    </row>
    <row r="50" spans="1:12" x14ac:dyDescent="0.2">
      <c r="A50">
        <v>235</v>
      </c>
      <c r="B50">
        <v>12</v>
      </c>
      <c r="C50">
        <v>497</v>
      </c>
      <c r="D50" t="s">
        <v>7362</v>
      </c>
      <c r="E50">
        <v>12</v>
      </c>
      <c r="F50" t="s">
        <v>7165</v>
      </c>
      <c r="G50">
        <v>12</v>
      </c>
      <c r="H50">
        <f t="shared" si="0"/>
        <v>100</v>
      </c>
      <c r="I50">
        <f t="shared" si="1"/>
        <v>2.4144869215291749</v>
      </c>
      <c r="J50" t="s">
        <v>7150</v>
      </c>
      <c r="K50">
        <v>320</v>
      </c>
      <c r="L50">
        <v>17</v>
      </c>
    </row>
    <row r="51" spans="1:12" x14ac:dyDescent="0.2">
      <c r="A51">
        <v>260</v>
      </c>
      <c r="B51">
        <v>12</v>
      </c>
      <c r="C51">
        <v>497</v>
      </c>
      <c r="D51" t="s">
        <v>7363</v>
      </c>
      <c r="E51">
        <v>1</v>
      </c>
      <c r="F51" t="s">
        <v>7165</v>
      </c>
      <c r="G51">
        <v>0</v>
      </c>
      <c r="H51">
        <f t="shared" si="0"/>
        <v>0</v>
      </c>
      <c r="I51">
        <f t="shared" si="1"/>
        <v>0.2012072434607646</v>
      </c>
      <c r="J51" t="s">
        <v>7150</v>
      </c>
      <c r="K51">
        <v>355</v>
      </c>
      <c r="L51">
        <v>17</v>
      </c>
    </row>
    <row r="52" spans="1:12" x14ac:dyDescent="0.2">
      <c r="A52">
        <v>285</v>
      </c>
      <c r="B52">
        <v>12</v>
      </c>
      <c r="C52">
        <v>497</v>
      </c>
      <c r="D52" t="s">
        <v>7471</v>
      </c>
      <c r="E52">
        <v>1</v>
      </c>
      <c r="F52" t="s">
        <v>7165</v>
      </c>
      <c r="G52">
        <v>0</v>
      </c>
      <c r="H52">
        <f t="shared" si="0"/>
        <v>0</v>
      </c>
      <c r="I52">
        <f t="shared" si="1"/>
        <v>0.2012072434607646</v>
      </c>
      <c r="J52" t="s">
        <v>7150</v>
      </c>
      <c r="K52">
        <v>390</v>
      </c>
      <c r="L52">
        <v>17</v>
      </c>
    </row>
    <row r="53" spans="1:12" x14ac:dyDescent="0.2">
      <c r="A53">
        <v>310</v>
      </c>
      <c r="B53">
        <v>12</v>
      </c>
      <c r="C53">
        <v>497</v>
      </c>
      <c r="D53" t="s">
        <v>7472</v>
      </c>
      <c r="E53">
        <v>1</v>
      </c>
      <c r="F53" t="s">
        <v>7165</v>
      </c>
      <c r="G53">
        <v>0</v>
      </c>
      <c r="H53">
        <f t="shared" si="0"/>
        <v>0</v>
      </c>
      <c r="I53">
        <f t="shared" si="1"/>
        <v>0.2012072434607646</v>
      </c>
      <c r="J53" t="s">
        <v>7150</v>
      </c>
      <c r="K53">
        <v>425</v>
      </c>
      <c r="L53">
        <v>17</v>
      </c>
    </row>
    <row r="54" spans="1:12" x14ac:dyDescent="0.2">
      <c r="A54">
        <v>5</v>
      </c>
      <c r="B54">
        <v>12</v>
      </c>
      <c r="C54">
        <v>497</v>
      </c>
      <c r="D54" t="s">
        <v>7353</v>
      </c>
      <c r="E54">
        <v>227</v>
      </c>
      <c r="F54" t="s">
        <v>7169</v>
      </c>
      <c r="G54">
        <v>4</v>
      </c>
      <c r="H54">
        <f t="shared" si="0"/>
        <v>1.7621145374449341</v>
      </c>
      <c r="I54">
        <f t="shared" si="1"/>
        <v>45.674044265593558</v>
      </c>
      <c r="J54" t="s">
        <v>7150</v>
      </c>
      <c r="K54">
        <v>5</v>
      </c>
      <c r="L54">
        <v>17</v>
      </c>
    </row>
    <row r="55" spans="1:12" x14ac:dyDescent="0.2">
      <c r="A55">
        <v>35</v>
      </c>
      <c r="B55">
        <v>12</v>
      </c>
      <c r="C55">
        <v>497</v>
      </c>
      <c r="D55" t="s">
        <v>7354</v>
      </c>
      <c r="E55">
        <v>230</v>
      </c>
      <c r="F55" t="s">
        <v>7169</v>
      </c>
      <c r="G55">
        <v>14</v>
      </c>
      <c r="H55">
        <f t="shared" si="0"/>
        <v>6.0869565217391308</v>
      </c>
      <c r="I55">
        <f t="shared" si="1"/>
        <v>46.277665995975852</v>
      </c>
      <c r="J55" t="s">
        <v>7150</v>
      </c>
      <c r="K55">
        <v>40</v>
      </c>
      <c r="L55">
        <v>17</v>
      </c>
    </row>
    <row r="56" spans="1:12" x14ac:dyDescent="0.2">
      <c r="A56">
        <v>60</v>
      </c>
      <c r="B56">
        <v>12</v>
      </c>
      <c r="C56">
        <v>497</v>
      </c>
      <c r="D56" t="s">
        <v>7355</v>
      </c>
      <c r="E56">
        <v>18</v>
      </c>
      <c r="F56" t="s">
        <v>7169</v>
      </c>
      <c r="G56">
        <v>0</v>
      </c>
      <c r="H56">
        <f t="shared" si="0"/>
        <v>0</v>
      </c>
      <c r="I56">
        <f t="shared" si="1"/>
        <v>3.6217303822937628</v>
      </c>
      <c r="J56" t="s">
        <v>7150</v>
      </c>
      <c r="K56">
        <v>75</v>
      </c>
      <c r="L56">
        <v>17</v>
      </c>
    </row>
    <row r="57" spans="1:12" x14ac:dyDescent="0.2">
      <c r="A57">
        <v>85</v>
      </c>
      <c r="B57">
        <v>12</v>
      </c>
      <c r="C57">
        <v>497</v>
      </c>
      <c r="D57" t="s">
        <v>7356</v>
      </c>
      <c r="E57">
        <v>63</v>
      </c>
      <c r="F57" t="s">
        <v>7169</v>
      </c>
      <c r="G57">
        <v>3</v>
      </c>
      <c r="H57">
        <f t="shared" si="0"/>
        <v>4.7619047619047619</v>
      </c>
      <c r="I57">
        <f t="shared" si="1"/>
        <v>12.676056338028168</v>
      </c>
      <c r="J57" t="s">
        <v>7150</v>
      </c>
      <c r="K57">
        <v>110</v>
      </c>
      <c r="L57">
        <v>17</v>
      </c>
    </row>
    <row r="58" spans="1:12" x14ac:dyDescent="0.2">
      <c r="A58">
        <v>110</v>
      </c>
      <c r="B58">
        <v>12</v>
      </c>
      <c r="C58">
        <v>497</v>
      </c>
      <c r="D58" t="s">
        <v>7357</v>
      </c>
      <c r="E58">
        <v>81</v>
      </c>
      <c r="F58" t="s">
        <v>7169</v>
      </c>
      <c r="G58">
        <v>0</v>
      </c>
      <c r="H58">
        <f t="shared" si="0"/>
        <v>0</v>
      </c>
      <c r="I58">
        <f t="shared" si="1"/>
        <v>16.297786720321934</v>
      </c>
      <c r="J58" t="s">
        <v>7150</v>
      </c>
      <c r="K58">
        <v>145</v>
      </c>
      <c r="L58">
        <v>17</v>
      </c>
    </row>
    <row r="59" spans="1:12" x14ac:dyDescent="0.2">
      <c r="A59">
        <v>135</v>
      </c>
      <c r="B59">
        <v>12</v>
      </c>
      <c r="C59">
        <v>497</v>
      </c>
      <c r="D59" t="s">
        <v>7358</v>
      </c>
      <c r="E59">
        <v>86</v>
      </c>
      <c r="F59" t="s">
        <v>7169</v>
      </c>
      <c r="G59">
        <v>0</v>
      </c>
      <c r="H59">
        <f t="shared" si="0"/>
        <v>0</v>
      </c>
      <c r="I59">
        <f t="shared" si="1"/>
        <v>17.303822937625753</v>
      </c>
      <c r="J59" t="s">
        <v>7150</v>
      </c>
      <c r="K59">
        <v>180</v>
      </c>
      <c r="L59">
        <v>17</v>
      </c>
    </row>
    <row r="60" spans="1:12" x14ac:dyDescent="0.2">
      <c r="A60">
        <v>160</v>
      </c>
      <c r="B60">
        <v>12</v>
      </c>
      <c r="C60">
        <v>497</v>
      </c>
      <c r="D60" t="s">
        <v>7359</v>
      </c>
      <c r="E60">
        <v>1</v>
      </c>
      <c r="F60" t="s">
        <v>7169</v>
      </c>
      <c r="G60">
        <v>0</v>
      </c>
      <c r="H60">
        <f t="shared" si="0"/>
        <v>0</v>
      </c>
      <c r="I60">
        <f t="shared" si="1"/>
        <v>0.2012072434607646</v>
      </c>
      <c r="J60" t="s">
        <v>7150</v>
      </c>
      <c r="K60">
        <v>215</v>
      </c>
      <c r="L60">
        <v>17</v>
      </c>
    </row>
    <row r="61" spans="1:12" x14ac:dyDescent="0.2">
      <c r="A61">
        <v>185</v>
      </c>
      <c r="B61">
        <v>12</v>
      </c>
      <c r="C61">
        <v>497</v>
      </c>
      <c r="D61" t="s">
        <v>7360</v>
      </c>
      <c r="E61">
        <v>8</v>
      </c>
      <c r="F61" t="s">
        <v>7169</v>
      </c>
      <c r="G61">
        <v>0</v>
      </c>
      <c r="H61">
        <f t="shared" si="0"/>
        <v>0</v>
      </c>
      <c r="I61">
        <f t="shared" si="1"/>
        <v>1.6096579476861168</v>
      </c>
      <c r="J61" t="s">
        <v>7150</v>
      </c>
      <c r="K61">
        <v>250</v>
      </c>
      <c r="L61">
        <v>17</v>
      </c>
    </row>
    <row r="62" spans="1:12" x14ac:dyDescent="0.2">
      <c r="A62">
        <v>210</v>
      </c>
      <c r="B62">
        <v>12</v>
      </c>
      <c r="C62">
        <v>497</v>
      </c>
      <c r="D62" t="s">
        <v>7361</v>
      </c>
      <c r="E62">
        <v>2</v>
      </c>
      <c r="F62" t="s">
        <v>7169</v>
      </c>
      <c r="G62">
        <v>0</v>
      </c>
      <c r="H62">
        <f t="shared" si="0"/>
        <v>0</v>
      </c>
      <c r="I62">
        <f t="shared" si="1"/>
        <v>0.4024144869215292</v>
      </c>
      <c r="J62" t="s">
        <v>7150</v>
      </c>
      <c r="K62">
        <v>285</v>
      </c>
      <c r="L62">
        <v>17</v>
      </c>
    </row>
    <row r="63" spans="1:12" x14ac:dyDescent="0.2">
      <c r="A63">
        <v>235</v>
      </c>
      <c r="B63">
        <v>12</v>
      </c>
      <c r="C63">
        <v>497</v>
      </c>
      <c r="D63" t="s">
        <v>7362</v>
      </c>
      <c r="E63">
        <v>12</v>
      </c>
      <c r="F63" t="s">
        <v>7169</v>
      </c>
      <c r="G63">
        <v>0</v>
      </c>
      <c r="H63">
        <f t="shared" si="0"/>
        <v>0</v>
      </c>
      <c r="I63">
        <f t="shared" si="1"/>
        <v>2.4144869215291749</v>
      </c>
      <c r="J63" t="s">
        <v>7150</v>
      </c>
      <c r="K63">
        <v>320</v>
      </c>
      <c r="L63">
        <v>17</v>
      </c>
    </row>
    <row r="64" spans="1:12" x14ac:dyDescent="0.2">
      <c r="A64">
        <v>260</v>
      </c>
      <c r="B64">
        <v>12</v>
      </c>
      <c r="C64">
        <v>497</v>
      </c>
      <c r="D64" t="s">
        <v>7363</v>
      </c>
      <c r="E64">
        <v>1</v>
      </c>
      <c r="F64" t="s">
        <v>7169</v>
      </c>
      <c r="G64">
        <v>1</v>
      </c>
      <c r="H64">
        <f t="shared" si="0"/>
        <v>100</v>
      </c>
      <c r="I64">
        <f t="shared" si="1"/>
        <v>0.2012072434607646</v>
      </c>
      <c r="J64" t="s">
        <v>7150</v>
      </c>
      <c r="K64">
        <v>355</v>
      </c>
      <c r="L64">
        <v>17</v>
      </c>
    </row>
    <row r="65" spans="1:12" x14ac:dyDescent="0.2">
      <c r="A65">
        <v>285</v>
      </c>
      <c r="B65">
        <v>12</v>
      </c>
      <c r="C65">
        <v>497</v>
      </c>
      <c r="D65" t="s">
        <v>7471</v>
      </c>
      <c r="E65">
        <v>1</v>
      </c>
      <c r="F65" t="s">
        <v>7169</v>
      </c>
      <c r="G65">
        <v>0</v>
      </c>
      <c r="H65">
        <f t="shared" si="0"/>
        <v>0</v>
      </c>
      <c r="I65">
        <f t="shared" si="1"/>
        <v>0.2012072434607646</v>
      </c>
      <c r="J65" t="s">
        <v>7150</v>
      </c>
      <c r="K65">
        <v>390</v>
      </c>
      <c r="L65">
        <v>17</v>
      </c>
    </row>
    <row r="66" spans="1:12" x14ac:dyDescent="0.2">
      <c r="A66">
        <v>310</v>
      </c>
      <c r="B66">
        <v>12</v>
      </c>
      <c r="C66">
        <v>497</v>
      </c>
      <c r="D66" t="s">
        <v>7472</v>
      </c>
      <c r="E66">
        <v>1</v>
      </c>
      <c r="F66" t="s">
        <v>7169</v>
      </c>
      <c r="G66">
        <v>0</v>
      </c>
      <c r="H66">
        <f t="shared" si="0"/>
        <v>0</v>
      </c>
      <c r="I66">
        <f t="shared" si="1"/>
        <v>0.2012072434607646</v>
      </c>
      <c r="J66" t="s">
        <v>7150</v>
      </c>
      <c r="K66">
        <v>425</v>
      </c>
      <c r="L66">
        <v>17</v>
      </c>
    </row>
    <row r="67" spans="1:12" x14ac:dyDescent="0.2">
      <c r="A67">
        <v>5</v>
      </c>
      <c r="B67">
        <v>12</v>
      </c>
      <c r="C67">
        <v>497</v>
      </c>
      <c r="D67" t="s">
        <v>7353</v>
      </c>
      <c r="E67">
        <v>227</v>
      </c>
      <c r="F67" t="s">
        <v>7162</v>
      </c>
      <c r="G67">
        <v>1</v>
      </c>
      <c r="H67">
        <f t="shared" ref="H67:H92" si="3">G67/E67*100</f>
        <v>0.44052863436123352</v>
      </c>
      <c r="I67">
        <f t="shared" ref="I67:I92" si="4">E67/C67*100</f>
        <v>45.674044265593558</v>
      </c>
      <c r="J67" t="s">
        <v>7150</v>
      </c>
      <c r="K67">
        <v>5</v>
      </c>
      <c r="L67">
        <v>17</v>
      </c>
    </row>
    <row r="68" spans="1:12" x14ac:dyDescent="0.2">
      <c r="A68">
        <v>35</v>
      </c>
      <c r="B68">
        <v>12</v>
      </c>
      <c r="C68">
        <v>497</v>
      </c>
      <c r="D68" t="s">
        <v>7354</v>
      </c>
      <c r="E68">
        <v>230</v>
      </c>
      <c r="F68" t="s">
        <v>7162</v>
      </c>
      <c r="G68">
        <v>1</v>
      </c>
      <c r="H68">
        <f t="shared" si="3"/>
        <v>0.43478260869565216</v>
      </c>
      <c r="I68">
        <f t="shared" si="4"/>
        <v>46.277665995975852</v>
      </c>
      <c r="J68" t="s">
        <v>7150</v>
      </c>
      <c r="K68">
        <v>40</v>
      </c>
      <c r="L68">
        <v>17</v>
      </c>
    </row>
    <row r="69" spans="1:12" x14ac:dyDescent="0.2">
      <c r="A69">
        <v>60</v>
      </c>
      <c r="B69">
        <v>12</v>
      </c>
      <c r="C69">
        <v>497</v>
      </c>
      <c r="D69" t="s">
        <v>7355</v>
      </c>
      <c r="E69">
        <v>18</v>
      </c>
      <c r="F69" t="s">
        <v>7162</v>
      </c>
      <c r="G69">
        <v>0</v>
      </c>
      <c r="H69">
        <f t="shared" si="3"/>
        <v>0</v>
      </c>
      <c r="I69">
        <f t="shared" si="4"/>
        <v>3.6217303822937628</v>
      </c>
      <c r="J69" t="s">
        <v>7150</v>
      </c>
      <c r="K69">
        <v>75</v>
      </c>
      <c r="L69">
        <v>17</v>
      </c>
    </row>
    <row r="70" spans="1:12" x14ac:dyDescent="0.2">
      <c r="A70">
        <v>85</v>
      </c>
      <c r="B70">
        <v>12</v>
      </c>
      <c r="C70">
        <v>497</v>
      </c>
      <c r="D70" t="s">
        <v>7356</v>
      </c>
      <c r="E70">
        <v>63</v>
      </c>
      <c r="F70" t="s">
        <v>7162</v>
      </c>
      <c r="G70">
        <v>0</v>
      </c>
      <c r="H70">
        <f t="shared" si="3"/>
        <v>0</v>
      </c>
      <c r="I70">
        <f t="shared" si="4"/>
        <v>12.676056338028168</v>
      </c>
      <c r="J70" t="s">
        <v>7150</v>
      </c>
      <c r="K70">
        <v>110</v>
      </c>
      <c r="L70">
        <v>17</v>
      </c>
    </row>
    <row r="71" spans="1:12" x14ac:dyDescent="0.2">
      <c r="A71">
        <v>110</v>
      </c>
      <c r="B71">
        <v>12</v>
      </c>
      <c r="C71">
        <v>497</v>
      </c>
      <c r="D71" t="s">
        <v>7357</v>
      </c>
      <c r="E71">
        <v>81</v>
      </c>
      <c r="F71" t="s">
        <v>7162</v>
      </c>
      <c r="G71">
        <v>0</v>
      </c>
      <c r="H71">
        <f t="shared" si="3"/>
        <v>0</v>
      </c>
      <c r="I71">
        <f t="shared" si="4"/>
        <v>16.297786720321934</v>
      </c>
      <c r="J71" t="s">
        <v>7150</v>
      </c>
      <c r="K71">
        <v>145</v>
      </c>
      <c r="L71">
        <v>17</v>
      </c>
    </row>
    <row r="72" spans="1:12" x14ac:dyDescent="0.2">
      <c r="A72">
        <v>135</v>
      </c>
      <c r="B72">
        <v>12</v>
      </c>
      <c r="C72">
        <v>497</v>
      </c>
      <c r="D72" t="s">
        <v>7358</v>
      </c>
      <c r="E72">
        <v>86</v>
      </c>
      <c r="F72" t="s">
        <v>7162</v>
      </c>
      <c r="G72">
        <v>0</v>
      </c>
      <c r="H72">
        <f t="shared" si="3"/>
        <v>0</v>
      </c>
      <c r="I72">
        <f t="shared" si="4"/>
        <v>17.303822937625753</v>
      </c>
      <c r="J72" t="s">
        <v>7150</v>
      </c>
      <c r="K72">
        <v>180</v>
      </c>
      <c r="L72">
        <v>17</v>
      </c>
    </row>
    <row r="73" spans="1:12" x14ac:dyDescent="0.2">
      <c r="A73">
        <v>160</v>
      </c>
      <c r="B73">
        <v>12</v>
      </c>
      <c r="C73">
        <v>497</v>
      </c>
      <c r="D73" t="s">
        <v>7359</v>
      </c>
      <c r="E73">
        <v>1</v>
      </c>
      <c r="F73" t="s">
        <v>7162</v>
      </c>
      <c r="G73">
        <v>0</v>
      </c>
      <c r="H73">
        <f t="shared" si="3"/>
        <v>0</v>
      </c>
      <c r="I73">
        <f t="shared" si="4"/>
        <v>0.2012072434607646</v>
      </c>
      <c r="J73" t="s">
        <v>7150</v>
      </c>
      <c r="K73">
        <v>215</v>
      </c>
      <c r="L73">
        <v>17</v>
      </c>
    </row>
    <row r="74" spans="1:12" x14ac:dyDescent="0.2">
      <c r="A74">
        <v>185</v>
      </c>
      <c r="B74">
        <v>12</v>
      </c>
      <c r="C74">
        <v>497</v>
      </c>
      <c r="D74" t="s">
        <v>7360</v>
      </c>
      <c r="E74">
        <v>8</v>
      </c>
      <c r="F74" t="s">
        <v>7162</v>
      </c>
      <c r="G74">
        <v>0</v>
      </c>
      <c r="H74">
        <f t="shared" si="3"/>
        <v>0</v>
      </c>
      <c r="I74">
        <f t="shared" si="4"/>
        <v>1.6096579476861168</v>
      </c>
      <c r="J74" t="s">
        <v>7150</v>
      </c>
      <c r="K74">
        <v>250</v>
      </c>
      <c r="L74">
        <v>17</v>
      </c>
    </row>
    <row r="75" spans="1:12" x14ac:dyDescent="0.2">
      <c r="A75">
        <v>210</v>
      </c>
      <c r="B75">
        <v>12</v>
      </c>
      <c r="C75">
        <v>497</v>
      </c>
      <c r="D75" t="s">
        <v>7361</v>
      </c>
      <c r="E75">
        <v>2</v>
      </c>
      <c r="F75" t="s">
        <v>7162</v>
      </c>
      <c r="G75">
        <v>0</v>
      </c>
      <c r="H75">
        <f t="shared" si="3"/>
        <v>0</v>
      </c>
      <c r="I75">
        <f t="shared" si="4"/>
        <v>0.4024144869215292</v>
      </c>
      <c r="J75" t="s">
        <v>7150</v>
      </c>
      <c r="K75">
        <v>285</v>
      </c>
      <c r="L75">
        <v>17</v>
      </c>
    </row>
    <row r="76" spans="1:12" x14ac:dyDescent="0.2">
      <c r="A76">
        <v>235</v>
      </c>
      <c r="B76">
        <v>12</v>
      </c>
      <c r="C76">
        <v>497</v>
      </c>
      <c r="D76" t="s">
        <v>7362</v>
      </c>
      <c r="E76">
        <v>12</v>
      </c>
      <c r="F76" t="s">
        <v>7162</v>
      </c>
      <c r="G76">
        <v>0</v>
      </c>
      <c r="H76">
        <f t="shared" si="3"/>
        <v>0</v>
      </c>
      <c r="I76">
        <f t="shared" si="4"/>
        <v>2.4144869215291749</v>
      </c>
      <c r="J76" t="s">
        <v>7150</v>
      </c>
      <c r="K76">
        <v>320</v>
      </c>
      <c r="L76">
        <v>17</v>
      </c>
    </row>
    <row r="77" spans="1:12" x14ac:dyDescent="0.2">
      <c r="A77">
        <v>260</v>
      </c>
      <c r="B77">
        <v>12</v>
      </c>
      <c r="C77">
        <v>497</v>
      </c>
      <c r="D77" t="s">
        <v>7363</v>
      </c>
      <c r="E77">
        <v>1</v>
      </c>
      <c r="F77" t="s">
        <v>7162</v>
      </c>
      <c r="G77">
        <v>0</v>
      </c>
      <c r="H77">
        <f t="shared" si="3"/>
        <v>0</v>
      </c>
      <c r="I77">
        <f t="shared" si="4"/>
        <v>0.2012072434607646</v>
      </c>
      <c r="J77" t="s">
        <v>7150</v>
      </c>
      <c r="K77">
        <v>355</v>
      </c>
      <c r="L77">
        <v>17</v>
      </c>
    </row>
    <row r="78" spans="1:12" x14ac:dyDescent="0.2">
      <c r="A78">
        <v>285</v>
      </c>
      <c r="B78">
        <v>12</v>
      </c>
      <c r="C78">
        <v>497</v>
      </c>
      <c r="D78" t="s">
        <v>7471</v>
      </c>
      <c r="E78">
        <v>1</v>
      </c>
      <c r="F78" t="s">
        <v>7162</v>
      </c>
      <c r="G78">
        <v>0</v>
      </c>
      <c r="H78">
        <f t="shared" si="3"/>
        <v>0</v>
      </c>
      <c r="I78">
        <f t="shared" si="4"/>
        <v>0.2012072434607646</v>
      </c>
      <c r="J78" t="s">
        <v>7150</v>
      </c>
      <c r="K78">
        <v>390</v>
      </c>
      <c r="L78">
        <v>17</v>
      </c>
    </row>
    <row r="79" spans="1:12" x14ac:dyDescent="0.2">
      <c r="A79">
        <v>310</v>
      </c>
      <c r="B79">
        <v>12</v>
      </c>
      <c r="C79">
        <v>497</v>
      </c>
      <c r="D79" t="s">
        <v>7472</v>
      </c>
      <c r="E79">
        <v>1</v>
      </c>
      <c r="F79" t="s">
        <v>7162</v>
      </c>
      <c r="G79">
        <v>0</v>
      </c>
      <c r="H79">
        <f t="shared" si="3"/>
        <v>0</v>
      </c>
      <c r="I79">
        <f t="shared" si="4"/>
        <v>0.2012072434607646</v>
      </c>
      <c r="J79" t="s">
        <v>7150</v>
      </c>
      <c r="K79">
        <v>425</v>
      </c>
      <c r="L79">
        <v>17</v>
      </c>
    </row>
    <row r="80" spans="1:12" x14ac:dyDescent="0.2">
      <c r="A80">
        <v>5</v>
      </c>
      <c r="B80">
        <v>12</v>
      </c>
      <c r="C80">
        <v>497</v>
      </c>
      <c r="D80" t="s">
        <v>7353</v>
      </c>
      <c r="E80">
        <v>227</v>
      </c>
      <c r="F80" t="s">
        <v>7168</v>
      </c>
      <c r="G80">
        <v>2</v>
      </c>
      <c r="H80">
        <f t="shared" si="3"/>
        <v>0.88105726872246704</v>
      </c>
      <c r="I80">
        <f t="shared" si="4"/>
        <v>45.674044265593558</v>
      </c>
      <c r="J80" t="s">
        <v>7150</v>
      </c>
      <c r="K80">
        <v>5</v>
      </c>
      <c r="L80">
        <v>17</v>
      </c>
    </row>
    <row r="81" spans="1:12" x14ac:dyDescent="0.2">
      <c r="A81">
        <v>35</v>
      </c>
      <c r="B81">
        <v>12</v>
      </c>
      <c r="C81">
        <v>497</v>
      </c>
      <c r="D81" t="s">
        <v>7354</v>
      </c>
      <c r="E81">
        <v>230</v>
      </c>
      <c r="F81" t="s">
        <v>7168</v>
      </c>
      <c r="G81">
        <v>4</v>
      </c>
      <c r="H81">
        <f t="shared" si="3"/>
        <v>1.7391304347826086</v>
      </c>
      <c r="I81">
        <f t="shared" si="4"/>
        <v>46.277665995975852</v>
      </c>
      <c r="J81" t="s">
        <v>7150</v>
      </c>
      <c r="K81">
        <v>40</v>
      </c>
      <c r="L81">
        <v>17</v>
      </c>
    </row>
    <row r="82" spans="1:12" x14ac:dyDescent="0.2">
      <c r="A82">
        <v>60</v>
      </c>
      <c r="B82">
        <v>12</v>
      </c>
      <c r="C82">
        <v>497</v>
      </c>
      <c r="D82" t="s">
        <v>7355</v>
      </c>
      <c r="E82">
        <v>18</v>
      </c>
      <c r="F82" t="s">
        <v>7168</v>
      </c>
      <c r="G82">
        <v>0</v>
      </c>
      <c r="H82">
        <f t="shared" si="3"/>
        <v>0</v>
      </c>
      <c r="I82">
        <f t="shared" si="4"/>
        <v>3.6217303822937628</v>
      </c>
      <c r="J82" t="s">
        <v>7150</v>
      </c>
      <c r="K82">
        <v>75</v>
      </c>
      <c r="L82">
        <v>17</v>
      </c>
    </row>
    <row r="83" spans="1:12" x14ac:dyDescent="0.2">
      <c r="A83">
        <v>85</v>
      </c>
      <c r="B83">
        <v>12</v>
      </c>
      <c r="C83">
        <v>497</v>
      </c>
      <c r="D83" t="s">
        <v>7356</v>
      </c>
      <c r="E83">
        <v>63</v>
      </c>
      <c r="F83" t="s">
        <v>7168</v>
      </c>
      <c r="G83">
        <v>0</v>
      </c>
      <c r="H83">
        <f t="shared" si="3"/>
        <v>0</v>
      </c>
      <c r="I83">
        <f t="shared" si="4"/>
        <v>12.676056338028168</v>
      </c>
      <c r="J83" t="s">
        <v>7150</v>
      </c>
      <c r="K83">
        <v>110</v>
      </c>
      <c r="L83">
        <v>17</v>
      </c>
    </row>
    <row r="84" spans="1:12" x14ac:dyDescent="0.2">
      <c r="A84">
        <v>110</v>
      </c>
      <c r="B84">
        <v>12</v>
      </c>
      <c r="C84">
        <v>497</v>
      </c>
      <c r="D84" t="s">
        <v>7357</v>
      </c>
      <c r="E84">
        <v>81</v>
      </c>
      <c r="F84" t="s">
        <v>7168</v>
      </c>
      <c r="G84">
        <v>0</v>
      </c>
      <c r="H84">
        <f t="shared" si="3"/>
        <v>0</v>
      </c>
      <c r="I84">
        <f t="shared" si="4"/>
        <v>16.297786720321934</v>
      </c>
      <c r="J84" t="s">
        <v>7150</v>
      </c>
      <c r="K84">
        <v>145</v>
      </c>
      <c r="L84">
        <v>17</v>
      </c>
    </row>
    <row r="85" spans="1:12" x14ac:dyDescent="0.2">
      <c r="A85">
        <v>135</v>
      </c>
      <c r="B85">
        <v>12</v>
      </c>
      <c r="C85">
        <v>497</v>
      </c>
      <c r="D85" t="s">
        <v>7358</v>
      </c>
      <c r="E85">
        <v>86</v>
      </c>
      <c r="F85" t="s">
        <v>7168</v>
      </c>
      <c r="G85">
        <v>0</v>
      </c>
      <c r="H85">
        <f t="shared" si="3"/>
        <v>0</v>
      </c>
      <c r="I85">
        <f t="shared" si="4"/>
        <v>17.303822937625753</v>
      </c>
      <c r="J85" t="s">
        <v>7150</v>
      </c>
      <c r="K85">
        <v>180</v>
      </c>
      <c r="L85">
        <v>17</v>
      </c>
    </row>
    <row r="86" spans="1:12" x14ac:dyDescent="0.2">
      <c r="A86">
        <v>160</v>
      </c>
      <c r="B86">
        <v>12</v>
      </c>
      <c r="C86">
        <v>497</v>
      </c>
      <c r="D86" t="s">
        <v>7359</v>
      </c>
      <c r="E86">
        <v>1</v>
      </c>
      <c r="F86" t="s">
        <v>7168</v>
      </c>
      <c r="G86">
        <v>0</v>
      </c>
      <c r="H86">
        <f t="shared" si="3"/>
        <v>0</v>
      </c>
      <c r="I86">
        <f t="shared" si="4"/>
        <v>0.2012072434607646</v>
      </c>
      <c r="J86" t="s">
        <v>7150</v>
      </c>
      <c r="K86">
        <v>215</v>
      </c>
      <c r="L86">
        <v>17</v>
      </c>
    </row>
    <row r="87" spans="1:12" x14ac:dyDescent="0.2">
      <c r="A87">
        <v>185</v>
      </c>
      <c r="B87">
        <v>12</v>
      </c>
      <c r="C87">
        <v>497</v>
      </c>
      <c r="D87" t="s">
        <v>7360</v>
      </c>
      <c r="E87">
        <v>8</v>
      </c>
      <c r="F87" t="s">
        <v>7168</v>
      </c>
      <c r="G87">
        <v>0</v>
      </c>
      <c r="H87">
        <f t="shared" si="3"/>
        <v>0</v>
      </c>
      <c r="I87">
        <f t="shared" si="4"/>
        <v>1.6096579476861168</v>
      </c>
      <c r="J87" t="s">
        <v>7150</v>
      </c>
      <c r="K87">
        <v>250</v>
      </c>
      <c r="L87">
        <v>17</v>
      </c>
    </row>
    <row r="88" spans="1:12" x14ac:dyDescent="0.2">
      <c r="A88">
        <v>210</v>
      </c>
      <c r="B88">
        <v>12</v>
      </c>
      <c r="C88">
        <v>497</v>
      </c>
      <c r="D88" t="s">
        <v>7361</v>
      </c>
      <c r="E88">
        <v>2</v>
      </c>
      <c r="F88" t="s">
        <v>7168</v>
      </c>
      <c r="G88">
        <v>0</v>
      </c>
      <c r="H88">
        <f t="shared" si="3"/>
        <v>0</v>
      </c>
      <c r="I88">
        <f t="shared" si="4"/>
        <v>0.4024144869215292</v>
      </c>
      <c r="J88" t="s">
        <v>7150</v>
      </c>
      <c r="K88">
        <v>285</v>
      </c>
      <c r="L88">
        <v>17</v>
      </c>
    </row>
    <row r="89" spans="1:12" x14ac:dyDescent="0.2">
      <c r="A89">
        <v>235</v>
      </c>
      <c r="B89">
        <v>12</v>
      </c>
      <c r="C89">
        <v>497</v>
      </c>
      <c r="D89" t="s">
        <v>7362</v>
      </c>
      <c r="E89">
        <v>12</v>
      </c>
      <c r="F89" t="s">
        <v>7168</v>
      </c>
      <c r="G89">
        <v>0</v>
      </c>
      <c r="H89">
        <f t="shared" si="3"/>
        <v>0</v>
      </c>
      <c r="I89">
        <f t="shared" si="4"/>
        <v>2.4144869215291749</v>
      </c>
      <c r="J89" t="s">
        <v>7150</v>
      </c>
      <c r="K89">
        <v>320</v>
      </c>
      <c r="L89">
        <v>17</v>
      </c>
    </row>
    <row r="90" spans="1:12" x14ac:dyDescent="0.2">
      <c r="A90">
        <v>260</v>
      </c>
      <c r="B90">
        <v>12</v>
      </c>
      <c r="C90">
        <v>497</v>
      </c>
      <c r="D90" t="s">
        <v>7363</v>
      </c>
      <c r="E90">
        <v>1</v>
      </c>
      <c r="F90" t="s">
        <v>7168</v>
      </c>
      <c r="G90">
        <v>0</v>
      </c>
      <c r="H90">
        <f t="shared" si="3"/>
        <v>0</v>
      </c>
      <c r="I90">
        <f t="shared" si="4"/>
        <v>0.2012072434607646</v>
      </c>
      <c r="J90" t="s">
        <v>7150</v>
      </c>
      <c r="K90">
        <v>355</v>
      </c>
      <c r="L90">
        <v>17</v>
      </c>
    </row>
    <row r="91" spans="1:12" x14ac:dyDescent="0.2">
      <c r="A91">
        <v>285</v>
      </c>
      <c r="B91">
        <v>12</v>
      </c>
      <c r="C91">
        <v>497</v>
      </c>
      <c r="D91" t="s">
        <v>7471</v>
      </c>
      <c r="E91">
        <v>1</v>
      </c>
      <c r="F91" t="s">
        <v>7168</v>
      </c>
      <c r="G91">
        <v>1</v>
      </c>
      <c r="H91">
        <f t="shared" si="3"/>
        <v>100</v>
      </c>
      <c r="I91">
        <f t="shared" si="4"/>
        <v>0.2012072434607646</v>
      </c>
      <c r="J91" t="s">
        <v>7150</v>
      </c>
      <c r="K91">
        <v>390</v>
      </c>
      <c r="L91">
        <v>17</v>
      </c>
    </row>
    <row r="92" spans="1:12" x14ac:dyDescent="0.2">
      <c r="A92">
        <v>310</v>
      </c>
      <c r="B92">
        <v>12</v>
      </c>
      <c r="C92">
        <v>497</v>
      </c>
      <c r="D92" t="s">
        <v>7472</v>
      </c>
      <c r="E92">
        <v>1</v>
      </c>
      <c r="F92" t="s">
        <v>7168</v>
      </c>
      <c r="G92">
        <v>1</v>
      </c>
      <c r="H92">
        <f t="shared" si="3"/>
        <v>100</v>
      </c>
      <c r="I92">
        <f t="shared" si="4"/>
        <v>0.2012072434607646</v>
      </c>
      <c r="J92" t="s">
        <v>7150</v>
      </c>
      <c r="K92">
        <v>425</v>
      </c>
      <c r="L92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6DFA-2F9E-463D-8F3D-FD68B2F5807F}">
  <dimension ref="A3:J49"/>
  <sheetViews>
    <sheetView workbookViewId="0">
      <selection activeCell="A4" sqref="A4:H47"/>
    </sheetView>
  </sheetViews>
  <sheetFormatPr baseColWidth="10" defaultColWidth="8.83203125" defaultRowHeight="15" x14ac:dyDescent="0.2"/>
  <cols>
    <col min="1" max="1" width="23.5" bestFit="1" customWidth="1"/>
    <col min="2" max="2" width="16.33203125" bestFit="1" customWidth="1"/>
    <col min="3" max="3" width="5.5" bestFit="1" customWidth="1"/>
    <col min="4" max="5" width="5.6640625" bestFit="1" customWidth="1"/>
    <col min="6" max="6" width="11.33203125" bestFit="1" customWidth="1"/>
    <col min="7" max="7" width="6.1640625" bestFit="1" customWidth="1"/>
    <col min="8" max="8" width="10.1640625" bestFit="1" customWidth="1"/>
    <col min="9" max="9" width="7.33203125" bestFit="1" customWidth="1"/>
    <col min="10" max="10" width="11.33203125" bestFit="1" customWidth="1"/>
  </cols>
  <sheetData>
    <row r="3" spans="1:10" x14ac:dyDescent="0.2">
      <c r="A3" s="15" t="s">
        <v>7176</v>
      </c>
      <c r="B3" s="15" t="s">
        <v>7177</v>
      </c>
    </row>
    <row r="4" spans="1:10" x14ac:dyDescent="0.2">
      <c r="A4" s="15" t="s">
        <v>7173</v>
      </c>
      <c r="B4" t="s">
        <v>7167</v>
      </c>
      <c r="C4" t="s">
        <v>60</v>
      </c>
      <c r="D4" t="s">
        <v>7172</v>
      </c>
      <c r="E4" t="s">
        <v>7165</v>
      </c>
      <c r="F4" t="s">
        <v>7169</v>
      </c>
      <c r="G4" t="s">
        <v>7162</v>
      </c>
      <c r="H4" t="s">
        <v>7168</v>
      </c>
      <c r="I4" t="s">
        <v>7174</v>
      </c>
      <c r="J4" t="s">
        <v>7175</v>
      </c>
    </row>
    <row r="5" spans="1:10" x14ac:dyDescent="0.2">
      <c r="A5" s="16" t="s">
        <v>7068</v>
      </c>
      <c r="G5">
        <v>3</v>
      </c>
      <c r="J5">
        <v>3</v>
      </c>
    </row>
    <row r="6" spans="1:10" x14ac:dyDescent="0.2">
      <c r="A6" s="16" t="s">
        <v>6988</v>
      </c>
      <c r="G6">
        <v>1</v>
      </c>
      <c r="J6">
        <v>1</v>
      </c>
    </row>
    <row r="7" spans="1:10" x14ac:dyDescent="0.2">
      <c r="A7" s="16" t="s">
        <v>169</v>
      </c>
      <c r="E7">
        <v>1</v>
      </c>
      <c r="G7">
        <v>7</v>
      </c>
      <c r="J7">
        <v>8</v>
      </c>
    </row>
    <row r="8" spans="1:10" x14ac:dyDescent="0.2">
      <c r="A8" s="16" t="s">
        <v>6946</v>
      </c>
      <c r="G8">
        <v>11</v>
      </c>
      <c r="J8">
        <v>11</v>
      </c>
    </row>
    <row r="9" spans="1:10" x14ac:dyDescent="0.2">
      <c r="A9" s="16" t="s">
        <v>7093</v>
      </c>
      <c r="G9">
        <v>1</v>
      </c>
      <c r="J9">
        <v>1</v>
      </c>
    </row>
    <row r="10" spans="1:10" x14ac:dyDescent="0.2">
      <c r="A10" s="16" t="s">
        <v>6984</v>
      </c>
      <c r="G10">
        <v>4</v>
      </c>
      <c r="J10">
        <v>4</v>
      </c>
    </row>
    <row r="11" spans="1:10" x14ac:dyDescent="0.2">
      <c r="A11" s="16" t="s">
        <v>6974</v>
      </c>
      <c r="G11">
        <v>1</v>
      </c>
      <c r="J11">
        <v>1</v>
      </c>
    </row>
    <row r="12" spans="1:10" x14ac:dyDescent="0.2">
      <c r="A12" s="16" t="s">
        <v>7080</v>
      </c>
      <c r="G12">
        <v>1</v>
      </c>
      <c r="J12">
        <v>1</v>
      </c>
    </row>
    <row r="13" spans="1:10" x14ac:dyDescent="0.2">
      <c r="A13" s="16" t="s">
        <v>7060</v>
      </c>
      <c r="G13">
        <v>1</v>
      </c>
      <c r="J13">
        <v>1</v>
      </c>
    </row>
    <row r="14" spans="1:10" x14ac:dyDescent="0.2">
      <c r="A14" s="16" t="s">
        <v>7025</v>
      </c>
      <c r="G14">
        <v>2</v>
      </c>
      <c r="J14">
        <v>2</v>
      </c>
    </row>
    <row r="15" spans="1:10" x14ac:dyDescent="0.2">
      <c r="A15" s="16" t="s">
        <v>7086</v>
      </c>
      <c r="G15">
        <v>1</v>
      </c>
      <c r="J15">
        <v>1</v>
      </c>
    </row>
    <row r="16" spans="1:10" x14ac:dyDescent="0.2">
      <c r="A16" s="16" t="s">
        <v>6980</v>
      </c>
      <c r="G16">
        <v>1</v>
      </c>
      <c r="J16">
        <v>1</v>
      </c>
    </row>
    <row r="17" spans="1:10" x14ac:dyDescent="0.2">
      <c r="A17" s="16" t="s">
        <v>7103</v>
      </c>
      <c r="H17">
        <v>1</v>
      </c>
      <c r="J17">
        <v>1</v>
      </c>
    </row>
    <row r="18" spans="1:10" x14ac:dyDescent="0.2">
      <c r="A18" s="16" t="s">
        <v>250</v>
      </c>
      <c r="C18">
        <v>5</v>
      </c>
      <c r="E18">
        <v>37</v>
      </c>
      <c r="G18">
        <v>9</v>
      </c>
      <c r="J18">
        <v>51</v>
      </c>
    </row>
    <row r="19" spans="1:10" x14ac:dyDescent="0.2">
      <c r="A19" s="16" t="s">
        <v>6797</v>
      </c>
      <c r="E19">
        <v>1</v>
      </c>
      <c r="J19">
        <v>1</v>
      </c>
    </row>
    <row r="20" spans="1:10" x14ac:dyDescent="0.2">
      <c r="A20" s="16" t="s">
        <v>4260</v>
      </c>
      <c r="E20">
        <v>1</v>
      </c>
      <c r="J20">
        <v>1</v>
      </c>
    </row>
    <row r="21" spans="1:10" x14ac:dyDescent="0.2">
      <c r="A21" s="16" t="s">
        <v>3091</v>
      </c>
      <c r="E21">
        <v>1</v>
      </c>
      <c r="J21">
        <v>1</v>
      </c>
    </row>
    <row r="22" spans="1:10" x14ac:dyDescent="0.2">
      <c r="A22" s="16" t="s">
        <v>127</v>
      </c>
      <c r="C22">
        <v>9</v>
      </c>
      <c r="E22">
        <v>40</v>
      </c>
      <c r="F22">
        <v>14</v>
      </c>
      <c r="G22">
        <v>50</v>
      </c>
      <c r="H22">
        <v>2</v>
      </c>
      <c r="J22">
        <v>115</v>
      </c>
    </row>
    <row r="23" spans="1:10" x14ac:dyDescent="0.2">
      <c r="A23" s="16" t="s">
        <v>7124</v>
      </c>
      <c r="E23">
        <v>1</v>
      </c>
      <c r="J23">
        <v>1</v>
      </c>
    </row>
    <row r="24" spans="1:10" x14ac:dyDescent="0.2">
      <c r="A24" s="16" t="s">
        <v>185</v>
      </c>
      <c r="D24">
        <v>8</v>
      </c>
      <c r="E24">
        <v>17</v>
      </c>
      <c r="G24">
        <v>1</v>
      </c>
      <c r="J24">
        <v>26</v>
      </c>
    </row>
    <row r="25" spans="1:10" x14ac:dyDescent="0.2">
      <c r="A25" s="16" t="s">
        <v>820</v>
      </c>
      <c r="C25">
        <v>1</v>
      </c>
      <c r="E25">
        <v>2</v>
      </c>
      <c r="G25">
        <v>10</v>
      </c>
      <c r="J25">
        <v>13</v>
      </c>
    </row>
    <row r="26" spans="1:10" x14ac:dyDescent="0.2">
      <c r="A26" s="16" t="s">
        <v>3263</v>
      </c>
      <c r="E26">
        <v>2</v>
      </c>
      <c r="J26">
        <v>2</v>
      </c>
    </row>
    <row r="27" spans="1:10" x14ac:dyDescent="0.2">
      <c r="A27" s="16" t="s">
        <v>167</v>
      </c>
      <c r="B27">
        <v>2</v>
      </c>
      <c r="D27">
        <v>13</v>
      </c>
      <c r="E27">
        <v>15</v>
      </c>
      <c r="G27">
        <v>8</v>
      </c>
      <c r="J27">
        <v>38</v>
      </c>
    </row>
    <row r="28" spans="1:10" x14ac:dyDescent="0.2">
      <c r="A28" s="16" t="s">
        <v>3492</v>
      </c>
      <c r="E28">
        <v>2</v>
      </c>
      <c r="J28">
        <v>2</v>
      </c>
    </row>
    <row r="29" spans="1:10" x14ac:dyDescent="0.2">
      <c r="A29" s="16" t="s">
        <v>4339</v>
      </c>
      <c r="G29">
        <v>1</v>
      </c>
      <c r="J29">
        <v>1</v>
      </c>
    </row>
    <row r="30" spans="1:10" x14ac:dyDescent="0.2">
      <c r="A30" s="16" t="s">
        <v>3350</v>
      </c>
      <c r="E30">
        <v>1</v>
      </c>
      <c r="J30">
        <v>1</v>
      </c>
    </row>
    <row r="31" spans="1:10" x14ac:dyDescent="0.2">
      <c r="A31" s="16" t="s">
        <v>434</v>
      </c>
      <c r="D31">
        <v>15</v>
      </c>
      <c r="E31">
        <v>23</v>
      </c>
      <c r="G31">
        <v>8</v>
      </c>
      <c r="J31">
        <v>46</v>
      </c>
    </row>
    <row r="32" spans="1:10" x14ac:dyDescent="0.2">
      <c r="A32" s="16" t="s">
        <v>4328</v>
      </c>
      <c r="F32">
        <v>1</v>
      </c>
      <c r="G32">
        <v>4</v>
      </c>
      <c r="J32">
        <v>5</v>
      </c>
    </row>
    <row r="33" spans="1:10" x14ac:dyDescent="0.2">
      <c r="A33" s="16" t="s">
        <v>64</v>
      </c>
      <c r="B33">
        <v>2</v>
      </c>
      <c r="C33">
        <v>19</v>
      </c>
      <c r="E33">
        <v>33</v>
      </c>
      <c r="F33">
        <v>9</v>
      </c>
      <c r="G33">
        <v>19</v>
      </c>
      <c r="H33">
        <v>4</v>
      </c>
      <c r="J33">
        <v>86</v>
      </c>
    </row>
    <row r="34" spans="1:10" x14ac:dyDescent="0.2">
      <c r="A34" s="16" t="s">
        <v>4853</v>
      </c>
      <c r="G34">
        <v>1</v>
      </c>
      <c r="J34">
        <v>1</v>
      </c>
    </row>
    <row r="35" spans="1:10" x14ac:dyDescent="0.2">
      <c r="A35" s="16" t="s">
        <v>3432</v>
      </c>
      <c r="E35">
        <v>1</v>
      </c>
      <c r="J35">
        <v>1</v>
      </c>
    </row>
    <row r="36" spans="1:10" x14ac:dyDescent="0.2">
      <c r="A36" s="16" t="s">
        <v>3649</v>
      </c>
      <c r="E36">
        <v>12</v>
      </c>
      <c r="G36">
        <v>5</v>
      </c>
      <c r="J36">
        <v>17</v>
      </c>
    </row>
    <row r="37" spans="1:10" x14ac:dyDescent="0.2">
      <c r="A37" s="16" t="s">
        <v>4185</v>
      </c>
      <c r="E37">
        <v>2</v>
      </c>
      <c r="J37">
        <v>2</v>
      </c>
    </row>
    <row r="38" spans="1:10" x14ac:dyDescent="0.2">
      <c r="A38" s="16" t="s">
        <v>4308</v>
      </c>
      <c r="G38">
        <v>1</v>
      </c>
      <c r="J38">
        <v>1</v>
      </c>
    </row>
    <row r="39" spans="1:10" x14ac:dyDescent="0.2">
      <c r="A39" s="16" t="s">
        <v>5582</v>
      </c>
      <c r="E39">
        <v>2</v>
      </c>
      <c r="J39">
        <v>2</v>
      </c>
    </row>
    <row r="40" spans="1:10" x14ac:dyDescent="0.2">
      <c r="A40" s="16" t="s">
        <v>270</v>
      </c>
      <c r="C40">
        <v>5</v>
      </c>
      <c r="E40">
        <v>35</v>
      </c>
      <c r="F40">
        <v>4</v>
      </c>
      <c r="G40">
        <v>6</v>
      </c>
      <c r="J40">
        <v>50</v>
      </c>
    </row>
    <row r="41" spans="1:10" x14ac:dyDescent="0.2">
      <c r="A41" s="16" t="s">
        <v>313</v>
      </c>
      <c r="E41">
        <v>12</v>
      </c>
      <c r="G41">
        <v>8</v>
      </c>
      <c r="J41">
        <v>20</v>
      </c>
    </row>
    <row r="42" spans="1:10" x14ac:dyDescent="0.2">
      <c r="A42" s="16" t="s">
        <v>4318</v>
      </c>
      <c r="D42">
        <v>1</v>
      </c>
      <c r="E42">
        <v>7</v>
      </c>
      <c r="G42">
        <v>3</v>
      </c>
      <c r="J42">
        <v>11</v>
      </c>
    </row>
    <row r="43" spans="1:10" x14ac:dyDescent="0.2">
      <c r="A43" s="16" t="s">
        <v>4226</v>
      </c>
      <c r="G43">
        <v>5</v>
      </c>
      <c r="J43">
        <v>5</v>
      </c>
    </row>
    <row r="44" spans="1:10" x14ac:dyDescent="0.2">
      <c r="A44" s="16" t="s">
        <v>3476</v>
      </c>
      <c r="E44">
        <v>2</v>
      </c>
      <c r="G44">
        <v>2</v>
      </c>
      <c r="J44">
        <v>4</v>
      </c>
    </row>
    <row r="45" spans="1:10" x14ac:dyDescent="0.2">
      <c r="A45" s="16" t="s">
        <v>355</v>
      </c>
      <c r="D45">
        <v>12</v>
      </c>
      <c r="J45">
        <v>12</v>
      </c>
    </row>
    <row r="46" spans="1:10" x14ac:dyDescent="0.2">
      <c r="A46" s="16" t="s">
        <v>7133</v>
      </c>
      <c r="H46">
        <v>1</v>
      </c>
      <c r="J46">
        <v>1</v>
      </c>
    </row>
    <row r="47" spans="1:10" x14ac:dyDescent="0.2">
      <c r="A47" s="16" t="s">
        <v>7178</v>
      </c>
      <c r="C47">
        <v>1</v>
      </c>
      <c r="E47">
        <v>23</v>
      </c>
      <c r="F47">
        <v>6</v>
      </c>
      <c r="G47">
        <v>5</v>
      </c>
      <c r="J47">
        <v>35</v>
      </c>
    </row>
    <row r="48" spans="1:10" x14ac:dyDescent="0.2">
      <c r="A48" s="16" t="s">
        <v>7174</v>
      </c>
    </row>
    <row r="49" spans="1:10" x14ac:dyDescent="0.2">
      <c r="A49" s="16" t="s">
        <v>7175</v>
      </c>
      <c r="B49">
        <v>4</v>
      </c>
      <c r="C49">
        <v>40</v>
      </c>
      <c r="D49">
        <v>49</v>
      </c>
      <c r="E49">
        <v>273</v>
      </c>
      <c r="F49">
        <v>34</v>
      </c>
      <c r="G49">
        <v>180</v>
      </c>
      <c r="H49">
        <v>8</v>
      </c>
      <c r="J49">
        <v>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590"/>
  <sheetViews>
    <sheetView workbookViewId="0">
      <selection activeCell="K365" sqref="A1:BE590"/>
    </sheetView>
  </sheetViews>
  <sheetFormatPr baseColWidth="10" defaultColWidth="8.83203125" defaultRowHeight="15" x14ac:dyDescent="0.2"/>
  <cols>
    <col min="1" max="1" width="16.5" customWidth="1"/>
    <col min="2" max="2" width="17" customWidth="1"/>
    <col min="3" max="3" width="27.83203125" customWidth="1"/>
    <col min="4" max="4" width="18.1640625" customWidth="1"/>
    <col min="5" max="5" width="18.5" customWidth="1"/>
    <col min="6" max="6" width="18.1640625" customWidth="1"/>
    <col min="9" max="10" width="18.5" customWidth="1"/>
    <col min="18" max="18" width="22" customWidth="1"/>
    <col min="19" max="19" width="31.5" customWidth="1"/>
    <col min="22" max="22" width="52" customWidth="1"/>
    <col min="24" max="24" width="16.83203125" customWidth="1"/>
    <col min="25" max="26" width="18.33203125" customWidth="1"/>
    <col min="27" max="27" width="13.5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7166</v>
      </c>
      <c r="N1" t="s">
        <v>7171</v>
      </c>
      <c r="O1" s="1" t="s">
        <v>12</v>
      </c>
      <c r="P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t="s">
        <v>21</v>
      </c>
      <c r="Y1" t="s">
        <v>22</v>
      </c>
      <c r="Z1" t="s">
        <v>5</v>
      </c>
      <c r="AA1" t="s">
        <v>23</v>
      </c>
      <c r="AB1" t="s">
        <v>24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</row>
    <row r="2" spans="1:57" hidden="1" x14ac:dyDescent="0.2">
      <c r="A2" t="s">
        <v>53</v>
      </c>
      <c r="B2" t="s">
        <v>53</v>
      </c>
      <c r="C2" t="s">
        <v>54</v>
      </c>
      <c r="D2" t="s">
        <v>55</v>
      </c>
      <c r="E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60</v>
      </c>
      <c r="M2" t="s">
        <v>60</v>
      </c>
      <c r="N2" t="str">
        <f>M2</f>
        <v>Flour</v>
      </c>
      <c r="O2" s="1" t="s">
        <v>61</v>
      </c>
      <c r="P2" t="s">
        <v>62</v>
      </c>
      <c r="Q2" s="1" t="s">
        <v>63</v>
      </c>
      <c r="R2" s="1" t="s">
        <v>64</v>
      </c>
      <c r="S2" s="1" t="s">
        <v>65</v>
      </c>
      <c r="T2" s="1">
        <v>655</v>
      </c>
      <c r="U2" s="1">
        <v>1692</v>
      </c>
      <c r="V2" s="1" t="s">
        <v>62</v>
      </c>
      <c r="W2" s="1" t="e">
        <v>#N/A</v>
      </c>
      <c r="X2" t="s">
        <v>66</v>
      </c>
      <c r="Y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>
        <v>2017</v>
      </c>
      <c r="AR2">
        <v>105664</v>
      </c>
      <c r="AS2">
        <v>5188081</v>
      </c>
      <c r="AT2">
        <v>227</v>
      </c>
      <c r="AU2" t="s">
        <v>84</v>
      </c>
      <c r="AV2">
        <v>562</v>
      </c>
      <c r="AW2" t="s">
        <v>85</v>
      </c>
      <c r="AX2" t="s">
        <v>86</v>
      </c>
      <c r="AY2">
        <v>562</v>
      </c>
      <c r="AZ2" t="s">
        <v>87</v>
      </c>
      <c r="BA2" t="s">
        <v>88</v>
      </c>
      <c r="BC2" t="s">
        <v>89</v>
      </c>
      <c r="BD2">
        <v>3</v>
      </c>
      <c r="BE2">
        <v>3</v>
      </c>
    </row>
    <row r="3" spans="1:57" hidden="1" x14ac:dyDescent="0.2">
      <c r="A3" t="s">
        <v>90</v>
      </c>
      <c r="B3" t="s">
        <v>90</v>
      </c>
      <c r="C3" t="s">
        <v>91</v>
      </c>
      <c r="D3" t="s">
        <v>92</v>
      </c>
      <c r="E3" t="s">
        <v>92</v>
      </c>
      <c r="G3" t="s">
        <v>56</v>
      </c>
      <c r="H3" t="s">
        <v>57</v>
      </c>
      <c r="I3" t="s">
        <v>93</v>
      </c>
      <c r="J3">
        <v>0</v>
      </c>
      <c r="K3" t="s">
        <v>94</v>
      </c>
      <c r="L3" t="s">
        <v>94</v>
      </c>
      <c r="M3" t="s">
        <v>60</v>
      </c>
      <c r="N3" t="str">
        <f t="shared" ref="N3:N5" si="0">M3</f>
        <v>Flour</v>
      </c>
      <c r="O3" s="1" t="s">
        <v>95</v>
      </c>
      <c r="P3" t="s">
        <v>96</v>
      </c>
      <c r="Q3" s="1" t="s">
        <v>97</v>
      </c>
      <c r="R3" s="1" t="s">
        <v>64</v>
      </c>
      <c r="S3" s="1" t="s">
        <v>98</v>
      </c>
      <c r="T3" s="1">
        <v>4496</v>
      </c>
      <c r="U3" s="1">
        <v>33427</v>
      </c>
      <c r="V3" s="1" t="e">
        <v>#N/A</v>
      </c>
      <c r="W3" s="1" t="e">
        <v>#N/A</v>
      </c>
      <c r="X3" t="s">
        <v>99</v>
      </c>
      <c r="Y3" t="s">
        <v>100</v>
      </c>
      <c r="AA3" t="s">
        <v>68</v>
      </c>
      <c r="AB3" t="s">
        <v>101</v>
      </c>
      <c r="AC3" t="s">
        <v>102</v>
      </c>
      <c r="AD3" t="s">
        <v>103</v>
      </c>
      <c r="AE3" t="s">
        <v>104</v>
      </c>
      <c r="AF3" t="s">
        <v>73</v>
      </c>
      <c r="AG3" t="s">
        <v>105</v>
      </c>
      <c r="AH3" t="s">
        <v>75</v>
      </c>
      <c r="AI3" t="s">
        <v>76</v>
      </c>
      <c r="AJ3" t="s">
        <v>77</v>
      </c>
      <c r="AK3" t="s">
        <v>106</v>
      </c>
      <c r="AL3" t="s">
        <v>107</v>
      </c>
      <c r="AM3" t="s">
        <v>80</v>
      </c>
      <c r="AN3" t="s">
        <v>81</v>
      </c>
      <c r="AO3" t="s">
        <v>82</v>
      </c>
      <c r="AP3" t="s">
        <v>83</v>
      </c>
      <c r="AQ3">
        <v>2017</v>
      </c>
      <c r="AR3">
        <v>206403</v>
      </c>
      <c r="AS3">
        <v>4959509</v>
      </c>
      <c r="AT3">
        <v>57</v>
      </c>
      <c r="AU3" t="s">
        <v>84</v>
      </c>
      <c r="AV3">
        <v>562</v>
      </c>
      <c r="AW3" t="s">
        <v>85</v>
      </c>
      <c r="AX3" t="s">
        <v>86</v>
      </c>
      <c r="AY3">
        <v>562</v>
      </c>
      <c r="AZ3" t="s">
        <v>108</v>
      </c>
      <c r="BA3" t="s">
        <v>88</v>
      </c>
      <c r="BC3" t="s">
        <v>109</v>
      </c>
      <c r="BD3">
        <v>0</v>
      </c>
      <c r="BE3">
        <v>27</v>
      </c>
    </row>
    <row r="4" spans="1:57" hidden="1" x14ac:dyDescent="0.2">
      <c r="A4" t="s">
        <v>110</v>
      </c>
      <c r="B4" t="s">
        <v>110</v>
      </c>
      <c r="C4" t="s">
        <v>111</v>
      </c>
      <c r="D4" t="s">
        <v>112</v>
      </c>
      <c r="E4" t="s">
        <v>112</v>
      </c>
      <c r="G4" t="s">
        <v>56</v>
      </c>
      <c r="H4" t="s">
        <v>57</v>
      </c>
      <c r="I4" t="s">
        <v>93</v>
      </c>
      <c r="J4">
        <v>0</v>
      </c>
      <c r="K4" t="s">
        <v>60</v>
      </c>
      <c r="L4" t="s">
        <v>60</v>
      </c>
      <c r="M4" t="s">
        <v>60</v>
      </c>
      <c r="N4" t="str">
        <f t="shared" si="0"/>
        <v>Flour</v>
      </c>
      <c r="O4" s="1" t="s">
        <v>95</v>
      </c>
      <c r="P4" t="s">
        <v>96</v>
      </c>
      <c r="Q4" s="1" t="s">
        <v>97</v>
      </c>
      <c r="R4" s="1" t="s">
        <v>64</v>
      </c>
      <c r="S4" s="1" t="s">
        <v>98</v>
      </c>
      <c r="T4" s="1">
        <v>4496</v>
      </c>
      <c r="U4" s="1">
        <v>33427</v>
      </c>
      <c r="V4" s="1" t="e">
        <v>#N/A</v>
      </c>
      <c r="W4" s="1" t="e">
        <v>#N/A</v>
      </c>
      <c r="X4" t="s">
        <v>113</v>
      </c>
      <c r="Y4" t="s">
        <v>114</v>
      </c>
      <c r="AA4" t="s">
        <v>68</v>
      </c>
      <c r="AB4" t="s">
        <v>115</v>
      </c>
      <c r="AC4" t="s">
        <v>116</v>
      </c>
      <c r="AD4" t="s">
        <v>117</v>
      </c>
      <c r="AE4" t="s">
        <v>118</v>
      </c>
      <c r="AF4" t="s">
        <v>73</v>
      </c>
      <c r="AG4" t="s">
        <v>119</v>
      </c>
      <c r="AH4" t="s">
        <v>75</v>
      </c>
      <c r="AI4" t="s">
        <v>76</v>
      </c>
      <c r="AJ4" t="s">
        <v>77</v>
      </c>
      <c r="AK4" t="s">
        <v>106</v>
      </c>
      <c r="AL4" t="s">
        <v>107</v>
      </c>
      <c r="AM4" t="s">
        <v>80</v>
      </c>
      <c r="AN4" t="s">
        <v>81</v>
      </c>
      <c r="AO4" t="s">
        <v>82</v>
      </c>
      <c r="AP4" t="s">
        <v>83</v>
      </c>
      <c r="AQ4">
        <v>2017</v>
      </c>
      <c r="AR4">
        <v>151090</v>
      </c>
      <c r="AS4">
        <v>4877617</v>
      </c>
      <c r="AT4">
        <v>100</v>
      </c>
      <c r="AU4" t="s">
        <v>84</v>
      </c>
      <c r="AV4">
        <v>562</v>
      </c>
      <c r="AW4" t="s">
        <v>85</v>
      </c>
      <c r="AX4" t="s">
        <v>86</v>
      </c>
      <c r="AY4">
        <v>562</v>
      </c>
      <c r="AZ4" t="s">
        <v>120</v>
      </c>
      <c r="BA4" t="s">
        <v>88</v>
      </c>
      <c r="BC4" t="s">
        <v>109</v>
      </c>
      <c r="BD4">
        <v>0</v>
      </c>
      <c r="BE4">
        <v>27</v>
      </c>
    </row>
    <row r="5" spans="1:57" hidden="1" x14ac:dyDescent="0.2">
      <c r="A5" t="s">
        <v>121</v>
      </c>
      <c r="B5" t="s">
        <v>121</v>
      </c>
      <c r="C5" t="s">
        <v>122</v>
      </c>
      <c r="D5" t="s">
        <v>123</v>
      </c>
      <c r="E5" t="s">
        <v>123</v>
      </c>
      <c r="G5" t="s">
        <v>56</v>
      </c>
      <c r="H5" t="s">
        <v>57</v>
      </c>
      <c r="I5" t="s">
        <v>93</v>
      </c>
      <c r="J5">
        <v>0</v>
      </c>
      <c r="K5" t="s">
        <v>94</v>
      </c>
      <c r="L5" t="s">
        <v>94</v>
      </c>
      <c r="M5" t="s">
        <v>60</v>
      </c>
      <c r="N5" t="str">
        <f t="shared" si="0"/>
        <v>Flour</v>
      </c>
      <c r="O5" s="1" t="s">
        <v>124</v>
      </c>
      <c r="P5" t="s">
        <v>125</v>
      </c>
      <c r="Q5" s="1" t="s">
        <v>126</v>
      </c>
      <c r="R5" s="1" t="s">
        <v>127</v>
      </c>
      <c r="S5" s="1" t="s">
        <v>128</v>
      </c>
      <c r="T5" s="1">
        <v>154</v>
      </c>
      <c r="U5" s="1">
        <v>30050</v>
      </c>
      <c r="V5" s="1" t="e">
        <v>#N/A</v>
      </c>
      <c r="W5" s="1" t="e">
        <v>#N/A</v>
      </c>
      <c r="X5" t="s">
        <v>129</v>
      </c>
      <c r="Y5" t="s">
        <v>130</v>
      </c>
      <c r="AA5" t="s">
        <v>68</v>
      </c>
      <c r="AB5" t="s">
        <v>131</v>
      </c>
      <c r="AC5" t="s">
        <v>132</v>
      </c>
      <c r="AD5" t="s">
        <v>133</v>
      </c>
      <c r="AE5" t="s">
        <v>72</v>
      </c>
      <c r="AF5" t="s">
        <v>73</v>
      </c>
      <c r="AG5" t="s">
        <v>134</v>
      </c>
      <c r="AH5" t="s">
        <v>75</v>
      </c>
      <c r="AI5" t="s">
        <v>76</v>
      </c>
      <c r="AJ5" t="s">
        <v>77</v>
      </c>
      <c r="AK5" t="s">
        <v>135</v>
      </c>
      <c r="AL5" t="s">
        <v>107</v>
      </c>
      <c r="AM5" t="s">
        <v>80</v>
      </c>
      <c r="AN5" t="s">
        <v>81</v>
      </c>
      <c r="AO5" t="s">
        <v>82</v>
      </c>
      <c r="AP5" t="s">
        <v>83</v>
      </c>
      <c r="AQ5">
        <v>2017</v>
      </c>
      <c r="AR5">
        <v>172057</v>
      </c>
      <c r="AS5">
        <v>4952512</v>
      </c>
      <c r="AT5">
        <v>106</v>
      </c>
      <c r="AU5" t="s">
        <v>84</v>
      </c>
      <c r="AV5">
        <v>562</v>
      </c>
      <c r="AW5" t="s">
        <v>85</v>
      </c>
      <c r="AX5" t="s">
        <v>86</v>
      </c>
      <c r="AY5">
        <v>562</v>
      </c>
      <c r="AZ5" t="s">
        <v>136</v>
      </c>
      <c r="BA5" t="s">
        <v>88</v>
      </c>
    </row>
    <row r="6" spans="1:57" hidden="1" x14ac:dyDescent="0.2">
      <c r="A6" t="s">
        <v>137</v>
      </c>
      <c r="B6" t="s">
        <v>137</v>
      </c>
      <c r="C6" t="s">
        <v>138</v>
      </c>
      <c r="D6" t="s">
        <v>139</v>
      </c>
      <c r="E6" t="s">
        <v>139</v>
      </c>
      <c r="G6" t="s">
        <v>56</v>
      </c>
      <c r="H6" t="s">
        <v>57</v>
      </c>
      <c r="I6" t="s">
        <v>93</v>
      </c>
      <c r="J6">
        <v>0</v>
      </c>
      <c r="K6" t="s">
        <v>140</v>
      </c>
      <c r="L6" t="s">
        <v>141</v>
      </c>
      <c r="M6" t="s">
        <v>7165</v>
      </c>
      <c r="N6" t="s">
        <v>7165</v>
      </c>
      <c r="O6" s="1" t="s">
        <v>142</v>
      </c>
      <c r="P6" t="s">
        <v>143</v>
      </c>
      <c r="Q6" s="1" t="s">
        <v>144</v>
      </c>
      <c r="R6" s="1" t="s">
        <v>64</v>
      </c>
      <c r="S6" s="1" t="s">
        <v>145</v>
      </c>
      <c r="T6" s="1">
        <v>332</v>
      </c>
      <c r="U6" s="1">
        <v>52369</v>
      </c>
      <c r="V6" s="1" t="s">
        <v>146</v>
      </c>
      <c r="W6" s="1">
        <v>15701181</v>
      </c>
      <c r="X6" t="s">
        <v>147</v>
      </c>
      <c r="Y6" t="s">
        <v>148</v>
      </c>
      <c r="AA6" t="s">
        <v>68</v>
      </c>
      <c r="AB6" t="s">
        <v>149</v>
      </c>
      <c r="AC6" t="s">
        <v>150</v>
      </c>
      <c r="AD6" t="s">
        <v>151</v>
      </c>
      <c r="AE6" t="s">
        <v>152</v>
      </c>
      <c r="AF6" t="s">
        <v>73</v>
      </c>
      <c r="AG6" t="s">
        <v>153</v>
      </c>
      <c r="AH6" t="s">
        <v>154</v>
      </c>
      <c r="AI6" t="s">
        <v>76</v>
      </c>
      <c r="AJ6" t="s">
        <v>77</v>
      </c>
      <c r="AK6" t="s">
        <v>155</v>
      </c>
      <c r="AL6" t="s">
        <v>156</v>
      </c>
      <c r="AM6" t="s">
        <v>157</v>
      </c>
      <c r="AN6" t="s">
        <v>158</v>
      </c>
      <c r="AO6" t="s">
        <v>159</v>
      </c>
      <c r="AP6" t="s">
        <v>83</v>
      </c>
      <c r="AQ6">
        <v>2017</v>
      </c>
      <c r="AR6">
        <v>134508</v>
      </c>
      <c r="AS6">
        <v>5237255</v>
      </c>
      <c r="AT6">
        <v>193</v>
      </c>
      <c r="AU6" t="s">
        <v>84</v>
      </c>
      <c r="AV6">
        <v>562</v>
      </c>
      <c r="AW6" t="s">
        <v>85</v>
      </c>
      <c r="AX6" t="s">
        <v>86</v>
      </c>
      <c r="AY6">
        <v>562</v>
      </c>
      <c r="AZ6" t="s">
        <v>160</v>
      </c>
      <c r="BA6" t="s">
        <v>88</v>
      </c>
    </row>
    <row r="7" spans="1:57" hidden="1" x14ac:dyDescent="0.2">
      <c r="A7" t="s">
        <v>161</v>
      </c>
      <c r="B7" t="s">
        <v>161</v>
      </c>
      <c r="C7" t="s">
        <v>162</v>
      </c>
      <c r="D7" t="s">
        <v>163</v>
      </c>
      <c r="E7" t="s">
        <v>163</v>
      </c>
      <c r="G7" t="s">
        <v>56</v>
      </c>
      <c r="H7" t="s">
        <v>57</v>
      </c>
      <c r="I7" t="s">
        <v>93</v>
      </c>
      <c r="J7">
        <v>0</v>
      </c>
      <c r="K7" t="s">
        <v>60</v>
      </c>
      <c r="L7" t="s">
        <v>60</v>
      </c>
      <c r="M7" t="s">
        <v>60</v>
      </c>
      <c r="N7" t="s">
        <v>7165</v>
      </c>
      <c r="O7" s="1" t="s">
        <v>164</v>
      </c>
      <c r="P7" t="s">
        <v>165</v>
      </c>
      <c r="Q7" s="1" t="s">
        <v>166</v>
      </c>
      <c r="R7" s="1" t="s">
        <v>167</v>
      </c>
      <c r="S7" s="1" t="s">
        <v>168</v>
      </c>
      <c r="T7" s="1">
        <v>642</v>
      </c>
      <c r="U7" s="1">
        <v>30022</v>
      </c>
      <c r="V7" s="1" t="s">
        <v>169</v>
      </c>
      <c r="W7" s="1" t="s">
        <v>170</v>
      </c>
      <c r="X7" t="s">
        <v>171</v>
      </c>
      <c r="Y7" t="s">
        <v>172</v>
      </c>
      <c r="AA7" t="s">
        <v>68</v>
      </c>
      <c r="AB7" t="s">
        <v>173</v>
      </c>
      <c r="AC7" t="s">
        <v>174</v>
      </c>
      <c r="AD7" t="s">
        <v>175</v>
      </c>
      <c r="AE7" t="s">
        <v>104</v>
      </c>
      <c r="AF7" t="s">
        <v>73</v>
      </c>
      <c r="AG7" t="s">
        <v>176</v>
      </c>
      <c r="AH7" t="s">
        <v>75</v>
      </c>
      <c r="AI7" t="s">
        <v>76</v>
      </c>
      <c r="AJ7" t="s">
        <v>77</v>
      </c>
      <c r="AK7" t="s">
        <v>177</v>
      </c>
      <c r="AL7" t="s">
        <v>107</v>
      </c>
      <c r="AM7" t="s">
        <v>80</v>
      </c>
      <c r="AN7" t="s">
        <v>81</v>
      </c>
      <c r="AO7" t="s">
        <v>82</v>
      </c>
      <c r="AP7" t="s">
        <v>83</v>
      </c>
      <c r="AQ7">
        <v>2017</v>
      </c>
      <c r="AR7">
        <v>103713</v>
      </c>
      <c r="AS7">
        <v>4896546</v>
      </c>
      <c r="AT7">
        <v>159</v>
      </c>
      <c r="AU7" t="s">
        <v>84</v>
      </c>
      <c r="AV7">
        <v>562</v>
      </c>
      <c r="AW7" t="s">
        <v>85</v>
      </c>
      <c r="AX7" t="s">
        <v>86</v>
      </c>
      <c r="AY7">
        <v>562</v>
      </c>
      <c r="AZ7" t="s">
        <v>178</v>
      </c>
      <c r="BA7" t="s">
        <v>88</v>
      </c>
    </row>
    <row r="8" spans="1:57" hidden="1" x14ac:dyDescent="0.2">
      <c r="A8" t="s">
        <v>179</v>
      </c>
      <c r="B8" t="s">
        <v>179</v>
      </c>
      <c r="C8" t="s">
        <v>180</v>
      </c>
      <c r="D8" t="s">
        <v>181</v>
      </c>
      <c r="E8" t="s">
        <v>181</v>
      </c>
      <c r="G8" t="s">
        <v>56</v>
      </c>
      <c r="H8" t="s">
        <v>57</v>
      </c>
      <c r="I8" t="s">
        <v>93</v>
      </c>
      <c r="J8">
        <v>0</v>
      </c>
      <c r="K8" t="s">
        <v>140</v>
      </c>
      <c r="L8" t="s">
        <v>182</v>
      </c>
      <c r="M8" t="s">
        <v>7165</v>
      </c>
      <c r="N8" t="s">
        <v>7165</v>
      </c>
      <c r="O8" s="1" t="s">
        <v>183</v>
      </c>
      <c r="P8" t="s">
        <v>184</v>
      </c>
      <c r="Q8" s="1" t="s">
        <v>126</v>
      </c>
      <c r="R8" s="1" t="s">
        <v>185</v>
      </c>
      <c r="S8" s="1" t="s">
        <v>186</v>
      </c>
      <c r="T8" s="1">
        <v>33</v>
      </c>
      <c r="U8" s="1">
        <v>1587</v>
      </c>
      <c r="V8" s="1" t="s">
        <v>169</v>
      </c>
      <c r="W8" s="1">
        <v>10444065</v>
      </c>
      <c r="X8" t="s">
        <v>187</v>
      </c>
      <c r="Y8" t="s">
        <v>188</v>
      </c>
      <c r="AA8" t="s">
        <v>68</v>
      </c>
      <c r="AB8" t="s">
        <v>189</v>
      </c>
      <c r="AC8" t="s">
        <v>190</v>
      </c>
      <c r="AD8" t="s">
        <v>191</v>
      </c>
      <c r="AE8" t="s">
        <v>192</v>
      </c>
      <c r="AF8" t="s">
        <v>73</v>
      </c>
      <c r="AG8" t="s">
        <v>193</v>
      </c>
      <c r="AH8" t="s">
        <v>75</v>
      </c>
      <c r="AI8" t="s">
        <v>76</v>
      </c>
      <c r="AJ8" t="s">
        <v>77</v>
      </c>
      <c r="AK8" t="s">
        <v>194</v>
      </c>
      <c r="AL8" t="s">
        <v>156</v>
      </c>
      <c r="AM8" t="s">
        <v>80</v>
      </c>
      <c r="AN8" t="s">
        <v>81</v>
      </c>
      <c r="AO8" t="s">
        <v>82</v>
      </c>
      <c r="AP8" t="s">
        <v>83</v>
      </c>
      <c r="AQ8">
        <v>2017</v>
      </c>
      <c r="AR8">
        <v>92714</v>
      </c>
      <c r="AS8">
        <v>5601842</v>
      </c>
      <c r="AT8">
        <v>370</v>
      </c>
      <c r="AU8" t="s">
        <v>84</v>
      </c>
      <c r="AV8">
        <v>562</v>
      </c>
      <c r="AW8" t="s">
        <v>85</v>
      </c>
      <c r="AX8" t="s">
        <v>86</v>
      </c>
      <c r="AY8">
        <v>562</v>
      </c>
      <c r="AZ8" t="s">
        <v>195</v>
      </c>
      <c r="BA8" t="s">
        <v>88</v>
      </c>
    </row>
    <row r="9" spans="1:57" hidden="1" x14ac:dyDescent="0.2">
      <c r="A9" t="s">
        <v>196</v>
      </c>
      <c r="B9" t="s">
        <v>196</v>
      </c>
      <c r="C9" t="s">
        <v>54</v>
      </c>
      <c r="D9" t="s">
        <v>197</v>
      </c>
      <c r="E9" t="s">
        <v>197</v>
      </c>
      <c r="G9" t="s">
        <v>56</v>
      </c>
      <c r="H9" t="s">
        <v>57</v>
      </c>
      <c r="I9" t="s">
        <v>93</v>
      </c>
      <c r="J9">
        <v>0</v>
      </c>
      <c r="K9" t="s">
        <v>60</v>
      </c>
      <c r="L9" t="s">
        <v>60</v>
      </c>
      <c r="M9" t="s">
        <v>60</v>
      </c>
      <c r="N9" t="s">
        <v>7165</v>
      </c>
      <c r="O9" s="1" t="s">
        <v>95</v>
      </c>
      <c r="P9" t="s">
        <v>198</v>
      </c>
      <c r="Q9" s="1" t="s">
        <v>97</v>
      </c>
      <c r="R9" s="1" t="s">
        <v>64</v>
      </c>
      <c r="S9" s="1" t="s">
        <v>98</v>
      </c>
      <c r="T9" s="1">
        <v>4496</v>
      </c>
      <c r="U9" s="1">
        <v>33427</v>
      </c>
      <c r="V9" s="1" t="s">
        <v>169</v>
      </c>
      <c r="W9" s="1">
        <v>9360778</v>
      </c>
      <c r="X9" t="s">
        <v>199</v>
      </c>
      <c r="Y9" t="s">
        <v>200</v>
      </c>
      <c r="AA9" t="s">
        <v>68</v>
      </c>
      <c r="AB9" t="s">
        <v>201</v>
      </c>
      <c r="AC9" t="s">
        <v>202</v>
      </c>
      <c r="AD9" t="s">
        <v>203</v>
      </c>
      <c r="AE9" t="s">
        <v>104</v>
      </c>
      <c r="AF9" t="s">
        <v>73</v>
      </c>
      <c r="AG9" t="s">
        <v>204</v>
      </c>
      <c r="AH9" t="s">
        <v>75</v>
      </c>
      <c r="AI9" t="s">
        <v>76</v>
      </c>
      <c r="AJ9" t="s">
        <v>77</v>
      </c>
      <c r="AK9" t="s">
        <v>106</v>
      </c>
      <c r="AL9" t="s">
        <v>107</v>
      </c>
      <c r="AM9" t="s">
        <v>80</v>
      </c>
      <c r="AN9" t="s">
        <v>81</v>
      </c>
      <c r="AO9" t="s">
        <v>82</v>
      </c>
      <c r="AP9" t="s">
        <v>83</v>
      </c>
      <c r="AQ9">
        <v>2017</v>
      </c>
      <c r="AR9">
        <v>193046</v>
      </c>
      <c r="AS9">
        <v>4997827</v>
      </c>
      <c r="AT9">
        <v>68</v>
      </c>
      <c r="AU9" t="s">
        <v>84</v>
      </c>
      <c r="AV9">
        <v>562</v>
      </c>
      <c r="AW9" t="s">
        <v>85</v>
      </c>
      <c r="AX9" t="s">
        <v>86</v>
      </c>
      <c r="AY9">
        <v>562</v>
      </c>
      <c r="AZ9" t="s">
        <v>205</v>
      </c>
      <c r="BA9" t="s">
        <v>88</v>
      </c>
      <c r="BC9" t="s">
        <v>109</v>
      </c>
      <c r="BD9">
        <v>1</v>
      </c>
      <c r="BE9">
        <v>29</v>
      </c>
    </row>
    <row r="10" spans="1:57" hidden="1" x14ac:dyDescent="0.2">
      <c r="A10" t="s">
        <v>206</v>
      </c>
      <c r="B10" t="s">
        <v>206</v>
      </c>
      <c r="C10" t="s">
        <v>180</v>
      </c>
      <c r="D10" t="s">
        <v>207</v>
      </c>
      <c r="E10" t="s">
        <v>207</v>
      </c>
      <c r="G10" t="s">
        <v>56</v>
      </c>
      <c r="H10" t="s">
        <v>57</v>
      </c>
      <c r="I10" t="s">
        <v>93</v>
      </c>
      <c r="J10">
        <v>0</v>
      </c>
      <c r="K10" t="s">
        <v>140</v>
      </c>
      <c r="L10" t="s">
        <v>182</v>
      </c>
      <c r="M10" t="s">
        <v>7165</v>
      </c>
      <c r="N10" t="s">
        <v>7165</v>
      </c>
      <c r="O10" s="1" t="s">
        <v>208</v>
      </c>
      <c r="P10" t="s">
        <v>209</v>
      </c>
      <c r="Q10" s="1" t="s">
        <v>166</v>
      </c>
      <c r="R10" s="1" t="s">
        <v>167</v>
      </c>
      <c r="S10" s="1" t="s">
        <v>210</v>
      </c>
      <c r="T10" s="1">
        <v>675</v>
      </c>
      <c r="U10" s="1">
        <v>14960</v>
      </c>
      <c r="V10" s="1" t="s">
        <v>169</v>
      </c>
      <c r="W10" s="1">
        <v>10444065</v>
      </c>
      <c r="X10" t="s">
        <v>211</v>
      </c>
      <c r="Y10" t="s">
        <v>212</v>
      </c>
      <c r="AA10" t="s">
        <v>68</v>
      </c>
      <c r="AB10" t="s">
        <v>213</v>
      </c>
      <c r="AC10" t="s">
        <v>214</v>
      </c>
      <c r="AD10" t="s">
        <v>215</v>
      </c>
      <c r="AE10" t="s">
        <v>192</v>
      </c>
      <c r="AF10" t="s">
        <v>73</v>
      </c>
      <c r="AG10" t="s">
        <v>216</v>
      </c>
      <c r="AH10" t="s">
        <v>75</v>
      </c>
      <c r="AI10" t="s">
        <v>76</v>
      </c>
      <c r="AJ10" t="s">
        <v>77</v>
      </c>
      <c r="AK10" t="s">
        <v>217</v>
      </c>
      <c r="AL10" t="s">
        <v>156</v>
      </c>
      <c r="AM10" t="s">
        <v>80</v>
      </c>
      <c r="AN10" t="s">
        <v>81</v>
      </c>
      <c r="AO10" t="s">
        <v>82</v>
      </c>
      <c r="AP10" t="s">
        <v>83</v>
      </c>
      <c r="AQ10">
        <v>2017</v>
      </c>
      <c r="AR10">
        <v>168481</v>
      </c>
      <c r="AS10">
        <v>5382874</v>
      </c>
      <c r="AT10">
        <v>144</v>
      </c>
      <c r="AU10" t="s">
        <v>84</v>
      </c>
      <c r="AV10">
        <v>562</v>
      </c>
      <c r="AW10" t="s">
        <v>85</v>
      </c>
      <c r="AX10" t="s">
        <v>86</v>
      </c>
      <c r="AY10">
        <v>562</v>
      </c>
      <c r="AZ10" t="s">
        <v>218</v>
      </c>
      <c r="BA10" t="s">
        <v>88</v>
      </c>
    </row>
    <row r="11" spans="1:57" hidden="1" x14ac:dyDescent="0.2">
      <c r="A11" t="s">
        <v>219</v>
      </c>
      <c r="B11" t="s">
        <v>219</v>
      </c>
      <c r="C11" t="s">
        <v>220</v>
      </c>
      <c r="D11" t="s">
        <v>221</v>
      </c>
      <c r="E11" t="s">
        <v>221</v>
      </c>
      <c r="G11" t="s">
        <v>56</v>
      </c>
      <c r="H11" t="s">
        <v>57</v>
      </c>
      <c r="I11" t="s">
        <v>93</v>
      </c>
      <c r="J11">
        <v>0</v>
      </c>
      <c r="K11" t="s">
        <v>60</v>
      </c>
      <c r="L11" t="s">
        <v>60</v>
      </c>
      <c r="M11" t="s">
        <v>60</v>
      </c>
      <c r="N11" t="s">
        <v>7165</v>
      </c>
      <c r="O11" s="1" t="s">
        <v>95</v>
      </c>
      <c r="P11" t="s">
        <v>222</v>
      </c>
      <c r="Q11" s="1" t="s">
        <v>97</v>
      </c>
      <c r="R11" s="1" t="s">
        <v>64</v>
      </c>
      <c r="S11" s="1" t="s">
        <v>98</v>
      </c>
      <c r="T11" s="1">
        <v>4496</v>
      </c>
      <c r="U11" s="1">
        <v>33427</v>
      </c>
      <c r="V11" s="1" t="s">
        <v>169</v>
      </c>
      <c r="W11" s="1">
        <v>9556556</v>
      </c>
      <c r="X11" t="s">
        <v>223</v>
      </c>
      <c r="Y11" t="s">
        <v>224</v>
      </c>
      <c r="AA11" t="s">
        <v>68</v>
      </c>
      <c r="AB11" t="s">
        <v>225</v>
      </c>
      <c r="AC11" t="s">
        <v>226</v>
      </c>
      <c r="AD11" t="s">
        <v>227</v>
      </c>
      <c r="AE11" t="s">
        <v>118</v>
      </c>
      <c r="AF11" t="s">
        <v>73</v>
      </c>
      <c r="AG11" t="s">
        <v>228</v>
      </c>
      <c r="AH11" t="s">
        <v>75</v>
      </c>
      <c r="AI11" t="s">
        <v>76</v>
      </c>
      <c r="AJ11" t="s">
        <v>77</v>
      </c>
      <c r="AK11" t="s">
        <v>106</v>
      </c>
      <c r="AL11" t="s">
        <v>107</v>
      </c>
      <c r="AM11" t="s">
        <v>80</v>
      </c>
      <c r="AN11" t="s">
        <v>81</v>
      </c>
      <c r="AO11" t="s">
        <v>82</v>
      </c>
      <c r="AP11" t="s">
        <v>83</v>
      </c>
      <c r="AQ11">
        <v>2017</v>
      </c>
      <c r="AR11">
        <v>218578</v>
      </c>
      <c r="AS11">
        <v>4968924</v>
      </c>
      <c r="AT11">
        <v>52</v>
      </c>
      <c r="AU11" t="s">
        <v>84</v>
      </c>
      <c r="AV11">
        <v>562</v>
      </c>
      <c r="AW11" t="s">
        <v>85</v>
      </c>
      <c r="AX11" t="s">
        <v>86</v>
      </c>
      <c r="AY11">
        <v>562</v>
      </c>
      <c r="AZ11" t="s">
        <v>229</v>
      </c>
      <c r="BA11" t="s">
        <v>88</v>
      </c>
      <c r="BC11" t="s">
        <v>109</v>
      </c>
      <c r="BD11">
        <v>1</v>
      </c>
      <c r="BE11">
        <v>28</v>
      </c>
    </row>
    <row r="12" spans="1:57" hidden="1" x14ac:dyDescent="0.2">
      <c r="A12" t="s">
        <v>230</v>
      </c>
      <c r="B12" t="s">
        <v>230</v>
      </c>
      <c r="C12" t="s">
        <v>231</v>
      </c>
      <c r="D12" t="s">
        <v>232</v>
      </c>
      <c r="E12" t="s">
        <v>232</v>
      </c>
      <c r="G12" t="s">
        <v>56</v>
      </c>
      <c r="H12" t="s">
        <v>57</v>
      </c>
      <c r="I12" t="s">
        <v>93</v>
      </c>
      <c r="J12">
        <v>0</v>
      </c>
      <c r="K12" t="s">
        <v>140</v>
      </c>
      <c r="L12" t="s">
        <v>233</v>
      </c>
      <c r="M12" t="s">
        <v>7165</v>
      </c>
      <c r="N12" t="s">
        <v>7165</v>
      </c>
      <c r="O12" s="1" t="s">
        <v>208</v>
      </c>
      <c r="P12" t="s">
        <v>209</v>
      </c>
      <c r="Q12" s="1" t="s">
        <v>234</v>
      </c>
      <c r="R12" s="1" t="s">
        <v>167</v>
      </c>
      <c r="S12" s="1" t="s">
        <v>210</v>
      </c>
      <c r="T12" s="1">
        <v>675</v>
      </c>
      <c r="U12" s="1">
        <v>178072</v>
      </c>
      <c r="V12" s="1" t="s">
        <v>235</v>
      </c>
      <c r="W12" s="1">
        <v>10444301</v>
      </c>
      <c r="X12" t="s">
        <v>236</v>
      </c>
      <c r="Y12" t="s">
        <v>237</v>
      </c>
      <c r="AA12" t="s">
        <v>68</v>
      </c>
      <c r="AB12" t="s">
        <v>238</v>
      </c>
      <c r="AC12" t="s">
        <v>239</v>
      </c>
      <c r="AD12" t="s">
        <v>240</v>
      </c>
      <c r="AE12" t="s">
        <v>241</v>
      </c>
      <c r="AF12" t="s">
        <v>73</v>
      </c>
      <c r="AG12" t="s">
        <v>242</v>
      </c>
      <c r="AH12" t="s">
        <v>75</v>
      </c>
      <c r="AI12" t="s">
        <v>76</v>
      </c>
      <c r="AJ12" t="s">
        <v>77</v>
      </c>
      <c r="AK12" t="s">
        <v>243</v>
      </c>
      <c r="AL12" t="s">
        <v>156</v>
      </c>
      <c r="AM12" t="s">
        <v>80</v>
      </c>
      <c r="AN12" t="s">
        <v>81</v>
      </c>
      <c r="AO12" t="s">
        <v>82</v>
      </c>
      <c r="AP12" t="s">
        <v>83</v>
      </c>
      <c r="AQ12">
        <v>2018</v>
      </c>
      <c r="AR12">
        <v>108217</v>
      </c>
      <c r="AS12">
        <v>5474053</v>
      </c>
      <c r="AT12">
        <v>167</v>
      </c>
      <c r="AU12" t="s">
        <v>84</v>
      </c>
      <c r="AV12">
        <v>562</v>
      </c>
      <c r="AW12" t="s">
        <v>85</v>
      </c>
      <c r="AX12" t="s">
        <v>86</v>
      </c>
      <c r="AY12">
        <v>562</v>
      </c>
      <c r="AZ12" t="s">
        <v>244</v>
      </c>
      <c r="BA12" t="s">
        <v>88</v>
      </c>
    </row>
    <row r="13" spans="1:57" hidden="1" x14ac:dyDescent="0.2">
      <c r="A13" t="s">
        <v>245</v>
      </c>
      <c r="B13" t="s">
        <v>245</v>
      </c>
      <c r="C13" t="s">
        <v>246</v>
      </c>
      <c r="D13" t="s">
        <v>247</v>
      </c>
      <c r="E13" t="s">
        <v>247</v>
      </c>
      <c r="G13" t="s">
        <v>56</v>
      </c>
      <c r="H13" t="s">
        <v>57</v>
      </c>
      <c r="I13" t="s">
        <v>93</v>
      </c>
      <c r="J13">
        <v>0</v>
      </c>
      <c r="K13" t="s">
        <v>140</v>
      </c>
      <c r="L13" t="s">
        <v>141</v>
      </c>
      <c r="M13" t="s">
        <v>7165</v>
      </c>
      <c r="N13" t="s">
        <v>7165</v>
      </c>
      <c r="O13" s="1" t="s">
        <v>248</v>
      </c>
      <c r="P13" t="s">
        <v>249</v>
      </c>
      <c r="Q13" s="1" t="s">
        <v>166</v>
      </c>
      <c r="R13" s="1" t="s">
        <v>250</v>
      </c>
      <c r="S13" s="1" t="s">
        <v>251</v>
      </c>
      <c r="T13" s="1">
        <v>3589</v>
      </c>
      <c r="U13" s="1">
        <v>35160</v>
      </c>
      <c r="V13" s="1" t="s">
        <v>252</v>
      </c>
      <c r="W13" s="1">
        <v>11012665</v>
      </c>
      <c r="X13" t="s">
        <v>253</v>
      </c>
      <c r="Y13" t="s">
        <v>254</v>
      </c>
      <c r="AA13" t="s">
        <v>68</v>
      </c>
      <c r="AB13" t="s">
        <v>255</v>
      </c>
      <c r="AC13" t="s">
        <v>256</v>
      </c>
      <c r="AD13" t="s">
        <v>257</v>
      </c>
      <c r="AE13" t="s">
        <v>241</v>
      </c>
      <c r="AF13" t="s">
        <v>73</v>
      </c>
      <c r="AG13" t="s">
        <v>258</v>
      </c>
      <c r="AH13" t="s">
        <v>259</v>
      </c>
      <c r="AI13" t="s">
        <v>76</v>
      </c>
      <c r="AJ13" t="s">
        <v>77</v>
      </c>
      <c r="AK13" t="s">
        <v>260</v>
      </c>
      <c r="AL13" t="s">
        <v>261</v>
      </c>
      <c r="AM13" t="s">
        <v>262</v>
      </c>
      <c r="AN13" t="s">
        <v>158</v>
      </c>
      <c r="AO13" t="s">
        <v>159</v>
      </c>
      <c r="AP13" t="s">
        <v>83</v>
      </c>
      <c r="AQ13">
        <v>2018</v>
      </c>
      <c r="AR13">
        <v>323489</v>
      </c>
      <c r="AS13">
        <v>5308539</v>
      </c>
      <c r="AT13">
        <v>105</v>
      </c>
      <c r="AU13" t="s">
        <v>84</v>
      </c>
      <c r="AV13">
        <v>562</v>
      </c>
      <c r="AW13" t="s">
        <v>85</v>
      </c>
      <c r="AX13" t="s">
        <v>86</v>
      </c>
      <c r="AY13">
        <v>562</v>
      </c>
      <c r="AZ13" t="s">
        <v>263</v>
      </c>
      <c r="BA13" t="s">
        <v>88</v>
      </c>
    </row>
    <row r="14" spans="1:57" hidden="1" x14ac:dyDescent="0.2">
      <c r="A14" t="s">
        <v>264</v>
      </c>
      <c r="B14" t="s">
        <v>264</v>
      </c>
      <c r="C14" t="s">
        <v>265</v>
      </c>
      <c r="D14" t="s">
        <v>266</v>
      </c>
      <c r="E14" t="s">
        <v>266</v>
      </c>
      <c r="G14" t="s">
        <v>56</v>
      </c>
      <c r="H14" t="s">
        <v>57</v>
      </c>
      <c r="I14" t="s">
        <v>93</v>
      </c>
      <c r="J14">
        <v>0</v>
      </c>
      <c r="K14" t="s">
        <v>140</v>
      </c>
      <c r="L14" t="s">
        <v>267</v>
      </c>
      <c r="M14" t="s">
        <v>7165</v>
      </c>
      <c r="N14" t="s">
        <v>7165</v>
      </c>
      <c r="O14" s="1" t="s">
        <v>268</v>
      </c>
      <c r="P14" t="s">
        <v>269</v>
      </c>
      <c r="Q14" s="1" t="s">
        <v>144</v>
      </c>
      <c r="R14" s="1" t="s">
        <v>270</v>
      </c>
      <c r="S14" s="1" t="s">
        <v>271</v>
      </c>
      <c r="T14" s="1">
        <v>677</v>
      </c>
      <c r="U14" s="1">
        <v>30630</v>
      </c>
      <c r="V14" s="1" t="s">
        <v>272</v>
      </c>
      <c r="W14" s="1">
        <v>11012665</v>
      </c>
      <c r="X14" t="s">
        <v>273</v>
      </c>
      <c r="Y14" t="s">
        <v>274</v>
      </c>
      <c r="AA14" t="s">
        <v>68</v>
      </c>
      <c r="AB14" t="s">
        <v>275</v>
      </c>
      <c r="AC14" t="s">
        <v>276</v>
      </c>
      <c r="AD14" t="s">
        <v>277</v>
      </c>
      <c r="AE14" t="s">
        <v>241</v>
      </c>
      <c r="AF14" t="s">
        <v>73</v>
      </c>
      <c r="AG14" t="s">
        <v>278</v>
      </c>
      <c r="AH14" t="s">
        <v>279</v>
      </c>
      <c r="AI14" t="s">
        <v>76</v>
      </c>
      <c r="AJ14" t="s">
        <v>77</v>
      </c>
      <c r="AK14" t="s">
        <v>280</v>
      </c>
      <c r="AL14" t="s">
        <v>156</v>
      </c>
      <c r="AM14" t="s">
        <v>281</v>
      </c>
      <c r="AN14" t="s">
        <v>81</v>
      </c>
      <c r="AO14" t="s">
        <v>82</v>
      </c>
      <c r="AP14" t="s">
        <v>83</v>
      </c>
      <c r="AQ14">
        <v>2018</v>
      </c>
      <c r="AR14">
        <v>156667</v>
      </c>
      <c r="AS14">
        <v>5321798</v>
      </c>
      <c r="AT14">
        <v>171</v>
      </c>
      <c r="AU14" t="s">
        <v>84</v>
      </c>
      <c r="AV14">
        <v>562</v>
      </c>
      <c r="AW14" t="s">
        <v>85</v>
      </c>
      <c r="AX14" t="s">
        <v>86</v>
      </c>
      <c r="AY14">
        <v>562</v>
      </c>
      <c r="AZ14" t="s">
        <v>282</v>
      </c>
      <c r="BA14" t="s">
        <v>88</v>
      </c>
      <c r="BC14" t="s">
        <v>283</v>
      </c>
      <c r="BD14">
        <v>0</v>
      </c>
    </row>
    <row r="15" spans="1:57" hidden="1" x14ac:dyDescent="0.2">
      <c r="A15" t="s">
        <v>284</v>
      </c>
      <c r="B15" t="s">
        <v>284</v>
      </c>
      <c r="C15" t="s">
        <v>285</v>
      </c>
      <c r="D15" t="s">
        <v>286</v>
      </c>
      <c r="E15" t="s">
        <v>286</v>
      </c>
      <c r="G15" t="s">
        <v>56</v>
      </c>
      <c r="H15" t="s">
        <v>57</v>
      </c>
      <c r="I15" t="s">
        <v>93</v>
      </c>
      <c r="J15">
        <v>0</v>
      </c>
      <c r="K15" t="s">
        <v>140</v>
      </c>
      <c r="L15" t="s">
        <v>287</v>
      </c>
      <c r="M15" t="s">
        <v>7165</v>
      </c>
      <c r="N15" t="s">
        <v>7165</v>
      </c>
      <c r="O15" s="1" t="s">
        <v>268</v>
      </c>
      <c r="P15" t="s">
        <v>269</v>
      </c>
      <c r="Q15" s="1" t="s">
        <v>144</v>
      </c>
      <c r="R15" s="1" t="s">
        <v>270</v>
      </c>
      <c r="S15" s="1" t="s">
        <v>271</v>
      </c>
      <c r="T15" s="1">
        <v>677</v>
      </c>
      <c r="U15" s="1">
        <v>30630</v>
      </c>
      <c r="V15" s="1" t="s">
        <v>272</v>
      </c>
      <c r="W15" s="1">
        <v>11012665</v>
      </c>
      <c r="X15" t="s">
        <v>288</v>
      </c>
      <c r="Y15" t="s">
        <v>289</v>
      </c>
      <c r="AA15" t="s">
        <v>68</v>
      </c>
      <c r="AB15" t="s">
        <v>290</v>
      </c>
      <c r="AC15" t="s">
        <v>291</v>
      </c>
      <c r="AD15" t="s">
        <v>292</v>
      </c>
      <c r="AE15" t="s">
        <v>241</v>
      </c>
      <c r="AF15" t="s">
        <v>73</v>
      </c>
      <c r="AG15" t="s">
        <v>293</v>
      </c>
      <c r="AH15" t="s">
        <v>279</v>
      </c>
      <c r="AI15" t="s">
        <v>76</v>
      </c>
      <c r="AJ15" t="s">
        <v>77</v>
      </c>
      <c r="AK15" t="s">
        <v>294</v>
      </c>
      <c r="AL15" t="s">
        <v>156</v>
      </c>
      <c r="AM15" t="s">
        <v>281</v>
      </c>
      <c r="AN15" t="s">
        <v>158</v>
      </c>
      <c r="AO15" t="s">
        <v>159</v>
      </c>
      <c r="AP15" t="s">
        <v>83</v>
      </c>
      <c r="AQ15">
        <v>2018</v>
      </c>
      <c r="AR15">
        <v>160080</v>
      </c>
      <c r="AS15">
        <v>5343695</v>
      </c>
      <c r="AT15">
        <v>148</v>
      </c>
      <c r="AU15" t="s">
        <v>84</v>
      </c>
      <c r="AV15">
        <v>562</v>
      </c>
      <c r="AW15" t="s">
        <v>85</v>
      </c>
      <c r="AX15" t="s">
        <v>86</v>
      </c>
      <c r="AY15">
        <v>562</v>
      </c>
      <c r="AZ15" t="s">
        <v>295</v>
      </c>
      <c r="BA15" t="s">
        <v>88</v>
      </c>
      <c r="BC15" t="s">
        <v>283</v>
      </c>
      <c r="BD15">
        <v>2</v>
      </c>
    </row>
    <row r="16" spans="1:57" hidden="1" x14ac:dyDescent="0.2">
      <c r="A16" t="s">
        <v>296</v>
      </c>
      <c r="B16" t="s">
        <v>296</v>
      </c>
      <c r="C16" t="s">
        <v>297</v>
      </c>
      <c r="D16" t="s">
        <v>298</v>
      </c>
      <c r="E16" t="s">
        <v>298</v>
      </c>
      <c r="G16" t="s">
        <v>56</v>
      </c>
      <c r="H16" t="s">
        <v>57</v>
      </c>
      <c r="I16" t="s">
        <v>93</v>
      </c>
      <c r="J16">
        <v>0</v>
      </c>
      <c r="K16" t="s">
        <v>140</v>
      </c>
      <c r="L16" t="s">
        <v>182</v>
      </c>
      <c r="M16" t="s">
        <v>7165</v>
      </c>
      <c r="N16" t="s">
        <v>7162</v>
      </c>
      <c r="O16" s="1" t="s">
        <v>268</v>
      </c>
      <c r="P16" t="s">
        <v>269</v>
      </c>
      <c r="Q16" s="1" t="s">
        <v>144</v>
      </c>
      <c r="R16" s="1" t="s">
        <v>270</v>
      </c>
      <c r="S16" s="1" t="s">
        <v>271</v>
      </c>
      <c r="T16" s="1">
        <v>677</v>
      </c>
      <c r="U16" s="1">
        <v>30630</v>
      </c>
      <c r="V16" s="1" t="s">
        <v>272</v>
      </c>
      <c r="W16" s="1">
        <v>11012665</v>
      </c>
      <c r="X16" t="s">
        <v>299</v>
      </c>
      <c r="Y16" t="s">
        <v>300</v>
      </c>
      <c r="AA16" t="s">
        <v>68</v>
      </c>
      <c r="AB16" t="s">
        <v>301</v>
      </c>
      <c r="AC16" t="s">
        <v>302</v>
      </c>
      <c r="AD16" t="s">
        <v>303</v>
      </c>
      <c r="AE16" t="s">
        <v>304</v>
      </c>
      <c r="AF16" t="s">
        <v>73</v>
      </c>
      <c r="AG16" t="s">
        <v>305</v>
      </c>
      <c r="AH16" t="s">
        <v>279</v>
      </c>
      <c r="AI16" t="s">
        <v>76</v>
      </c>
      <c r="AJ16" t="s">
        <v>77</v>
      </c>
      <c r="AK16" t="s">
        <v>294</v>
      </c>
      <c r="AL16" t="s">
        <v>156</v>
      </c>
      <c r="AM16" t="s">
        <v>281</v>
      </c>
      <c r="AN16" t="s">
        <v>158</v>
      </c>
      <c r="AO16" t="s">
        <v>159</v>
      </c>
      <c r="AP16" t="s">
        <v>83</v>
      </c>
      <c r="AQ16">
        <v>2018</v>
      </c>
      <c r="AR16">
        <v>130181</v>
      </c>
      <c r="AS16">
        <v>5293098</v>
      </c>
      <c r="AT16">
        <v>245</v>
      </c>
      <c r="AU16" t="s">
        <v>84</v>
      </c>
      <c r="AV16">
        <v>562</v>
      </c>
      <c r="AW16" t="s">
        <v>85</v>
      </c>
      <c r="AX16" t="s">
        <v>86</v>
      </c>
      <c r="AY16">
        <v>562</v>
      </c>
      <c r="AZ16" t="s">
        <v>306</v>
      </c>
      <c r="BA16" t="s">
        <v>88</v>
      </c>
      <c r="BC16" t="s">
        <v>283</v>
      </c>
      <c r="BD16">
        <v>0</v>
      </c>
    </row>
    <row r="17" spans="1:57" hidden="1" x14ac:dyDescent="0.2">
      <c r="A17" t="s">
        <v>307</v>
      </c>
      <c r="B17" t="s">
        <v>307</v>
      </c>
      <c r="C17" t="s">
        <v>308</v>
      </c>
      <c r="D17" t="s">
        <v>309</v>
      </c>
      <c r="E17" t="s">
        <v>309</v>
      </c>
      <c r="G17" t="s">
        <v>56</v>
      </c>
      <c r="H17" t="s">
        <v>57</v>
      </c>
      <c r="I17" t="s">
        <v>93</v>
      </c>
      <c r="J17">
        <v>0</v>
      </c>
      <c r="K17" t="s">
        <v>310</v>
      </c>
      <c r="L17" t="s">
        <v>310</v>
      </c>
      <c r="M17" t="s">
        <v>7167</v>
      </c>
      <c r="N17" t="s">
        <v>7162</v>
      </c>
      <c r="O17" s="1" t="s">
        <v>311</v>
      </c>
      <c r="P17" t="s">
        <v>312</v>
      </c>
      <c r="Q17" s="1" t="s">
        <v>144</v>
      </c>
      <c r="R17" s="1" t="s">
        <v>313</v>
      </c>
      <c r="S17" s="1" t="s">
        <v>314</v>
      </c>
      <c r="T17" s="1">
        <v>69</v>
      </c>
      <c r="U17" s="1">
        <v>65499</v>
      </c>
      <c r="V17" s="1" t="s">
        <v>169</v>
      </c>
      <c r="W17" s="1">
        <v>10388132</v>
      </c>
      <c r="X17" t="s">
        <v>315</v>
      </c>
      <c r="Y17" t="s">
        <v>316</v>
      </c>
      <c r="AA17" t="s">
        <v>68</v>
      </c>
      <c r="AB17" t="s">
        <v>317</v>
      </c>
      <c r="AC17" t="s">
        <v>318</v>
      </c>
      <c r="AD17" t="s">
        <v>319</v>
      </c>
      <c r="AE17" t="s">
        <v>304</v>
      </c>
      <c r="AF17" t="s">
        <v>73</v>
      </c>
      <c r="AG17" t="s">
        <v>320</v>
      </c>
      <c r="AH17" t="s">
        <v>321</v>
      </c>
      <c r="AI17" t="s">
        <v>76</v>
      </c>
      <c r="AJ17" t="s">
        <v>77</v>
      </c>
      <c r="AK17" t="s">
        <v>322</v>
      </c>
      <c r="AL17" t="s">
        <v>323</v>
      </c>
      <c r="AM17" t="s">
        <v>324</v>
      </c>
      <c r="AN17" t="s">
        <v>81</v>
      </c>
      <c r="AO17" t="s">
        <v>82</v>
      </c>
      <c r="AP17" t="s">
        <v>83</v>
      </c>
      <c r="AQ17">
        <v>2018</v>
      </c>
      <c r="AR17">
        <v>115643</v>
      </c>
      <c r="AS17">
        <v>5225494</v>
      </c>
      <c r="AT17">
        <v>142</v>
      </c>
      <c r="AU17" t="s">
        <v>84</v>
      </c>
      <c r="AV17">
        <v>562</v>
      </c>
      <c r="AW17" t="s">
        <v>85</v>
      </c>
      <c r="AX17" t="s">
        <v>86</v>
      </c>
      <c r="AY17">
        <v>562</v>
      </c>
      <c r="AZ17" t="s">
        <v>325</v>
      </c>
      <c r="BA17" t="s">
        <v>88</v>
      </c>
      <c r="BC17" t="s">
        <v>326</v>
      </c>
      <c r="BD17">
        <v>3</v>
      </c>
    </row>
    <row r="18" spans="1:57" hidden="1" x14ac:dyDescent="0.2">
      <c r="A18" t="s">
        <v>327</v>
      </c>
      <c r="B18" t="s">
        <v>327</v>
      </c>
      <c r="C18" t="s">
        <v>308</v>
      </c>
      <c r="D18" t="s">
        <v>328</v>
      </c>
      <c r="E18" t="s">
        <v>328</v>
      </c>
      <c r="G18" t="s">
        <v>56</v>
      </c>
      <c r="H18" t="s">
        <v>57</v>
      </c>
      <c r="I18" t="s">
        <v>93</v>
      </c>
      <c r="J18">
        <v>0</v>
      </c>
      <c r="K18" t="s">
        <v>310</v>
      </c>
      <c r="L18" t="s">
        <v>310</v>
      </c>
      <c r="M18" t="s">
        <v>7167</v>
      </c>
      <c r="N18" t="s">
        <v>7165</v>
      </c>
      <c r="O18" s="1" t="s">
        <v>311</v>
      </c>
      <c r="P18" t="s">
        <v>312</v>
      </c>
      <c r="Q18" s="1" t="s">
        <v>144</v>
      </c>
      <c r="R18" s="1" t="s">
        <v>313</v>
      </c>
      <c r="S18" s="1" t="s">
        <v>314</v>
      </c>
      <c r="T18" s="1">
        <v>69</v>
      </c>
      <c r="U18" s="1">
        <v>65499</v>
      </c>
      <c r="V18" s="1" t="s">
        <v>169</v>
      </c>
      <c r="W18" s="1">
        <v>10388132</v>
      </c>
      <c r="X18" t="s">
        <v>329</v>
      </c>
      <c r="Y18" t="s">
        <v>330</v>
      </c>
      <c r="AA18" t="s">
        <v>68</v>
      </c>
      <c r="AB18" t="s">
        <v>331</v>
      </c>
      <c r="AC18" t="s">
        <v>332</v>
      </c>
      <c r="AD18" t="s">
        <v>333</v>
      </c>
      <c r="AE18" t="s">
        <v>304</v>
      </c>
      <c r="AF18" t="s">
        <v>73</v>
      </c>
      <c r="AG18" t="s">
        <v>334</v>
      </c>
      <c r="AH18" t="s">
        <v>321</v>
      </c>
      <c r="AI18" t="s">
        <v>76</v>
      </c>
      <c r="AJ18" t="s">
        <v>77</v>
      </c>
      <c r="AK18" t="s">
        <v>335</v>
      </c>
      <c r="AL18" t="s">
        <v>323</v>
      </c>
      <c r="AM18" t="s">
        <v>324</v>
      </c>
      <c r="AN18" t="s">
        <v>81</v>
      </c>
      <c r="AO18" t="s">
        <v>82</v>
      </c>
      <c r="AP18" t="s">
        <v>83</v>
      </c>
      <c r="AQ18">
        <v>2018</v>
      </c>
      <c r="AR18">
        <v>85956</v>
      </c>
      <c r="AS18">
        <v>5211436</v>
      </c>
      <c r="AT18">
        <v>200</v>
      </c>
      <c r="AU18" t="s">
        <v>84</v>
      </c>
      <c r="AV18">
        <v>562</v>
      </c>
      <c r="AW18" t="s">
        <v>85</v>
      </c>
      <c r="AX18" t="s">
        <v>86</v>
      </c>
      <c r="AY18">
        <v>562</v>
      </c>
      <c r="AZ18" t="s">
        <v>336</v>
      </c>
      <c r="BA18" t="s">
        <v>88</v>
      </c>
      <c r="BC18" t="s">
        <v>326</v>
      </c>
      <c r="BD18">
        <v>3</v>
      </c>
    </row>
    <row r="19" spans="1:57" hidden="1" x14ac:dyDescent="0.2">
      <c r="A19" t="s">
        <v>337</v>
      </c>
      <c r="B19" t="s">
        <v>337</v>
      </c>
      <c r="C19" t="s">
        <v>308</v>
      </c>
      <c r="D19" t="s">
        <v>338</v>
      </c>
      <c r="E19" t="s">
        <v>338</v>
      </c>
      <c r="G19" t="s">
        <v>56</v>
      </c>
      <c r="H19" t="s">
        <v>57</v>
      </c>
      <c r="I19" t="s">
        <v>93</v>
      </c>
      <c r="J19">
        <v>0</v>
      </c>
      <c r="K19" t="s">
        <v>310</v>
      </c>
      <c r="L19" t="s">
        <v>310</v>
      </c>
      <c r="M19" t="s">
        <v>7167</v>
      </c>
      <c r="N19" t="s">
        <v>7165</v>
      </c>
      <c r="O19" s="1" t="s">
        <v>311</v>
      </c>
      <c r="P19" t="s">
        <v>312</v>
      </c>
      <c r="Q19" s="1" t="s">
        <v>144</v>
      </c>
      <c r="R19" s="1" t="s">
        <v>313</v>
      </c>
      <c r="S19" s="1" t="s">
        <v>314</v>
      </c>
      <c r="T19" s="1">
        <v>69</v>
      </c>
      <c r="U19" s="1">
        <v>65499</v>
      </c>
      <c r="V19" s="1" t="s">
        <v>169</v>
      </c>
      <c r="W19" s="1">
        <v>10388132</v>
      </c>
      <c r="X19" t="s">
        <v>339</v>
      </c>
      <c r="Y19" t="s">
        <v>340</v>
      </c>
      <c r="AA19" t="s">
        <v>68</v>
      </c>
      <c r="AB19" t="s">
        <v>341</v>
      </c>
      <c r="AC19" t="s">
        <v>342</v>
      </c>
      <c r="AD19" t="s">
        <v>343</v>
      </c>
      <c r="AE19" t="s">
        <v>344</v>
      </c>
      <c r="AF19" t="s">
        <v>73</v>
      </c>
      <c r="AG19" t="s">
        <v>345</v>
      </c>
      <c r="AH19" t="s">
        <v>321</v>
      </c>
      <c r="AI19" t="s">
        <v>76</v>
      </c>
      <c r="AJ19" t="s">
        <v>77</v>
      </c>
      <c r="AK19" t="s">
        <v>346</v>
      </c>
      <c r="AL19" t="s">
        <v>323</v>
      </c>
      <c r="AM19" t="s">
        <v>324</v>
      </c>
      <c r="AN19" t="s">
        <v>81</v>
      </c>
      <c r="AO19" t="s">
        <v>82</v>
      </c>
      <c r="AP19" t="s">
        <v>83</v>
      </c>
      <c r="AQ19">
        <v>2018</v>
      </c>
      <c r="AR19">
        <v>71717</v>
      </c>
      <c r="AS19">
        <v>5252627</v>
      </c>
      <c r="AT19">
        <v>176</v>
      </c>
      <c r="AU19" t="s">
        <v>84</v>
      </c>
      <c r="AV19">
        <v>562</v>
      </c>
      <c r="AW19" t="s">
        <v>85</v>
      </c>
      <c r="AX19" t="s">
        <v>86</v>
      </c>
      <c r="AY19">
        <v>562</v>
      </c>
      <c r="AZ19" t="s">
        <v>347</v>
      </c>
      <c r="BA19" t="s">
        <v>88</v>
      </c>
      <c r="BC19" t="s">
        <v>326</v>
      </c>
      <c r="BD19">
        <v>5</v>
      </c>
    </row>
    <row r="20" spans="1:57" hidden="1" x14ac:dyDescent="0.2">
      <c r="A20" t="s">
        <v>348</v>
      </c>
      <c r="B20" t="s">
        <v>348</v>
      </c>
      <c r="C20" t="s">
        <v>349</v>
      </c>
      <c r="D20" t="s">
        <v>350</v>
      </c>
      <c r="E20" s="2" t="s">
        <v>348</v>
      </c>
      <c r="G20" t="s">
        <v>56</v>
      </c>
      <c r="H20" t="s">
        <v>57</v>
      </c>
      <c r="I20" t="s">
        <v>58</v>
      </c>
      <c r="J20" t="s">
        <v>351</v>
      </c>
      <c r="K20" t="s">
        <v>352</v>
      </c>
      <c r="L20" t="s">
        <v>352</v>
      </c>
      <c r="M20" t="s">
        <v>7165</v>
      </c>
      <c r="N20" t="s">
        <v>7172</v>
      </c>
      <c r="O20" s="1" t="s">
        <v>353</v>
      </c>
      <c r="P20" t="s">
        <v>354</v>
      </c>
      <c r="Q20" s="1" t="s">
        <v>144</v>
      </c>
      <c r="R20" s="1" t="s">
        <v>355</v>
      </c>
      <c r="S20" s="1" t="s">
        <v>356</v>
      </c>
      <c r="T20" s="1">
        <v>155</v>
      </c>
      <c r="U20" s="1">
        <v>1607</v>
      </c>
      <c r="V20" s="1" t="s">
        <v>169</v>
      </c>
      <c r="W20" s="1">
        <v>11774050</v>
      </c>
      <c r="X20" t="s">
        <v>357</v>
      </c>
      <c r="Y20" t="s">
        <v>358</v>
      </c>
      <c r="AA20" t="s">
        <v>68</v>
      </c>
      <c r="AB20" t="s">
        <v>359</v>
      </c>
      <c r="AC20" t="s">
        <v>360</v>
      </c>
      <c r="AD20" t="s">
        <v>361</v>
      </c>
      <c r="AE20" t="s">
        <v>344</v>
      </c>
      <c r="AF20" t="s">
        <v>73</v>
      </c>
      <c r="AG20" t="s">
        <v>362</v>
      </c>
      <c r="AH20" t="s">
        <v>75</v>
      </c>
      <c r="AI20" t="s">
        <v>76</v>
      </c>
      <c r="AJ20" t="s">
        <v>77</v>
      </c>
      <c r="AK20" t="s">
        <v>363</v>
      </c>
      <c r="AL20" t="s">
        <v>364</v>
      </c>
      <c r="AM20" t="s">
        <v>80</v>
      </c>
      <c r="AN20" t="s">
        <v>81</v>
      </c>
      <c r="AO20" t="s">
        <v>82</v>
      </c>
      <c r="AP20" t="s">
        <v>83</v>
      </c>
      <c r="AQ20">
        <v>2018</v>
      </c>
      <c r="AR20">
        <v>158500</v>
      </c>
      <c r="AS20">
        <v>5193919</v>
      </c>
      <c r="AT20">
        <v>135</v>
      </c>
      <c r="AU20" t="s">
        <v>84</v>
      </c>
      <c r="AV20">
        <v>562</v>
      </c>
      <c r="AW20" t="s">
        <v>85</v>
      </c>
      <c r="AX20" t="s">
        <v>86</v>
      </c>
      <c r="AY20">
        <v>562</v>
      </c>
      <c r="AZ20" t="s">
        <v>365</v>
      </c>
      <c r="BA20" t="s">
        <v>88</v>
      </c>
      <c r="BC20" t="s">
        <v>366</v>
      </c>
      <c r="BD20">
        <v>1</v>
      </c>
    </row>
    <row r="21" spans="1:57" hidden="1" x14ac:dyDescent="0.2">
      <c r="A21" t="s">
        <v>367</v>
      </c>
      <c r="B21" t="s">
        <v>367</v>
      </c>
      <c r="C21" t="s">
        <v>368</v>
      </c>
      <c r="D21" t="s">
        <v>369</v>
      </c>
      <c r="E21" t="s">
        <v>369</v>
      </c>
      <c r="G21" t="s">
        <v>56</v>
      </c>
      <c r="H21" t="s">
        <v>57</v>
      </c>
      <c r="I21" t="s">
        <v>93</v>
      </c>
      <c r="J21">
        <v>0</v>
      </c>
      <c r="K21" t="s">
        <v>370</v>
      </c>
      <c r="L21" t="s">
        <v>371</v>
      </c>
      <c r="M21" t="s">
        <v>7165</v>
      </c>
      <c r="N21" t="s">
        <v>7167</v>
      </c>
      <c r="O21" s="1" t="s">
        <v>372</v>
      </c>
      <c r="P21" t="s">
        <v>354</v>
      </c>
      <c r="Q21" s="1" t="s">
        <v>373</v>
      </c>
      <c r="R21" s="1" t="s">
        <v>167</v>
      </c>
      <c r="S21" s="1" t="s">
        <v>168</v>
      </c>
      <c r="T21" s="1">
        <v>40</v>
      </c>
      <c r="U21" s="1">
        <v>1624</v>
      </c>
      <c r="V21" s="1" t="s">
        <v>374</v>
      </c>
      <c r="W21" s="1">
        <v>10762614</v>
      </c>
      <c r="X21" t="s">
        <v>375</v>
      </c>
      <c r="Y21" t="s">
        <v>376</v>
      </c>
      <c r="AA21" t="s">
        <v>68</v>
      </c>
      <c r="AB21" t="s">
        <v>377</v>
      </c>
      <c r="AC21" t="s">
        <v>378</v>
      </c>
      <c r="AD21" t="s">
        <v>379</v>
      </c>
      <c r="AE21" t="s">
        <v>344</v>
      </c>
      <c r="AF21" t="s">
        <v>73</v>
      </c>
      <c r="AG21" t="s">
        <v>380</v>
      </c>
      <c r="AH21" t="s">
        <v>381</v>
      </c>
      <c r="AI21" t="s">
        <v>76</v>
      </c>
      <c r="AJ21" t="s">
        <v>77</v>
      </c>
      <c r="AK21" t="s">
        <v>382</v>
      </c>
      <c r="AL21" t="s">
        <v>156</v>
      </c>
      <c r="AM21" t="s">
        <v>383</v>
      </c>
      <c r="AN21" t="s">
        <v>81</v>
      </c>
      <c r="AO21" t="s">
        <v>82</v>
      </c>
      <c r="AP21" t="s">
        <v>83</v>
      </c>
      <c r="AQ21">
        <v>2018</v>
      </c>
      <c r="AR21">
        <v>64785</v>
      </c>
      <c r="AS21">
        <v>5218831</v>
      </c>
      <c r="AT21">
        <v>263</v>
      </c>
      <c r="AU21" t="s">
        <v>84</v>
      </c>
      <c r="AV21">
        <v>562</v>
      </c>
      <c r="AW21" t="s">
        <v>85</v>
      </c>
      <c r="AX21" t="s">
        <v>86</v>
      </c>
      <c r="AY21">
        <v>562</v>
      </c>
      <c r="AZ21" t="s">
        <v>384</v>
      </c>
      <c r="BA21" t="s">
        <v>88</v>
      </c>
      <c r="BC21" t="s">
        <v>385</v>
      </c>
      <c r="BD21">
        <v>8</v>
      </c>
      <c r="BE21">
        <v>34</v>
      </c>
    </row>
    <row r="22" spans="1:57" hidden="1" x14ac:dyDescent="0.2">
      <c r="A22" t="s">
        <v>386</v>
      </c>
      <c r="B22" t="s">
        <v>386</v>
      </c>
      <c r="C22" t="s">
        <v>387</v>
      </c>
      <c r="D22" t="s">
        <v>388</v>
      </c>
      <c r="E22" t="s">
        <v>388</v>
      </c>
      <c r="G22" t="s">
        <v>56</v>
      </c>
      <c r="H22" t="s">
        <v>57</v>
      </c>
      <c r="I22" t="s">
        <v>93</v>
      </c>
      <c r="J22">
        <v>0</v>
      </c>
      <c r="K22" t="s">
        <v>389</v>
      </c>
      <c r="L22" t="s">
        <v>389</v>
      </c>
      <c r="M22" t="s">
        <v>7165</v>
      </c>
      <c r="N22" t="s">
        <v>7162</v>
      </c>
      <c r="O22" s="1" t="s">
        <v>390</v>
      </c>
      <c r="P22" t="s">
        <v>391</v>
      </c>
      <c r="Q22" s="1" t="s">
        <v>392</v>
      </c>
      <c r="R22" s="1" t="s">
        <v>167</v>
      </c>
      <c r="S22" s="1" t="s">
        <v>168</v>
      </c>
      <c r="T22" s="1">
        <v>8356</v>
      </c>
      <c r="U22" s="1">
        <v>84725</v>
      </c>
      <c r="V22" s="1" t="s">
        <v>169</v>
      </c>
      <c r="W22" s="1" t="s">
        <v>170</v>
      </c>
      <c r="X22" t="s">
        <v>393</v>
      </c>
      <c r="Y22" t="s">
        <v>394</v>
      </c>
      <c r="AA22" t="s">
        <v>68</v>
      </c>
      <c r="AB22" t="s">
        <v>395</v>
      </c>
      <c r="AC22" t="s">
        <v>396</v>
      </c>
      <c r="AD22" t="s">
        <v>397</v>
      </c>
      <c r="AE22" t="s">
        <v>398</v>
      </c>
      <c r="AF22" t="s">
        <v>73</v>
      </c>
      <c r="AG22" t="s">
        <v>399</v>
      </c>
      <c r="AH22" t="s">
        <v>75</v>
      </c>
      <c r="AI22" t="s">
        <v>76</v>
      </c>
      <c r="AJ22" t="s">
        <v>77</v>
      </c>
      <c r="AK22" t="s">
        <v>400</v>
      </c>
      <c r="AL22" t="s">
        <v>107</v>
      </c>
      <c r="AM22" t="s">
        <v>401</v>
      </c>
      <c r="AN22" t="s">
        <v>81</v>
      </c>
      <c r="AO22" t="s">
        <v>82</v>
      </c>
      <c r="AP22" t="s">
        <v>83</v>
      </c>
      <c r="AQ22">
        <v>2018</v>
      </c>
      <c r="AR22">
        <v>116065</v>
      </c>
      <c r="AS22">
        <v>5144753</v>
      </c>
      <c r="AT22">
        <v>156</v>
      </c>
      <c r="AU22" t="s">
        <v>84</v>
      </c>
      <c r="AV22">
        <v>562</v>
      </c>
      <c r="AW22" t="s">
        <v>85</v>
      </c>
      <c r="AX22" t="s">
        <v>86</v>
      </c>
      <c r="AY22">
        <v>562</v>
      </c>
      <c r="AZ22" t="s">
        <v>402</v>
      </c>
      <c r="BA22" t="s">
        <v>88</v>
      </c>
      <c r="BC22" t="s">
        <v>403</v>
      </c>
      <c r="BD22">
        <v>1</v>
      </c>
    </row>
    <row r="23" spans="1:57" hidden="1" x14ac:dyDescent="0.2">
      <c r="A23" t="s">
        <v>404</v>
      </c>
      <c r="B23" t="s">
        <v>404</v>
      </c>
      <c r="C23" t="s">
        <v>387</v>
      </c>
      <c r="D23" t="s">
        <v>405</v>
      </c>
      <c r="E23" t="s">
        <v>405</v>
      </c>
      <c r="G23" t="s">
        <v>56</v>
      </c>
      <c r="H23" t="s">
        <v>57</v>
      </c>
      <c r="I23" t="s">
        <v>93</v>
      </c>
      <c r="J23">
        <v>0</v>
      </c>
      <c r="K23" t="s">
        <v>406</v>
      </c>
      <c r="L23" t="s">
        <v>389</v>
      </c>
      <c r="M23" t="s">
        <v>7165</v>
      </c>
      <c r="N23" t="s">
        <v>7167</v>
      </c>
      <c r="O23" s="1" t="s">
        <v>390</v>
      </c>
      <c r="P23" t="s">
        <v>407</v>
      </c>
      <c r="Q23" s="1" t="s">
        <v>166</v>
      </c>
      <c r="R23" s="1" t="s">
        <v>167</v>
      </c>
      <c r="S23" s="1" t="s">
        <v>168</v>
      </c>
      <c r="T23" s="1">
        <v>8356</v>
      </c>
      <c r="U23" s="1">
        <v>84725</v>
      </c>
      <c r="V23" s="1" t="s">
        <v>169</v>
      </c>
      <c r="W23" s="1">
        <v>10864975</v>
      </c>
      <c r="X23" t="s">
        <v>408</v>
      </c>
      <c r="Y23" t="s">
        <v>409</v>
      </c>
      <c r="AA23" t="s">
        <v>68</v>
      </c>
      <c r="AB23" t="s">
        <v>410</v>
      </c>
      <c r="AC23" t="s">
        <v>411</v>
      </c>
      <c r="AD23" t="s">
        <v>412</v>
      </c>
      <c r="AE23" t="s">
        <v>398</v>
      </c>
      <c r="AF23" t="s">
        <v>73</v>
      </c>
      <c r="AG23" t="s">
        <v>413</v>
      </c>
      <c r="AH23" t="s">
        <v>75</v>
      </c>
      <c r="AI23" t="s">
        <v>76</v>
      </c>
      <c r="AJ23" t="s">
        <v>77</v>
      </c>
      <c r="AK23" t="s">
        <v>414</v>
      </c>
      <c r="AL23" t="s">
        <v>107</v>
      </c>
      <c r="AM23" t="s">
        <v>401</v>
      </c>
      <c r="AN23" t="s">
        <v>81</v>
      </c>
      <c r="AO23" t="s">
        <v>82</v>
      </c>
      <c r="AP23" t="s">
        <v>83</v>
      </c>
      <c r="AQ23">
        <v>2018</v>
      </c>
      <c r="AR23">
        <v>129413</v>
      </c>
      <c r="AS23">
        <v>5152873</v>
      </c>
      <c r="AT23">
        <v>138</v>
      </c>
      <c r="AU23" t="s">
        <v>84</v>
      </c>
      <c r="AV23">
        <v>562</v>
      </c>
      <c r="AW23" t="s">
        <v>85</v>
      </c>
      <c r="AX23" t="s">
        <v>86</v>
      </c>
      <c r="AY23">
        <v>562</v>
      </c>
      <c r="AZ23" t="s">
        <v>415</v>
      </c>
      <c r="BA23" t="s">
        <v>88</v>
      </c>
      <c r="BC23" t="s">
        <v>403</v>
      </c>
      <c r="BD23">
        <v>1</v>
      </c>
    </row>
    <row r="24" spans="1:57" hidden="1" x14ac:dyDescent="0.2">
      <c r="A24" t="s">
        <v>416</v>
      </c>
      <c r="B24" t="s">
        <v>416</v>
      </c>
      <c r="C24" t="s">
        <v>417</v>
      </c>
      <c r="D24" t="s">
        <v>418</v>
      </c>
      <c r="E24" t="s">
        <v>418</v>
      </c>
      <c r="G24" t="s">
        <v>56</v>
      </c>
      <c r="H24" t="s">
        <v>57</v>
      </c>
      <c r="I24" t="s">
        <v>93</v>
      </c>
      <c r="J24">
        <v>0</v>
      </c>
      <c r="K24" t="s">
        <v>406</v>
      </c>
      <c r="L24" t="s">
        <v>389</v>
      </c>
      <c r="M24" t="s">
        <v>7165</v>
      </c>
      <c r="N24" t="s">
        <v>7162</v>
      </c>
      <c r="O24" s="1" t="s">
        <v>390</v>
      </c>
      <c r="P24" t="s">
        <v>407</v>
      </c>
      <c r="Q24" s="1" t="s">
        <v>166</v>
      </c>
      <c r="R24" s="1" t="s">
        <v>167</v>
      </c>
      <c r="S24" s="1" t="s">
        <v>168</v>
      </c>
      <c r="T24" s="1">
        <v>8356</v>
      </c>
      <c r="U24" s="1">
        <v>168636</v>
      </c>
      <c r="V24" s="1" t="s">
        <v>169</v>
      </c>
      <c r="W24" s="1">
        <v>10864975</v>
      </c>
      <c r="X24" t="s">
        <v>419</v>
      </c>
      <c r="Y24" t="s">
        <v>420</v>
      </c>
      <c r="AA24" t="s">
        <v>68</v>
      </c>
      <c r="AB24" t="s">
        <v>421</v>
      </c>
      <c r="AC24" t="s">
        <v>422</v>
      </c>
      <c r="AD24" t="s">
        <v>423</v>
      </c>
      <c r="AE24" t="s">
        <v>398</v>
      </c>
      <c r="AF24" t="s">
        <v>73</v>
      </c>
      <c r="AG24" t="s">
        <v>424</v>
      </c>
      <c r="AH24" t="s">
        <v>75</v>
      </c>
      <c r="AI24" t="s">
        <v>76</v>
      </c>
      <c r="AJ24" t="s">
        <v>77</v>
      </c>
      <c r="AK24" t="s">
        <v>425</v>
      </c>
      <c r="AL24" t="s">
        <v>107</v>
      </c>
      <c r="AM24" t="s">
        <v>401</v>
      </c>
      <c r="AN24" t="s">
        <v>81</v>
      </c>
      <c r="AO24" t="s">
        <v>82</v>
      </c>
      <c r="AP24" t="s">
        <v>83</v>
      </c>
      <c r="AQ24">
        <v>2018</v>
      </c>
      <c r="AR24">
        <v>100213</v>
      </c>
      <c r="AS24">
        <v>5024412</v>
      </c>
      <c r="AT24">
        <v>181</v>
      </c>
      <c r="AU24" t="s">
        <v>84</v>
      </c>
      <c r="AV24">
        <v>562</v>
      </c>
      <c r="AW24" t="s">
        <v>85</v>
      </c>
      <c r="AX24" t="s">
        <v>86</v>
      </c>
      <c r="AY24">
        <v>562</v>
      </c>
      <c r="AZ24" t="s">
        <v>426</v>
      </c>
      <c r="BA24" t="s">
        <v>88</v>
      </c>
      <c r="BC24" t="s">
        <v>427</v>
      </c>
      <c r="BD24">
        <v>39</v>
      </c>
    </row>
    <row r="25" spans="1:57" hidden="1" x14ac:dyDescent="0.2">
      <c r="A25" t="s">
        <v>428</v>
      </c>
      <c r="B25" t="s">
        <v>428</v>
      </c>
      <c r="C25" t="s">
        <v>429</v>
      </c>
      <c r="D25" t="s">
        <v>430</v>
      </c>
      <c r="E25" t="s">
        <v>430</v>
      </c>
      <c r="G25" t="s">
        <v>56</v>
      </c>
      <c r="H25" t="s">
        <v>57</v>
      </c>
      <c r="I25" t="s">
        <v>93</v>
      </c>
      <c r="J25">
        <v>0</v>
      </c>
      <c r="K25" t="s">
        <v>406</v>
      </c>
      <c r="L25" t="s">
        <v>389</v>
      </c>
      <c r="M25" t="s">
        <v>7165</v>
      </c>
      <c r="N25" t="s">
        <v>7162</v>
      </c>
      <c r="O25" s="1" t="s">
        <v>431</v>
      </c>
      <c r="P25" t="s">
        <v>432</v>
      </c>
      <c r="Q25" s="1" t="s">
        <v>433</v>
      </c>
      <c r="R25" s="1" t="s">
        <v>434</v>
      </c>
      <c r="S25" s="1" t="s">
        <v>435</v>
      </c>
      <c r="T25" s="1">
        <v>3695</v>
      </c>
      <c r="U25" s="1">
        <v>48393</v>
      </c>
      <c r="V25" s="1" t="s">
        <v>169</v>
      </c>
      <c r="W25" s="1">
        <v>11021340</v>
      </c>
      <c r="X25" t="s">
        <v>436</v>
      </c>
      <c r="Y25" t="s">
        <v>437</v>
      </c>
      <c r="AA25" t="s">
        <v>68</v>
      </c>
      <c r="AB25" t="s">
        <v>438</v>
      </c>
      <c r="AC25" t="s">
        <v>439</v>
      </c>
      <c r="AD25" t="s">
        <v>440</v>
      </c>
      <c r="AE25" t="s">
        <v>398</v>
      </c>
      <c r="AF25" t="s">
        <v>73</v>
      </c>
      <c r="AG25" t="s">
        <v>441</v>
      </c>
      <c r="AH25" t="s">
        <v>75</v>
      </c>
      <c r="AI25" t="s">
        <v>76</v>
      </c>
      <c r="AJ25" t="s">
        <v>77</v>
      </c>
      <c r="AK25" t="s">
        <v>442</v>
      </c>
      <c r="AL25" t="s">
        <v>107</v>
      </c>
      <c r="AM25" t="s">
        <v>80</v>
      </c>
      <c r="AN25" t="s">
        <v>81</v>
      </c>
      <c r="AO25" t="s">
        <v>82</v>
      </c>
      <c r="AP25" t="s">
        <v>83</v>
      </c>
      <c r="AQ25">
        <v>2018</v>
      </c>
      <c r="AR25">
        <v>78665</v>
      </c>
      <c r="AS25">
        <v>5479871</v>
      </c>
      <c r="AT25">
        <v>252</v>
      </c>
      <c r="AU25" t="s">
        <v>84</v>
      </c>
      <c r="AV25">
        <v>562</v>
      </c>
      <c r="AW25" t="s">
        <v>85</v>
      </c>
      <c r="AX25" t="s">
        <v>86</v>
      </c>
      <c r="AY25">
        <v>562</v>
      </c>
      <c r="AZ25" t="s">
        <v>443</v>
      </c>
      <c r="BA25" t="s">
        <v>88</v>
      </c>
    </row>
    <row r="26" spans="1:57" hidden="1" x14ac:dyDescent="0.2">
      <c r="A26" t="s">
        <v>444</v>
      </c>
      <c r="B26" t="s">
        <v>444</v>
      </c>
      <c r="C26" t="s">
        <v>445</v>
      </c>
      <c r="D26" t="s">
        <v>446</v>
      </c>
      <c r="E26" t="s">
        <v>446</v>
      </c>
      <c r="G26" t="s">
        <v>56</v>
      </c>
      <c r="H26" t="s">
        <v>57</v>
      </c>
      <c r="I26" t="s">
        <v>93</v>
      </c>
      <c r="J26">
        <v>0</v>
      </c>
      <c r="K26" t="s">
        <v>447</v>
      </c>
      <c r="L26" t="s">
        <v>389</v>
      </c>
      <c r="M26" t="s">
        <v>7165</v>
      </c>
      <c r="N26" t="s">
        <v>7162</v>
      </c>
      <c r="O26" s="1" t="s">
        <v>448</v>
      </c>
      <c r="P26" t="s">
        <v>449</v>
      </c>
      <c r="Q26" s="1" t="s">
        <v>450</v>
      </c>
      <c r="R26" s="1" t="s">
        <v>434</v>
      </c>
      <c r="S26" s="1" t="s">
        <v>451</v>
      </c>
      <c r="T26" s="1">
        <v>25</v>
      </c>
      <c r="U26" s="1">
        <v>30074</v>
      </c>
      <c r="V26" s="1" t="s">
        <v>169</v>
      </c>
      <c r="W26" s="1">
        <v>11010061</v>
      </c>
      <c r="X26" t="s">
        <v>452</v>
      </c>
      <c r="Y26" t="s">
        <v>453</v>
      </c>
      <c r="AA26" t="s">
        <v>68</v>
      </c>
      <c r="AB26" t="s">
        <v>454</v>
      </c>
      <c r="AC26" t="s">
        <v>455</v>
      </c>
      <c r="AD26" t="s">
        <v>456</v>
      </c>
      <c r="AE26" t="s">
        <v>457</v>
      </c>
      <c r="AF26" t="s">
        <v>73</v>
      </c>
      <c r="AG26" t="s">
        <v>458</v>
      </c>
      <c r="AH26" t="s">
        <v>75</v>
      </c>
      <c r="AI26" t="s">
        <v>76</v>
      </c>
      <c r="AJ26" t="s">
        <v>77</v>
      </c>
      <c r="AK26" t="s">
        <v>459</v>
      </c>
      <c r="AL26" t="s">
        <v>156</v>
      </c>
      <c r="AM26" t="s">
        <v>80</v>
      </c>
      <c r="AN26" t="s">
        <v>81</v>
      </c>
      <c r="AO26" t="s">
        <v>82</v>
      </c>
      <c r="AP26" t="s">
        <v>83</v>
      </c>
      <c r="AQ26">
        <v>2018</v>
      </c>
      <c r="AR26">
        <v>96930</v>
      </c>
      <c r="AS26">
        <v>5556093</v>
      </c>
      <c r="AT26">
        <v>232</v>
      </c>
      <c r="AU26" t="s">
        <v>84</v>
      </c>
      <c r="AV26">
        <v>562</v>
      </c>
      <c r="AW26" t="s">
        <v>85</v>
      </c>
      <c r="AX26" t="s">
        <v>86</v>
      </c>
      <c r="AY26">
        <v>562</v>
      </c>
      <c r="AZ26" t="s">
        <v>460</v>
      </c>
      <c r="BA26" t="s">
        <v>88</v>
      </c>
      <c r="BC26" t="s">
        <v>461</v>
      </c>
      <c r="BD26">
        <v>34</v>
      </c>
    </row>
    <row r="27" spans="1:57" hidden="1" x14ac:dyDescent="0.2">
      <c r="A27" t="s">
        <v>462</v>
      </c>
      <c r="B27" t="s">
        <v>462</v>
      </c>
      <c r="C27" t="s">
        <v>463</v>
      </c>
      <c r="D27" t="s">
        <v>464</v>
      </c>
      <c r="E27" t="s">
        <v>464</v>
      </c>
      <c r="G27" t="s">
        <v>56</v>
      </c>
      <c r="H27" t="s">
        <v>57</v>
      </c>
      <c r="I27" t="s">
        <v>93</v>
      </c>
      <c r="J27">
        <v>0</v>
      </c>
      <c r="K27" t="s">
        <v>406</v>
      </c>
      <c r="L27" t="s">
        <v>389</v>
      </c>
      <c r="M27" t="s">
        <v>7165</v>
      </c>
      <c r="N27" t="s">
        <v>7162</v>
      </c>
      <c r="O27" s="1" t="s">
        <v>465</v>
      </c>
      <c r="P27" t="s">
        <v>466</v>
      </c>
      <c r="Q27" s="1" t="s">
        <v>467</v>
      </c>
      <c r="R27" s="1" t="s">
        <v>434</v>
      </c>
      <c r="S27" s="1" t="s">
        <v>468</v>
      </c>
      <c r="T27" s="1">
        <v>13</v>
      </c>
      <c r="U27" s="1">
        <v>168722</v>
      </c>
      <c r="V27" s="1" t="s">
        <v>169</v>
      </c>
      <c r="W27" s="1">
        <v>11021340</v>
      </c>
      <c r="X27" t="s">
        <v>469</v>
      </c>
      <c r="Y27" t="s">
        <v>470</v>
      </c>
      <c r="AA27" t="s">
        <v>68</v>
      </c>
      <c r="AB27" t="s">
        <v>471</v>
      </c>
      <c r="AC27" t="s">
        <v>472</v>
      </c>
      <c r="AD27" t="s">
        <v>473</v>
      </c>
      <c r="AE27" t="s">
        <v>457</v>
      </c>
      <c r="AF27" t="s">
        <v>73</v>
      </c>
      <c r="AG27" t="s">
        <v>474</v>
      </c>
      <c r="AH27" t="s">
        <v>75</v>
      </c>
      <c r="AI27" t="s">
        <v>76</v>
      </c>
      <c r="AJ27" t="s">
        <v>77</v>
      </c>
      <c r="AK27" t="s">
        <v>475</v>
      </c>
      <c r="AL27" t="s">
        <v>156</v>
      </c>
      <c r="AM27" t="s">
        <v>80</v>
      </c>
      <c r="AN27" t="s">
        <v>81</v>
      </c>
      <c r="AO27" t="s">
        <v>82</v>
      </c>
      <c r="AP27" t="s">
        <v>83</v>
      </c>
      <c r="AQ27">
        <v>2018</v>
      </c>
      <c r="AR27">
        <v>67247</v>
      </c>
      <c r="AS27">
        <v>5265688</v>
      </c>
      <c r="AT27">
        <v>238</v>
      </c>
      <c r="AU27" t="s">
        <v>84</v>
      </c>
      <c r="AV27">
        <v>562</v>
      </c>
      <c r="AW27" t="s">
        <v>85</v>
      </c>
      <c r="AX27" t="s">
        <v>86</v>
      </c>
      <c r="AY27">
        <v>562</v>
      </c>
      <c r="AZ27" t="s">
        <v>476</v>
      </c>
      <c r="BA27" t="s">
        <v>88</v>
      </c>
    </row>
    <row r="28" spans="1:57" hidden="1" x14ac:dyDescent="0.2">
      <c r="A28" t="s">
        <v>477</v>
      </c>
      <c r="B28" t="s">
        <v>477</v>
      </c>
      <c r="C28" t="s">
        <v>478</v>
      </c>
      <c r="D28" t="s">
        <v>479</v>
      </c>
      <c r="E28" t="s">
        <v>479</v>
      </c>
      <c r="G28" t="s">
        <v>56</v>
      </c>
      <c r="H28" t="s">
        <v>57</v>
      </c>
      <c r="I28" t="s">
        <v>93</v>
      </c>
      <c r="J28">
        <v>0</v>
      </c>
      <c r="K28" t="s">
        <v>480</v>
      </c>
      <c r="L28" t="s">
        <v>480</v>
      </c>
      <c r="M28" t="s">
        <v>7165</v>
      </c>
      <c r="N28" t="s">
        <v>7162</v>
      </c>
      <c r="O28" s="1" t="s">
        <v>481</v>
      </c>
      <c r="P28" t="s">
        <v>482</v>
      </c>
      <c r="Q28" s="1" t="s">
        <v>166</v>
      </c>
      <c r="R28" s="1" t="s">
        <v>167</v>
      </c>
      <c r="S28" s="1" t="s">
        <v>483</v>
      </c>
      <c r="T28" s="1">
        <v>278</v>
      </c>
      <c r="U28" s="1">
        <v>1602</v>
      </c>
      <c r="V28" s="1" t="s">
        <v>169</v>
      </c>
      <c r="W28" s="1">
        <v>11075314</v>
      </c>
      <c r="X28" t="s">
        <v>484</v>
      </c>
      <c r="Y28" t="s">
        <v>485</v>
      </c>
      <c r="AA28" t="s">
        <v>68</v>
      </c>
      <c r="AB28" t="s">
        <v>486</v>
      </c>
      <c r="AC28" t="s">
        <v>487</v>
      </c>
      <c r="AD28" t="s">
        <v>488</v>
      </c>
      <c r="AE28" t="s">
        <v>457</v>
      </c>
      <c r="AF28" t="s">
        <v>73</v>
      </c>
      <c r="AG28" t="s">
        <v>489</v>
      </c>
      <c r="AH28" t="s">
        <v>75</v>
      </c>
      <c r="AI28" t="s">
        <v>76</v>
      </c>
      <c r="AJ28" t="s">
        <v>77</v>
      </c>
      <c r="AK28" t="s">
        <v>490</v>
      </c>
      <c r="AL28" t="s">
        <v>107</v>
      </c>
      <c r="AM28" t="s">
        <v>80</v>
      </c>
      <c r="AN28" t="s">
        <v>81</v>
      </c>
      <c r="AO28" t="s">
        <v>82</v>
      </c>
      <c r="AP28" t="s">
        <v>83</v>
      </c>
      <c r="AQ28">
        <v>2018</v>
      </c>
      <c r="AR28">
        <v>111482</v>
      </c>
      <c r="AS28">
        <v>5068310</v>
      </c>
      <c r="AT28">
        <v>143</v>
      </c>
      <c r="AU28" t="s">
        <v>84</v>
      </c>
      <c r="AV28">
        <v>562</v>
      </c>
      <c r="AW28" t="s">
        <v>85</v>
      </c>
      <c r="AX28" t="s">
        <v>86</v>
      </c>
      <c r="AY28">
        <v>562</v>
      </c>
      <c r="AZ28" t="s">
        <v>491</v>
      </c>
      <c r="BA28" t="s">
        <v>88</v>
      </c>
      <c r="BC28" t="s">
        <v>492</v>
      </c>
      <c r="BD28">
        <v>1</v>
      </c>
    </row>
    <row r="29" spans="1:57" hidden="1" x14ac:dyDescent="0.2">
      <c r="A29" t="s">
        <v>493</v>
      </c>
      <c r="B29" t="s">
        <v>493</v>
      </c>
      <c r="C29" t="s">
        <v>478</v>
      </c>
      <c r="D29" t="s">
        <v>494</v>
      </c>
      <c r="E29" t="s">
        <v>494</v>
      </c>
      <c r="G29" t="s">
        <v>56</v>
      </c>
      <c r="H29" t="s">
        <v>57</v>
      </c>
      <c r="I29" t="s">
        <v>93</v>
      </c>
      <c r="J29">
        <v>0</v>
      </c>
      <c r="K29" t="s">
        <v>406</v>
      </c>
      <c r="L29" t="s">
        <v>480</v>
      </c>
      <c r="M29" t="s">
        <v>7165</v>
      </c>
      <c r="N29" t="s">
        <v>7162</v>
      </c>
      <c r="O29" s="1" t="s">
        <v>481</v>
      </c>
      <c r="P29" t="s">
        <v>482</v>
      </c>
      <c r="Q29" s="1" t="s">
        <v>166</v>
      </c>
      <c r="R29" s="1" t="s">
        <v>167</v>
      </c>
      <c r="S29" s="1" t="s">
        <v>483</v>
      </c>
      <c r="T29" s="1">
        <v>278</v>
      </c>
      <c r="U29" s="1">
        <v>1602</v>
      </c>
      <c r="V29" s="1" t="s">
        <v>169</v>
      </c>
      <c r="W29" s="1">
        <v>11075314</v>
      </c>
      <c r="X29" t="s">
        <v>495</v>
      </c>
      <c r="Y29" t="s">
        <v>496</v>
      </c>
      <c r="AA29" t="s">
        <v>68</v>
      </c>
      <c r="AB29" t="s">
        <v>497</v>
      </c>
      <c r="AC29" t="s">
        <v>498</v>
      </c>
      <c r="AD29" t="s">
        <v>499</v>
      </c>
      <c r="AE29" t="s">
        <v>457</v>
      </c>
      <c r="AF29" t="s">
        <v>73</v>
      </c>
      <c r="AG29" t="s">
        <v>500</v>
      </c>
      <c r="AH29" t="s">
        <v>75</v>
      </c>
      <c r="AI29" t="s">
        <v>76</v>
      </c>
      <c r="AJ29" t="s">
        <v>77</v>
      </c>
      <c r="AK29" t="s">
        <v>490</v>
      </c>
      <c r="AL29" t="s">
        <v>107</v>
      </c>
      <c r="AM29" t="s">
        <v>80</v>
      </c>
      <c r="AN29" t="s">
        <v>81</v>
      </c>
      <c r="AO29" t="s">
        <v>82</v>
      </c>
      <c r="AP29" t="s">
        <v>83</v>
      </c>
      <c r="AQ29">
        <v>2018</v>
      </c>
      <c r="AR29">
        <v>137783</v>
      </c>
      <c r="AS29">
        <v>5061678</v>
      </c>
      <c r="AT29">
        <v>106</v>
      </c>
      <c r="AU29" t="s">
        <v>84</v>
      </c>
      <c r="AV29">
        <v>562</v>
      </c>
      <c r="AW29" t="s">
        <v>85</v>
      </c>
      <c r="AX29" t="s">
        <v>86</v>
      </c>
      <c r="AY29">
        <v>562</v>
      </c>
      <c r="AZ29" t="s">
        <v>501</v>
      </c>
      <c r="BA29" t="s">
        <v>88</v>
      </c>
      <c r="BC29" t="s">
        <v>492</v>
      </c>
      <c r="BD29">
        <v>0</v>
      </c>
    </row>
    <row r="30" spans="1:57" hidden="1" x14ac:dyDescent="0.2">
      <c r="A30" t="s">
        <v>502</v>
      </c>
      <c r="B30" t="s">
        <v>502</v>
      </c>
      <c r="C30" t="s">
        <v>478</v>
      </c>
      <c r="D30" t="s">
        <v>503</v>
      </c>
      <c r="E30" t="s">
        <v>503</v>
      </c>
      <c r="G30" t="s">
        <v>56</v>
      </c>
      <c r="H30" t="s">
        <v>57</v>
      </c>
      <c r="I30" t="s">
        <v>93</v>
      </c>
      <c r="J30">
        <v>0</v>
      </c>
      <c r="K30" t="s">
        <v>480</v>
      </c>
      <c r="L30" t="s">
        <v>480</v>
      </c>
      <c r="M30" t="s">
        <v>7165</v>
      </c>
      <c r="N30" t="s">
        <v>7162</v>
      </c>
      <c r="O30" s="1" t="s">
        <v>481</v>
      </c>
      <c r="P30" t="s">
        <v>482</v>
      </c>
      <c r="Q30" s="1" t="s">
        <v>166</v>
      </c>
      <c r="R30" s="1" t="s">
        <v>167</v>
      </c>
      <c r="S30" s="1" t="s">
        <v>483</v>
      </c>
      <c r="T30" s="1">
        <v>278</v>
      </c>
      <c r="U30" s="1">
        <v>1602</v>
      </c>
      <c r="V30" s="1" t="s">
        <v>169</v>
      </c>
      <c r="W30" s="1">
        <v>11075314</v>
      </c>
      <c r="X30" t="s">
        <v>504</v>
      </c>
      <c r="Y30" t="s">
        <v>505</v>
      </c>
      <c r="AA30" t="s">
        <v>68</v>
      </c>
      <c r="AB30" t="s">
        <v>506</v>
      </c>
      <c r="AC30" t="s">
        <v>507</v>
      </c>
      <c r="AD30" t="s">
        <v>508</v>
      </c>
      <c r="AE30" t="s">
        <v>457</v>
      </c>
      <c r="AF30" t="s">
        <v>73</v>
      </c>
      <c r="AG30" t="s">
        <v>509</v>
      </c>
      <c r="AH30" t="s">
        <v>75</v>
      </c>
      <c r="AI30" t="s">
        <v>76</v>
      </c>
      <c r="AJ30" t="s">
        <v>77</v>
      </c>
      <c r="AK30" t="s">
        <v>490</v>
      </c>
      <c r="AL30" t="s">
        <v>107</v>
      </c>
      <c r="AM30" t="s">
        <v>80</v>
      </c>
      <c r="AN30" t="s">
        <v>81</v>
      </c>
      <c r="AO30" t="s">
        <v>82</v>
      </c>
      <c r="AP30" t="s">
        <v>83</v>
      </c>
      <c r="AQ30">
        <v>2018</v>
      </c>
      <c r="AR30">
        <v>122868</v>
      </c>
      <c r="AS30">
        <v>5063139</v>
      </c>
      <c r="AT30">
        <v>121</v>
      </c>
      <c r="AU30" t="s">
        <v>84</v>
      </c>
      <c r="AV30">
        <v>562</v>
      </c>
      <c r="AW30" t="s">
        <v>85</v>
      </c>
      <c r="AX30" t="s">
        <v>86</v>
      </c>
      <c r="AY30">
        <v>562</v>
      </c>
      <c r="AZ30" t="s">
        <v>510</v>
      </c>
      <c r="BA30" t="s">
        <v>88</v>
      </c>
      <c r="BC30" t="s">
        <v>492</v>
      </c>
      <c r="BD30">
        <v>0</v>
      </c>
    </row>
    <row r="31" spans="1:57" hidden="1" x14ac:dyDescent="0.2">
      <c r="A31" t="s">
        <v>511</v>
      </c>
      <c r="B31" t="s">
        <v>511</v>
      </c>
      <c r="C31" t="s">
        <v>478</v>
      </c>
      <c r="D31" t="s">
        <v>512</v>
      </c>
      <c r="E31" t="s">
        <v>512</v>
      </c>
      <c r="G31" t="s">
        <v>56</v>
      </c>
      <c r="H31" t="s">
        <v>57</v>
      </c>
      <c r="I31" t="s">
        <v>93</v>
      </c>
      <c r="J31">
        <v>0</v>
      </c>
      <c r="K31" t="s">
        <v>480</v>
      </c>
      <c r="L31" t="s">
        <v>480</v>
      </c>
      <c r="M31" t="s">
        <v>7165</v>
      </c>
      <c r="N31" t="s">
        <v>7162</v>
      </c>
      <c r="O31" s="1" t="s">
        <v>481</v>
      </c>
      <c r="P31" t="s">
        <v>482</v>
      </c>
      <c r="Q31" s="1" t="s">
        <v>166</v>
      </c>
      <c r="R31" s="1" t="s">
        <v>167</v>
      </c>
      <c r="S31" s="1" t="s">
        <v>483</v>
      </c>
      <c r="T31" s="1">
        <v>278</v>
      </c>
      <c r="U31" s="1">
        <v>1602</v>
      </c>
      <c r="V31" s="1" t="s">
        <v>169</v>
      </c>
      <c r="W31" s="1">
        <v>11075314</v>
      </c>
      <c r="X31" t="s">
        <v>513</v>
      </c>
      <c r="Y31" t="s">
        <v>514</v>
      </c>
      <c r="AA31" t="s">
        <v>68</v>
      </c>
      <c r="AB31" t="s">
        <v>515</v>
      </c>
      <c r="AC31" t="s">
        <v>516</v>
      </c>
      <c r="AD31" t="s">
        <v>517</v>
      </c>
      <c r="AE31" t="s">
        <v>457</v>
      </c>
      <c r="AF31" t="s">
        <v>73</v>
      </c>
      <c r="AG31" t="s">
        <v>518</v>
      </c>
      <c r="AH31" t="s">
        <v>75</v>
      </c>
      <c r="AI31" t="s">
        <v>76</v>
      </c>
      <c r="AJ31" t="s">
        <v>77</v>
      </c>
      <c r="AK31" t="s">
        <v>490</v>
      </c>
      <c r="AL31" t="s">
        <v>107</v>
      </c>
      <c r="AM31" t="s">
        <v>80</v>
      </c>
      <c r="AN31" t="s">
        <v>81</v>
      </c>
      <c r="AO31" t="s">
        <v>82</v>
      </c>
      <c r="AP31" t="s">
        <v>83</v>
      </c>
      <c r="AQ31">
        <v>2018</v>
      </c>
      <c r="AR31">
        <v>137783</v>
      </c>
      <c r="AS31">
        <v>5063107</v>
      </c>
      <c r="AT31">
        <v>123</v>
      </c>
      <c r="AU31" t="s">
        <v>84</v>
      </c>
      <c r="AV31">
        <v>562</v>
      </c>
      <c r="AW31" t="s">
        <v>85</v>
      </c>
      <c r="AX31" t="s">
        <v>86</v>
      </c>
      <c r="AY31">
        <v>562</v>
      </c>
      <c r="AZ31" t="s">
        <v>519</v>
      </c>
      <c r="BA31" t="s">
        <v>88</v>
      </c>
      <c r="BC31" t="s">
        <v>492</v>
      </c>
      <c r="BD31">
        <v>0</v>
      </c>
    </row>
    <row r="32" spans="1:57" hidden="1" x14ac:dyDescent="0.2">
      <c r="A32" t="s">
        <v>520</v>
      </c>
      <c r="B32" t="s">
        <v>520</v>
      </c>
      <c r="C32" t="s">
        <v>521</v>
      </c>
      <c r="D32" t="s">
        <v>522</v>
      </c>
      <c r="E32" t="s">
        <v>522</v>
      </c>
      <c r="G32" t="s">
        <v>56</v>
      </c>
      <c r="H32" t="s">
        <v>57</v>
      </c>
      <c r="I32" t="s">
        <v>93</v>
      </c>
      <c r="J32">
        <v>0</v>
      </c>
      <c r="K32" t="s">
        <v>523</v>
      </c>
      <c r="L32" t="s">
        <v>287</v>
      </c>
      <c r="M32" t="s">
        <v>7165</v>
      </c>
      <c r="N32" t="s">
        <v>7162</v>
      </c>
      <c r="O32" s="1" t="s">
        <v>183</v>
      </c>
      <c r="P32" t="s">
        <v>184</v>
      </c>
      <c r="Q32" s="1" t="s">
        <v>126</v>
      </c>
      <c r="R32" s="1" t="s">
        <v>185</v>
      </c>
      <c r="S32" s="1" t="s">
        <v>186</v>
      </c>
      <c r="T32" s="1">
        <v>33</v>
      </c>
      <c r="U32" s="1">
        <v>1587</v>
      </c>
      <c r="V32" s="1" t="s">
        <v>169</v>
      </c>
      <c r="W32" s="1">
        <v>10443820</v>
      </c>
      <c r="X32" t="s">
        <v>524</v>
      </c>
      <c r="Y32" t="s">
        <v>525</v>
      </c>
      <c r="AA32" t="s">
        <v>68</v>
      </c>
      <c r="AB32" t="s">
        <v>526</v>
      </c>
      <c r="AC32" t="s">
        <v>527</v>
      </c>
      <c r="AD32" t="s">
        <v>528</v>
      </c>
      <c r="AE32" t="s">
        <v>304</v>
      </c>
      <c r="AF32" t="s">
        <v>73</v>
      </c>
      <c r="AG32" t="s">
        <v>529</v>
      </c>
      <c r="AI32" t="s">
        <v>76</v>
      </c>
      <c r="AJ32" t="s">
        <v>77</v>
      </c>
      <c r="AK32" t="s">
        <v>530</v>
      </c>
      <c r="AL32" t="s">
        <v>156</v>
      </c>
      <c r="AM32" t="s">
        <v>531</v>
      </c>
      <c r="AN32" t="s">
        <v>532</v>
      </c>
      <c r="AO32" t="s">
        <v>533</v>
      </c>
      <c r="AP32" t="s">
        <v>83</v>
      </c>
      <c r="AQ32">
        <v>2018</v>
      </c>
      <c r="AR32">
        <v>93515</v>
      </c>
      <c r="AS32">
        <v>5526551</v>
      </c>
      <c r="AT32">
        <v>479</v>
      </c>
      <c r="AU32" t="s">
        <v>84</v>
      </c>
      <c r="AV32">
        <v>562</v>
      </c>
      <c r="AW32" t="s">
        <v>85</v>
      </c>
      <c r="AX32" t="s">
        <v>86</v>
      </c>
      <c r="AY32">
        <v>562</v>
      </c>
      <c r="AZ32" t="s">
        <v>534</v>
      </c>
      <c r="BA32" t="s">
        <v>88</v>
      </c>
      <c r="BC32" t="s">
        <v>535</v>
      </c>
      <c r="BD32">
        <v>2</v>
      </c>
    </row>
    <row r="33" spans="1:57" hidden="1" x14ac:dyDescent="0.2">
      <c r="A33" t="s">
        <v>536</v>
      </c>
      <c r="B33" t="s">
        <v>536</v>
      </c>
      <c r="C33" t="s">
        <v>521</v>
      </c>
      <c r="D33" t="s">
        <v>537</v>
      </c>
      <c r="E33" t="s">
        <v>537</v>
      </c>
      <c r="G33" t="s">
        <v>56</v>
      </c>
      <c r="H33" t="s">
        <v>57</v>
      </c>
      <c r="I33" t="s">
        <v>93</v>
      </c>
      <c r="J33">
        <v>0</v>
      </c>
      <c r="K33" t="s">
        <v>523</v>
      </c>
      <c r="L33" t="s">
        <v>287</v>
      </c>
      <c r="M33" t="s">
        <v>7165</v>
      </c>
      <c r="N33" t="s">
        <v>7165</v>
      </c>
      <c r="O33" s="1" t="s">
        <v>183</v>
      </c>
      <c r="P33" t="s">
        <v>538</v>
      </c>
      <c r="Q33" s="1" t="s">
        <v>126</v>
      </c>
      <c r="R33" s="1" t="s">
        <v>185</v>
      </c>
      <c r="S33" s="1" t="s">
        <v>186</v>
      </c>
      <c r="T33" s="1">
        <v>33</v>
      </c>
      <c r="U33" s="1">
        <v>1587</v>
      </c>
      <c r="V33" s="1" t="s">
        <v>169</v>
      </c>
      <c r="W33" s="1">
        <v>10443820</v>
      </c>
      <c r="X33" t="s">
        <v>539</v>
      </c>
      <c r="Y33" t="s">
        <v>540</v>
      </c>
      <c r="AA33" t="s">
        <v>68</v>
      </c>
      <c r="AB33" t="s">
        <v>541</v>
      </c>
      <c r="AC33" t="s">
        <v>542</v>
      </c>
      <c r="AD33" t="s">
        <v>543</v>
      </c>
      <c r="AE33" t="s">
        <v>304</v>
      </c>
      <c r="AF33" t="s">
        <v>73</v>
      </c>
      <c r="AG33" t="s">
        <v>544</v>
      </c>
      <c r="AI33" t="s">
        <v>76</v>
      </c>
      <c r="AJ33" t="s">
        <v>77</v>
      </c>
      <c r="AK33" t="s">
        <v>545</v>
      </c>
      <c r="AL33" t="s">
        <v>546</v>
      </c>
      <c r="AM33" t="s">
        <v>531</v>
      </c>
      <c r="AN33" t="s">
        <v>532</v>
      </c>
      <c r="AO33" t="s">
        <v>533</v>
      </c>
      <c r="AP33" t="s">
        <v>83</v>
      </c>
      <c r="AQ33">
        <v>2018</v>
      </c>
      <c r="AR33">
        <v>78889</v>
      </c>
      <c r="AS33">
        <v>5581297</v>
      </c>
      <c r="AT33">
        <v>313</v>
      </c>
      <c r="AU33" t="s">
        <v>84</v>
      </c>
      <c r="AV33">
        <v>562</v>
      </c>
      <c r="AW33" t="s">
        <v>85</v>
      </c>
      <c r="AX33" t="s">
        <v>86</v>
      </c>
      <c r="AY33">
        <v>562</v>
      </c>
      <c r="AZ33" t="s">
        <v>547</v>
      </c>
      <c r="BA33" t="s">
        <v>88</v>
      </c>
      <c r="BC33" t="s">
        <v>535</v>
      </c>
      <c r="BD33">
        <v>1</v>
      </c>
    </row>
    <row r="34" spans="1:57" hidden="1" x14ac:dyDescent="0.2">
      <c r="A34" t="s">
        <v>548</v>
      </c>
      <c r="B34" t="s">
        <v>548</v>
      </c>
      <c r="C34" t="s">
        <v>521</v>
      </c>
      <c r="D34" t="s">
        <v>549</v>
      </c>
      <c r="E34" t="s">
        <v>549</v>
      </c>
      <c r="G34" t="s">
        <v>56</v>
      </c>
      <c r="H34" t="s">
        <v>57</v>
      </c>
      <c r="I34" t="s">
        <v>93</v>
      </c>
      <c r="J34">
        <v>0</v>
      </c>
      <c r="K34" t="s">
        <v>140</v>
      </c>
      <c r="L34" t="s">
        <v>287</v>
      </c>
      <c r="M34" t="s">
        <v>7165</v>
      </c>
      <c r="N34" t="s">
        <v>7165</v>
      </c>
      <c r="O34" s="1" t="s">
        <v>183</v>
      </c>
      <c r="P34" t="s">
        <v>184</v>
      </c>
      <c r="Q34" s="1" t="s">
        <v>126</v>
      </c>
      <c r="R34" s="1" t="s">
        <v>185</v>
      </c>
      <c r="S34" s="1" t="s">
        <v>186</v>
      </c>
      <c r="T34" s="1">
        <v>33</v>
      </c>
      <c r="U34" s="1">
        <v>1587</v>
      </c>
      <c r="V34" s="1" t="s">
        <v>169</v>
      </c>
      <c r="W34" s="1">
        <v>10443820</v>
      </c>
      <c r="X34" t="s">
        <v>550</v>
      </c>
      <c r="Y34" t="s">
        <v>551</v>
      </c>
      <c r="AA34" t="s">
        <v>68</v>
      </c>
      <c r="AB34" t="s">
        <v>552</v>
      </c>
      <c r="AC34" t="s">
        <v>553</v>
      </c>
      <c r="AD34" t="s">
        <v>554</v>
      </c>
      <c r="AE34" t="s">
        <v>304</v>
      </c>
      <c r="AF34" t="s">
        <v>73</v>
      </c>
      <c r="AG34" t="s">
        <v>555</v>
      </c>
      <c r="AI34" t="s">
        <v>76</v>
      </c>
      <c r="AJ34" t="s">
        <v>77</v>
      </c>
      <c r="AK34" t="s">
        <v>556</v>
      </c>
      <c r="AL34" t="s">
        <v>156</v>
      </c>
      <c r="AM34" t="s">
        <v>531</v>
      </c>
      <c r="AN34" t="s">
        <v>532</v>
      </c>
      <c r="AO34" t="s">
        <v>533</v>
      </c>
      <c r="AP34" t="s">
        <v>83</v>
      </c>
      <c r="AQ34">
        <v>2018</v>
      </c>
      <c r="AR34">
        <v>111584</v>
      </c>
      <c r="AS34">
        <v>5587588</v>
      </c>
      <c r="AT34">
        <v>319</v>
      </c>
      <c r="AU34" t="s">
        <v>84</v>
      </c>
      <c r="AV34">
        <v>562</v>
      </c>
      <c r="AW34" t="s">
        <v>85</v>
      </c>
      <c r="AX34" t="s">
        <v>86</v>
      </c>
      <c r="AY34">
        <v>562</v>
      </c>
      <c r="AZ34" t="s">
        <v>557</v>
      </c>
      <c r="BA34" t="s">
        <v>88</v>
      </c>
      <c r="BC34" t="s">
        <v>535</v>
      </c>
      <c r="BD34">
        <v>0</v>
      </c>
    </row>
    <row r="35" spans="1:57" hidden="1" x14ac:dyDescent="0.2">
      <c r="A35" t="s">
        <v>558</v>
      </c>
      <c r="B35" t="s">
        <v>558</v>
      </c>
      <c r="C35" t="s">
        <v>559</v>
      </c>
      <c r="D35" t="s">
        <v>560</v>
      </c>
      <c r="E35" t="s">
        <v>560</v>
      </c>
      <c r="G35" t="s">
        <v>56</v>
      </c>
      <c r="H35" t="s">
        <v>57</v>
      </c>
      <c r="I35" t="s">
        <v>93</v>
      </c>
      <c r="J35">
        <v>0</v>
      </c>
      <c r="K35" t="s">
        <v>561</v>
      </c>
      <c r="L35" t="s">
        <v>561</v>
      </c>
      <c r="M35" t="s">
        <v>7165</v>
      </c>
      <c r="N35" t="s">
        <v>7165</v>
      </c>
      <c r="O35" s="1" t="s">
        <v>448</v>
      </c>
      <c r="P35" t="s">
        <v>562</v>
      </c>
      <c r="Q35" s="1" t="s">
        <v>126</v>
      </c>
      <c r="R35" s="1" t="s">
        <v>434</v>
      </c>
      <c r="S35" s="1" t="s">
        <v>563</v>
      </c>
      <c r="T35" s="1">
        <v>4748</v>
      </c>
      <c r="U35" s="1">
        <v>29367</v>
      </c>
      <c r="V35" s="1" t="s">
        <v>169</v>
      </c>
      <c r="W35" s="1">
        <v>10691518</v>
      </c>
      <c r="X35" t="s">
        <v>564</v>
      </c>
      <c r="Y35" t="s">
        <v>565</v>
      </c>
      <c r="AA35" t="s">
        <v>68</v>
      </c>
      <c r="AB35" t="s">
        <v>566</v>
      </c>
      <c r="AC35" t="s">
        <v>567</v>
      </c>
      <c r="AD35" t="s">
        <v>568</v>
      </c>
      <c r="AE35" t="s">
        <v>152</v>
      </c>
      <c r="AF35" t="s">
        <v>73</v>
      </c>
      <c r="AG35" t="s">
        <v>569</v>
      </c>
      <c r="AH35" t="s">
        <v>75</v>
      </c>
      <c r="AI35" t="s">
        <v>76</v>
      </c>
      <c r="AJ35" t="s">
        <v>77</v>
      </c>
      <c r="AK35" t="s">
        <v>570</v>
      </c>
      <c r="AL35" t="s">
        <v>156</v>
      </c>
      <c r="AM35" t="s">
        <v>80</v>
      </c>
      <c r="AN35" t="s">
        <v>81</v>
      </c>
      <c r="AO35" t="s">
        <v>82</v>
      </c>
      <c r="AP35" t="s">
        <v>83</v>
      </c>
      <c r="AQ35">
        <v>2018</v>
      </c>
      <c r="AR35">
        <v>133342</v>
      </c>
      <c r="AS35">
        <v>5486624</v>
      </c>
      <c r="AT35">
        <v>400</v>
      </c>
      <c r="AU35" t="s">
        <v>84</v>
      </c>
      <c r="AV35">
        <v>562</v>
      </c>
      <c r="AW35" t="s">
        <v>85</v>
      </c>
      <c r="AX35" t="s">
        <v>86</v>
      </c>
      <c r="AY35">
        <v>562</v>
      </c>
      <c r="AZ35" t="s">
        <v>571</v>
      </c>
      <c r="BA35" t="s">
        <v>88</v>
      </c>
      <c r="BC35" t="s">
        <v>572</v>
      </c>
      <c r="BD35">
        <v>2</v>
      </c>
    </row>
    <row r="36" spans="1:57" hidden="1" x14ac:dyDescent="0.2">
      <c r="A36" t="s">
        <v>573</v>
      </c>
      <c r="B36" t="s">
        <v>573</v>
      </c>
      <c r="C36" t="s">
        <v>559</v>
      </c>
      <c r="D36" t="s">
        <v>574</v>
      </c>
      <c r="E36" t="s">
        <v>574</v>
      </c>
      <c r="G36" t="s">
        <v>56</v>
      </c>
      <c r="H36" t="s">
        <v>57</v>
      </c>
      <c r="I36" t="s">
        <v>93</v>
      </c>
      <c r="J36">
        <v>0</v>
      </c>
      <c r="K36" t="s">
        <v>406</v>
      </c>
      <c r="L36" t="s">
        <v>561</v>
      </c>
      <c r="M36" t="s">
        <v>7165</v>
      </c>
      <c r="N36" t="s">
        <v>7165</v>
      </c>
      <c r="O36" s="1" t="s">
        <v>448</v>
      </c>
      <c r="P36" t="s">
        <v>562</v>
      </c>
      <c r="Q36" s="1" t="s">
        <v>126</v>
      </c>
      <c r="R36" s="1" t="s">
        <v>434</v>
      </c>
      <c r="S36" s="1" t="s">
        <v>563</v>
      </c>
      <c r="T36" s="1">
        <v>4748</v>
      </c>
      <c r="U36" s="1">
        <v>29367</v>
      </c>
      <c r="V36" s="1" t="s">
        <v>169</v>
      </c>
      <c r="W36" s="1">
        <v>10691518</v>
      </c>
      <c r="X36" t="s">
        <v>575</v>
      </c>
      <c r="Y36" t="s">
        <v>576</v>
      </c>
      <c r="AA36" t="s">
        <v>68</v>
      </c>
      <c r="AB36" t="s">
        <v>577</v>
      </c>
      <c r="AC36" t="s">
        <v>578</v>
      </c>
      <c r="AD36" t="s">
        <v>579</v>
      </c>
      <c r="AE36" t="s">
        <v>580</v>
      </c>
      <c r="AF36" t="s">
        <v>73</v>
      </c>
      <c r="AG36" t="s">
        <v>581</v>
      </c>
      <c r="AH36" t="s">
        <v>75</v>
      </c>
      <c r="AI36" t="s">
        <v>76</v>
      </c>
      <c r="AJ36" t="s">
        <v>77</v>
      </c>
      <c r="AK36" t="s">
        <v>582</v>
      </c>
      <c r="AL36" t="s">
        <v>156</v>
      </c>
      <c r="AM36" t="s">
        <v>80</v>
      </c>
      <c r="AN36" t="s">
        <v>81</v>
      </c>
      <c r="AO36" t="s">
        <v>82</v>
      </c>
      <c r="AP36" t="s">
        <v>83</v>
      </c>
      <c r="AQ36">
        <v>2018</v>
      </c>
      <c r="AR36">
        <v>133342</v>
      </c>
      <c r="AS36">
        <v>5506710</v>
      </c>
      <c r="AT36">
        <v>354</v>
      </c>
      <c r="AU36" t="s">
        <v>84</v>
      </c>
      <c r="AV36">
        <v>562</v>
      </c>
      <c r="AW36" t="s">
        <v>85</v>
      </c>
      <c r="AX36" t="s">
        <v>86</v>
      </c>
      <c r="AY36">
        <v>562</v>
      </c>
      <c r="AZ36" t="s">
        <v>583</v>
      </c>
      <c r="BA36" t="s">
        <v>88</v>
      </c>
      <c r="BC36" t="s">
        <v>572</v>
      </c>
      <c r="BD36">
        <v>2</v>
      </c>
    </row>
    <row r="37" spans="1:57" hidden="1" x14ac:dyDescent="0.2">
      <c r="A37" t="s">
        <v>584</v>
      </c>
      <c r="B37" t="s">
        <v>584</v>
      </c>
      <c r="C37" t="s">
        <v>585</v>
      </c>
      <c r="D37" t="s">
        <v>586</v>
      </c>
      <c r="E37" t="s">
        <v>586</v>
      </c>
      <c r="G37" t="s">
        <v>56</v>
      </c>
      <c r="H37" t="s">
        <v>57</v>
      </c>
      <c r="I37" t="s">
        <v>93</v>
      </c>
      <c r="J37">
        <v>0</v>
      </c>
      <c r="K37" t="s">
        <v>447</v>
      </c>
      <c r="L37" t="s">
        <v>480</v>
      </c>
      <c r="M37" t="s">
        <v>7165</v>
      </c>
      <c r="N37" t="s">
        <v>7162</v>
      </c>
      <c r="O37" s="1" t="s">
        <v>448</v>
      </c>
      <c r="P37" t="s">
        <v>587</v>
      </c>
      <c r="Q37" s="1" t="s">
        <v>126</v>
      </c>
      <c r="R37" s="1" t="s">
        <v>434</v>
      </c>
      <c r="S37" s="1" t="s">
        <v>588</v>
      </c>
      <c r="T37" s="1">
        <v>25</v>
      </c>
      <c r="U37" s="1">
        <v>30074</v>
      </c>
      <c r="V37" s="1" t="s">
        <v>169</v>
      </c>
      <c r="W37" s="1">
        <v>10691518</v>
      </c>
      <c r="X37" t="s">
        <v>589</v>
      </c>
      <c r="Y37" t="s">
        <v>590</v>
      </c>
      <c r="AA37" t="s">
        <v>68</v>
      </c>
      <c r="AB37" t="s">
        <v>591</v>
      </c>
      <c r="AC37" t="s">
        <v>592</v>
      </c>
      <c r="AD37" t="s">
        <v>593</v>
      </c>
      <c r="AE37" t="s">
        <v>344</v>
      </c>
      <c r="AF37" t="s">
        <v>73</v>
      </c>
      <c r="AG37" t="s">
        <v>594</v>
      </c>
      <c r="AH37" t="s">
        <v>75</v>
      </c>
      <c r="AI37" t="s">
        <v>76</v>
      </c>
      <c r="AJ37" t="s">
        <v>77</v>
      </c>
      <c r="AK37" t="s">
        <v>595</v>
      </c>
      <c r="AL37" t="s">
        <v>156</v>
      </c>
      <c r="AM37" t="s">
        <v>596</v>
      </c>
      <c r="AN37" t="s">
        <v>81</v>
      </c>
      <c r="AO37" t="s">
        <v>82</v>
      </c>
      <c r="AP37" t="s">
        <v>83</v>
      </c>
      <c r="AQ37">
        <v>2018</v>
      </c>
      <c r="AR37">
        <v>113308</v>
      </c>
      <c r="AS37">
        <v>5552907</v>
      </c>
      <c r="AT37">
        <v>469</v>
      </c>
      <c r="AU37" t="s">
        <v>84</v>
      </c>
      <c r="AV37">
        <v>562</v>
      </c>
      <c r="AW37" t="s">
        <v>85</v>
      </c>
      <c r="AX37" t="s">
        <v>86</v>
      </c>
      <c r="AY37">
        <v>562</v>
      </c>
      <c r="AZ37" t="s">
        <v>597</v>
      </c>
      <c r="BA37" t="s">
        <v>88</v>
      </c>
    </row>
    <row r="38" spans="1:57" hidden="1" x14ac:dyDescent="0.2">
      <c r="A38" t="s">
        <v>598</v>
      </c>
      <c r="B38" t="s">
        <v>599</v>
      </c>
      <c r="C38" t="s">
        <v>600</v>
      </c>
      <c r="D38" t="s">
        <v>601</v>
      </c>
      <c r="E38" t="s">
        <v>601</v>
      </c>
      <c r="G38" t="s">
        <v>56</v>
      </c>
      <c r="H38" t="s">
        <v>57</v>
      </c>
      <c r="I38" t="s">
        <v>58</v>
      </c>
      <c r="J38" t="e">
        <v>#N/A</v>
      </c>
      <c r="K38" t="s">
        <v>602</v>
      </c>
      <c r="L38" t="s">
        <v>602</v>
      </c>
      <c r="M38" t="s">
        <v>7165</v>
      </c>
      <c r="N38" t="s">
        <v>7162</v>
      </c>
      <c r="O38" s="1" t="s">
        <v>603</v>
      </c>
      <c r="P38" t="s">
        <v>604</v>
      </c>
      <c r="Q38" s="1" t="s">
        <v>605</v>
      </c>
      <c r="R38" s="1" t="s">
        <v>127</v>
      </c>
      <c r="S38" s="1" t="s">
        <v>606</v>
      </c>
      <c r="T38" s="1">
        <v>11</v>
      </c>
      <c r="U38" s="1">
        <v>2124</v>
      </c>
      <c r="V38" s="1" t="s">
        <v>169</v>
      </c>
      <c r="W38" s="1" t="s">
        <v>170</v>
      </c>
      <c r="X38" t="s">
        <v>607</v>
      </c>
      <c r="Y38" t="s">
        <v>608</v>
      </c>
      <c r="AA38" t="s">
        <v>68</v>
      </c>
      <c r="AB38" t="s">
        <v>609</v>
      </c>
      <c r="AC38" t="s">
        <v>610</v>
      </c>
      <c r="AD38" t="s">
        <v>611</v>
      </c>
      <c r="AE38" t="s">
        <v>612</v>
      </c>
      <c r="AF38" t="s">
        <v>73</v>
      </c>
      <c r="AG38" t="s">
        <v>613</v>
      </c>
      <c r="AH38" t="s">
        <v>75</v>
      </c>
      <c r="AI38" t="s">
        <v>76</v>
      </c>
      <c r="AJ38" t="s">
        <v>77</v>
      </c>
      <c r="AK38" t="s">
        <v>614</v>
      </c>
      <c r="AL38" t="s">
        <v>615</v>
      </c>
      <c r="AM38" t="s">
        <v>616</v>
      </c>
      <c r="AN38" t="s">
        <v>81</v>
      </c>
      <c r="AO38" t="s">
        <v>82</v>
      </c>
      <c r="AP38" t="s">
        <v>83</v>
      </c>
      <c r="AQ38">
        <v>2000</v>
      </c>
      <c r="AR38">
        <v>157712</v>
      </c>
      <c r="AS38">
        <v>5408618</v>
      </c>
      <c r="AT38">
        <v>217</v>
      </c>
      <c r="AU38" t="s">
        <v>84</v>
      </c>
      <c r="AV38">
        <v>562</v>
      </c>
      <c r="AW38" t="s">
        <v>85</v>
      </c>
      <c r="AX38" t="s">
        <v>86</v>
      </c>
      <c r="AY38">
        <v>562</v>
      </c>
      <c r="AZ38" t="s">
        <v>617</v>
      </c>
      <c r="BA38" t="s">
        <v>88</v>
      </c>
      <c r="BC38" t="s">
        <v>618</v>
      </c>
      <c r="BD38">
        <v>1</v>
      </c>
      <c r="BE38">
        <v>33</v>
      </c>
    </row>
    <row r="39" spans="1:57" hidden="1" x14ac:dyDescent="0.2">
      <c r="A39" t="s">
        <v>619</v>
      </c>
      <c r="B39" t="s">
        <v>620</v>
      </c>
      <c r="C39" t="s">
        <v>621</v>
      </c>
      <c r="D39" t="s">
        <v>622</v>
      </c>
      <c r="E39" t="s">
        <v>622</v>
      </c>
      <c r="G39" t="s">
        <v>56</v>
      </c>
      <c r="H39" t="s">
        <v>57</v>
      </c>
      <c r="I39" t="s">
        <v>58</v>
      </c>
      <c r="J39" t="e">
        <v>#N/A</v>
      </c>
      <c r="K39" t="s">
        <v>602</v>
      </c>
      <c r="L39" t="s">
        <v>602</v>
      </c>
      <c r="M39" t="s">
        <v>7165</v>
      </c>
      <c r="N39" t="s">
        <v>7162</v>
      </c>
      <c r="O39" s="1" t="s">
        <v>603</v>
      </c>
      <c r="P39" t="s">
        <v>604</v>
      </c>
      <c r="Q39" s="1" t="s">
        <v>605</v>
      </c>
      <c r="R39" s="1" t="s">
        <v>127</v>
      </c>
      <c r="S39" s="1" t="s">
        <v>606</v>
      </c>
      <c r="T39" s="1">
        <v>11</v>
      </c>
      <c r="U39" s="1">
        <v>2124</v>
      </c>
      <c r="V39" s="1" t="s">
        <v>169</v>
      </c>
      <c r="W39" s="1" t="s">
        <v>170</v>
      </c>
      <c r="X39" t="s">
        <v>623</v>
      </c>
      <c r="Y39" t="s">
        <v>624</v>
      </c>
      <c r="AA39" t="s">
        <v>68</v>
      </c>
      <c r="AB39" t="s">
        <v>625</v>
      </c>
      <c r="AC39" t="s">
        <v>626</v>
      </c>
      <c r="AD39" t="s">
        <v>627</v>
      </c>
      <c r="AE39" t="s">
        <v>628</v>
      </c>
      <c r="AF39" t="s">
        <v>73</v>
      </c>
      <c r="AG39" t="s">
        <v>629</v>
      </c>
      <c r="AH39" t="s">
        <v>75</v>
      </c>
      <c r="AI39" t="s">
        <v>76</v>
      </c>
      <c r="AJ39" t="s">
        <v>77</v>
      </c>
      <c r="AK39" t="s">
        <v>630</v>
      </c>
      <c r="AL39" t="s">
        <v>615</v>
      </c>
      <c r="AM39" t="s">
        <v>616</v>
      </c>
      <c r="AN39" t="s">
        <v>81</v>
      </c>
      <c r="AO39" t="s">
        <v>82</v>
      </c>
      <c r="AP39" t="s">
        <v>83</v>
      </c>
      <c r="AQ39">
        <v>2000</v>
      </c>
      <c r="AR39">
        <v>160449</v>
      </c>
      <c r="AS39">
        <v>5377622</v>
      </c>
      <c r="AT39">
        <v>174</v>
      </c>
      <c r="AU39" t="s">
        <v>84</v>
      </c>
      <c r="AV39">
        <v>562</v>
      </c>
      <c r="AW39" t="s">
        <v>85</v>
      </c>
      <c r="AX39" t="s">
        <v>86</v>
      </c>
      <c r="AY39">
        <v>562</v>
      </c>
      <c r="AZ39" t="s">
        <v>631</v>
      </c>
      <c r="BA39" t="s">
        <v>88</v>
      </c>
      <c r="BC39" t="s">
        <v>632</v>
      </c>
      <c r="BD39">
        <v>30</v>
      </c>
      <c r="BE39">
        <v>26</v>
      </c>
    </row>
    <row r="40" spans="1:57" hidden="1" x14ac:dyDescent="0.2">
      <c r="A40" t="s">
        <v>633</v>
      </c>
      <c r="B40" t="s">
        <v>634</v>
      </c>
      <c r="C40" t="s">
        <v>635</v>
      </c>
      <c r="D40" t="s">
        <v>636</v>
      </c>
      <c r="E40" t="s">
        <v>636</v>
      </c>
      <c r="G40" t="s">
        <v>56</v>
      </c>
      <c r="H40" t="s">
        <v>57</v>
      </c>
      <c r="I40" t="s">
        <v>58</v>
      </c>
      <c r="J40" t="e">
        <v>#N/A</v>
      </c>
      <c r="K40" t="s">
        <v>602</v>
      </c>
      <c r="L40" t="s">
        <v>602</v>
      </c>
      <c r="M40" t="s">
        <v>7165</v>
      </c>
      <c r="N40" t="s">
        <v>7162</v>
      </c>
      <c r="O40" s="1" t="s">
        <v>603</v>
      </c>
      <c r="P40" t="s">
        <v>604</v>
      </c>
      <c r="Q40" s="1" t="s">
        <v>605</v>
      </c>
      <c r="R40" s="1" t="s">
        <v>127</v>
      </c>
      <c r="S40" s="1" t="s">
        <v>606</v>
      </c>
      <c r="T40" s="1">
        <v>11</v>
      </c>
      <c r="U40" s="1">
        <v>2124</v>
      </c>
      <c r="V40" s="1" t="s">
        <v>169</v>
      </c>
      <c r="W40" s="1" t="s">
        <v>170</v>
      </c>
      <c r="X40" t="s">
        <v>637</v>
      </c>
      <c r="Y40" t="s">
        <v>638</v>
      </c>
      <c r="AA40" t="s">
        <v>68</v>
      </c>
      <c r="AB40" t="s">
        <v>639</v>
      </c>
      <c r="AC40" t="s">
        <v>640</v>
      </c>
      <c r="AD40" t="s">
        <v>641</v>
      </c>
      <c r="AE40" t="s">
        <v>642</v>
      </c>
      <c r="AF40" t="s">
        <v>73</v>
      </c>
      <c r="AG40" t="s">
        <v>643</v>
      </c>
      <c r="AH40" t="s">
        <v>75</v>
      </c>
      <c r="AI40" t="s">
        <v>76</v>
      </c>
      <c r="AJ40" t="s">
        <v>77</v>
      </c>
      <c r="AK40" t="s">
        <v>614</v>
      </c>
      <c r="AL40" t="s">
        <v>615</v>
      </c>
      <c r="AM40" t="s">
        <v>616</v>
      </c>
      <c r="AN40" t="s">
        <v>81</v>
      </c>
      <c r="AO40" t="s">
        <v>82</v>
      </c>
      <c r="AP40" t="s">
        <v>83</v>
      </c>
      <c r="AQ40">
        <v>2000</v>
      </c>
      <c r="AR40">
        <v>160449</v>
      </c>
      <c r="AS40">
        <v>5419829</v>
      </c>
      <c r="AT40">
        <v>187</v>
      </c>
      <c r="AU40" t="s">
        <v>84</v>
      </c>
      <c r="AV40">
        <v>562</v>
      </c>
      <c r="AW40" t="s">
        <v>85</v>
      </c>
      <c r="AX40" t="s">
        <v>86</v>
      </c>
      <c r="AY40">
        <v>562</v>
      </c>
      <c r="AZ40" t="s">
        <v>644</v>
      </c>
      <c r="BA40" t="s">
        <v>88</v>
      </c>
      <c r="BC40" t="s">
        <v>618</v>
      </c>
      <c r="BD40">
        <v>1</v>
      </c>
      <c r="BE40">
        <v>32</v>
      </c>
    </row>
    <row r="41" spans="1:57" hidden="1" x14ac:dyDescent="0.2">
      <c r="A41" t="s">
        <v>645</v>
      </c>
      <c r="B41" t="s">
        <v>645</v>
      </c>
      <c r="C41" t="s">
        <v>646</v>
      </c>
      <c r="D41" t="s">
        <v>647</v>
      </c>
      <c r="E41" t="s">
        <v>647</v>
      </c>
      <c r="G41" t="s">
        <v>56</v>
      </c>
      <c r="H41" t="s">
        <v>57</v>
      </c>
      <c r="I41" t="s">
        <v>58</v>
      </c>
      <c r="J41" t="e">
        <v>#N/A</v>
      </c>
      <c r="K41" t="s">
        <v>648</v>
      </c>
      <c r="L41" t="s">
        <v>648</v>
      </c>
      <c r="M41" t="s">
        <v>7165</v>
      </c>
      <c r="N41" t="s">
        <v>7162</v>
      </c>
      <c r="O41" s="1" t="s">
        <v>603</v>
      </c>
      <c r="P41" t="s">
        <v>649</v>
      </c>
      <c r="Q41" s="1" t="s">
        <v>650</v>
      </c>
      <c r="R41" s="1" t="s">
        <v>127</v>
      </c>
      <c r="S41" s="1" t="s">
        <v>606</v>
      </c>
      <c r="T41" s="1">
        <v>11</v>
      </c>
      <c r="U41" s="1">
        <v>30512</v>
      </c>
      <c r="V41" s="1" t="s">
        <v>651</v>
      </c>
      <c r="W41" s="1">
        <v>0</v>
      </c>
      <c r="X41" t="s">
        <v>652</v>
      </c>
      <c r="Y41" t="s">
        <v>653</v>
      </c>
      <c r="AA41" t="s">
        <v>68</v>
      </c>
      <c r="AB41" t="s">
        <v>654</v>
      </c>
      <c r="AC41" t="s">
        <v>655</v>
      </c>
      <c r="AD41" t="s">
        <v>656</v>
      </c>
      <c r="AE41" t="s">
        <v>642</v>
      </c>
      <c r="AF41" t="s">
        <v>73</v>
      </c>
      <c r="AG41" t="s">
        <v>657</v>
      </c>
      <c r="AH41" t="s">
        <v>75</v>
      </c>
      <c r="AI41" t="s">
        <v>76</v>
      </c>
      <c r="AJ41" t="s">
        <v>77</v>
      </c>
      <c r="AK41" t="s">
        <v>630</v>
      </c>
      <c r="AL41" t="s">
        <v>615</v>
      </c>
      <c r="AM41" t="s">
        <v>616</v>
      </c>
      <c r="AN41" t="s">
        <v>81</v>
      </c>
      <c r="AO41" t="s">
        <v>82</v>
      </c>
      <c r="AP41" t="s">
        <v>83</v>
      </c>
      <c r="AQ41">
        <v>2001</v>
      </c>
      <c r="AR41">
        <v>150261</v>
      </c>
      <c r="AS41">
        <v>5380523</v>
      </c>
      <c r="AT41">
        <v>228</v>
      </c>
      <c r="AU41" t="s">
        <v>84</v>
      </c>
      <c r="AV41">
        <v>562</v>
      </c>
      <c r="AW41" t="s">
        <v>85</v>
      </c>
      <c r="AX41" t="s">
        <v>86</v>
      </c>
      <c r="AY41">
        <v>562</v>
      </c>
      <c r="AZ41" t="s">
        <v>658</v>
      </c>
      <c r="BA41" t="s">
        <v>88</v>
      </c>
      <c r="BC41" t="s">
        <v>659</v>
      </c>
      <c r="BD41">
        <v>18</v>
      </c>
      <c r="BE41">
        <v>15</v>
      </c>
    </row>
    <row r="42" spans="1:57" hidden="1" x14ac:dyDescent="0.2">
      <c r="A42" t="s">
        <v>660</v>
      </c>
      <c r="B42" t="s">
        <v>660</v>
      </c>
      <c r="C42" t="s">
        <v>661</v>
      </c>
      <c r="D42" t="s">
        <v>662</v>
      </c>
      <c r="E42" t="s">
        <v>662</v>
      </c>
      <c r="G42" t="s">
        <v>56</v>
      </c>
      <c r="H42" t="s">
        <v>57</v>
      </c>
      <c r="I42" t="s">
        <v>58</v>
      </c>
      <c r="J42" t="e">
        <v>#N/A</v>
      </c>
      <c r="K42" t="s">
        <v>648</v>
      </c>
      <c r="L42" t="s">
        <v>648</v>
      </c>
      <c r="M42" t="s">
        <v>7165</v>
      </c>
      <c r="N42" t="s">
        <v>7162</v>
      </c>
      <c r="O42" s="1" t="s">
        <v>603</v>
      </c>
      <c r="P42" t="s">
        <v>649</v>
      </c>
      <c r="Q42" s="1" t="s">
        <v>650</v>
      </c>
      <c r="R42" s="1" t="s">
        <v>127</v>
      </c>
      <c r="S42" s="1" t="s">
        <v>606</v>
      </c>
      <c r="T42" s="1">
        <v>11</v>
      </c>
      <c r="U42" s="1">
        <v>2124</v>
      </c>
      <c r="V42" s="1" t="s">
        <v>651</v>
      </c>
      <c r="W42" s="1">
        <v>0</v>
      </c>
      <c r="X42" t="s">
        <v>663</v>
      </c>
      <c r="Y42" t="s">
        <v>664</v>
      </c>
      <c r="AA42" t="s">
        <v>68</v>
      </c>
      <c r="AB42" t="s">
        <v>665</v>
      </c>
      <c r="AC42" t="s">
        <v>666</v>
      </c>
      <c r="AD42" t="s">
        <v>667</v>
      </c>
      <c r="AE42" t="s">
        <v>642</v>
      </c>
      <c r="AF42" t="s">
        <v>73</v>
      </c>
      <c r="AG42" t="s">
        <v>668</v>
      </c>
      <c r="AH42" t="s">
        <v>75</v>
      </c>
      <c r="AI42" t="s">
        <v>76</v>
      </c>
      <c r="AJ42" t="s">
        <v>77</v>
      </c>
      <c r="AK42" t="s">
        <v>669</v>
      </c>
      <c r="AL42" t="s">
        <v>615</v>
      </c>
      <c r="AM42" t="s">
        <v>616</v>
      </c>
      <c r="AN42" t="s">
        <v>81</v>
      </c>
      <c r="AO42" t="s">
        <v>82</v>
      </c>
      <c r="AP42" t="s">
        <v>83</v>
      </c>
      <c r="AQ42">
        <v>2001</v>
      </c>
      <c r="AR42">
        <v>142555</v>
      </c>
      <c r="AS42">
        <v>5328687</v>
      </c>
      <c r="AT42">
        <v>189</v>
      </c>
      <c r="AU42" t="s">
        <v>84</v>
      </c>
      <c r="AV42">
        <v>562</v>
      </c>
      <c r="AW42" t="s">
        <v>85</v>
      </c>
      <c r="AX42" t="s">
        <v>86</v>
      </c>
      <c r="AY42">
        <v>562</v>
      </c>
      <c r="AZ42" t="s">
        <v>670</v>
      </c>
      <c r="BA42" t="s">
        <v>88</v>
      </c>
    </row>
    <row r="43" spans="1:57" hidden="1" x14ac:dyDescent="0.2">
      <c r="A43" t="s">
        <v>671</v>
      </c>
      <c r="B43" t="s">
        <v>671</v>
      </c>
      <c r="C43" t="s">
        <v>672</v>
      </c>
      <c r="D43" t="s">
        <v>673</v>
      </c>
      <c r="E43" t="s">
        <v>673</v>
      </c>
      <c r="G43" t="s">
        <v>56</v>
      </c>
      <c r="H43" t="s">
        <v>57</v>
      </c>
      <c r="I43" t="s">
        <v>58</v>
      </c>
      <c r="J43" t="e">
        <v>#N/A</v>
      </c>
      <c r="K43" t="s">
        <v>648</v>
      </c>
      <c r="L43" t="s">
        <v>648</v>
      </c>
      <c r="M43" t="s">
        <v>7165</v>
      </c>
      <c r="N43" t="s">
        <v>7162</v>
      </c>
      <c r="O43" s="1" t="s">
        <v>603</v>
      </c>
      <c r="P43" t="s">
        <v>649</v>
      </c>
      <c r="Q43" s="1" t="s">
        <v>674</v>
      </c>
      <c r="R43" s="1" t="s">
        <v>64</v>
      </c>
      <c r="S43" s="1" t="s">
        <v>675</v>
      </c>
      <c r="T43" s="1">
        <v>11</v>
      </c>
      <c r="U43" s="1">
        <v>2124</v>
      </c>
      <c r="V43" s="1" t="s">
        <v>651</v>
      </c>
      <c r="W43" s="1">
        <v>0</v>
      </c>
      <c r="X43" t="s">
        <v>676</v>
      </c>
      <c r="Y43" t="s">
        <v>677</v>
      </c>
      <c r="AA43" t="s">
        <v>68</v>
      </c>
      <c r="AB43" t="s">
        <v>678</v>
      </c>
      <c r="AC43" t="s">
        <v>679</v>
      </c>
      <c r="AD43" t="s">
        <v>680</v>
      </c>
      <c r="AE43" t="s">
        <v>642</v>
      </c>
      <c r="AF43" t="s">
        <v>73</v>
      </c>
      <c r="AG43" t="s">
        <v>681</v>
      </c>
      <c r="AH43" t="s">
        <v>75</v>
      </c>
      <c r="AI43" t="s">
        <v>76</v>
      </c>
      <c r="AJ43" t="s">
        <v>77</v>
      </c>
      <c r="AK43" t="s">
        <v>682</v>
      </c>
      <c r="AL43" t="s">
        <v>615</v>
      </c>
      <c r="AM43" t="s">
        <v>616</v>
      </c>
      <c r="AN43" t="s">
        <v>81</v>
      </c>
      <c r="AO43" t="s">
        <v>82</v>
      </c>
      <c r="AP43" t="s">
        <v>83</v>
      </c>
      <c r="AQ43">
        <v>2001</v>
      </c>
      <c r="AR43">
        <v>157599</v>
      </c>
      <c r="AS43">
        <v>5373582</v>
      </c>
      <c r="AT43">
        <v>165</v>
      </c>
      <c r="AU43" t="s">
        <v>84</v>
      </c>
      <c r="AV43">
        <v>562</v>
      </c>
      <c r="AW43" t="s">
        <v>85</v>
      </c>
      <c r="AX43" t="s">
        <v>86</v>
      </c>
      <c r="AY43">
        <v>562</v>
      </c>
      <c r="AZ43" t="s">
        <v>683</v>
      </c>
      <c r="BA43" t="s">
        <v>88</v>
      </c>
      <c r="BC43" t="s">
        <v>632</v>
      </c>
      <c r="BD43">
        <v>28</v>
      </c>
      <c r="BE43">
        <v>26</v>
      </c>
    </row>
    <row r="44" spans="1:57" hidden="1" x14ac:dyDescent="0.2">
      <c r="A44" t="s">
        <v>684</v>
      </c>
      <c r="B44" t="s">
        <v>684</v>
      </c>
      <c r="C44" t="s">
        <v>685</v>
      </c>
      <c r="D44" t="s">
        <v>686</v>
      </c>
      <c r="E44" t="s">
        <v>686</v>
      </c>
      <c r="G44" t="s">
        <v>56</v>
      </c>
      <c r="H44" t="s">
        <v>57</v>
      </c>
      <c r="I44" t="s">
        <v>58</v>
      </c>
      <c r="J44" t="e">
        <v>#N/A</v>
      </c>
      <c r="K44" t="s">
        <v>648</v>
      </c>
      <c r="L44" t="s">
        <v>648</v>
      </c>
      <c r="M44" t="s">
        <v>7165</v>
      </c>
      <c r="N44" t="s">
        <v>7162</v>
      </c>
      <c r="O44" s="1" t="s">
        <v>603</v>
      </c>
      <c r="P44" t="s">
        <v>604</v>
      </c>
      <c r="Q44" s="1" t="s">
        <v>605</v>
      </c>
      <c r="R44" s="1" t="s">
        <v>127</v>
      </c>
      <c r="S44" s="1" t="s">
        <v>606</v>
      </c>
      <c r="T44" s="1">
        <v>11</v>
      </c>
      <c r="U44" s="1">
        <v>2124</v>
      </c>
      <c r="V44" s="1" t="s">
        <v>169</v>
      </c>
      <c r="W44" s="1" t="s">
        <v>170</v>
      </c>
      <c r="X44" t="s">
        <v>687</v>
      </c>
      <c r="Y44" t="s">
        <v>688</v>
      </c>
      <c r="AA44" t="s">
        <v>68</v>
      </c>
      <c r="AB44" t="s">
        <v>689</v>
      </c>
      <c r="AC44" t="s">
        <v>690</v>
      </c>
      <c r="AD44" t="s">
        <v>691</v>
      </c>
      <c r="AE44" t="s">
        <v>692</v>
      </c>
      <c r="AF44" t="s">
        <v>73</v>
      </c>
      <c r="AG44" t="s">
        <v>693</v>
      </c>
      <c r="AH44" t="s">
        <v>75</v>
      </c>
      <c r="AI44" t="s">
        <v>76</v>
      </c>
      <c r="AJ44" t="s">
        <v>77</v>
      </c>
      <c r="AK44" t="s">
        <v>694</v>
      </c>
      <c r="AL44" t="s">
        <v>615</v>
      </c>
      <c r="AM44" t="s">
        <v>616</v>
      </c>
      <c r="AN44" t="s">
        <v>81</v>
      </c>
      <c r="AO44" t="s">
        <v>82</v>
      </c>
      <c r="AP44" t="s">
        <v>83</v>
      </c>
      <c r="AQ44">
        <v>2002</v>
      </c>
      <c r="AR44">
        <v>146507</v>
      </c>
      <c r="AS44">
        <v>5443939</v>
      </c>
      <c r="AT44">
        <v>216</v>
      </c>
      <c r="AU44" t="s">
        <v>84</v>
      </c>
      <c r="AV44">
        <v>562</v>
      </c>
      <c r="AW44" t="s">
        <v>85</v>
      </c>
      <c r="AX44" t="s">
        <v>86</v>
      </c>
      <c r="AY44">
        <v>562</v>
      </c>
      <c r="AZ44" t="s">
        <v>695</v>
      </c>
      <c r="BA44" t="s">
        <v>88</v>
      </c>
      <c r="BC44" t="s">
        <v>696</v>
      </c>
      <c r="BE44">
        <v>12</v>
      </c>
    </row>
    <row r="45" spans="1:57" hidden="1" x14ac:dyDescent="0.2">
      <c r="A45" t="s">
        <v>697</v>
      </c>
      <c r="B45" t="s">
        <v>697</v>
      </c>
      <c r="C45" t="s">
        <v>698</v>
      </c>
      <c r="D45" t="s">
        <v>699</v>
      </c>
      <c r="E45" t="s">
        <v>699</v>
      </c>
      <c r="G45" t="s">
        <v>56</v>
      </c>
      <c r="H45" t="s">
        <v>57</v>
      </c>
      <c r="I45" t="s">
        <v>58</v>
      </c>
      <c r="J45" t="e">
        <v>#N/A</v>
      </c>
      <c r="K45" t="s">
        <v>700</v>
      </c>
      <c r="L45" t="s">
        <v>700</v>
      </c>
      <c r="M45" t="s">
        <v>7165</v>
      </c>
      <c r="N45" t="s">
        <v>7162</v>
      </c>
      <c r="O45" s="1" t="s">
        <v>603</v>
      </c>
      <c r="P45" t="s">
        <v>649</v>
      </c>
      <c r="Q45" s="1" t="s">
        <v>674</v>
      </c>
      <c r="R45" s="1" t="s">
        <v>270</v>
      </c>
      <c r="S45" s="1" t="s">
        <v>701</v>
      </c>
      <c r="T45" s="1">
        <v>11</v>
      </c>
      <c r="U45" s="1">
        <v>2131</v>
      </c>
      <c r="V45" s="1" t="s">
        <v>651</v>
      </c>
      <c r="W45" s="1" t="s">
        <v>170</v>
      </c>
      <c r="X45" t="s">
        <v>702</v>
      </c>
      <c r="Y45" t="s">
        <v>703</v>
      </c>
      <c r="AA45" t="s">
        <v>68</v>
      </c>
      <c r="AB45" t="s">
        <v>704</v>
      </c>
      <c r="AC45" t="s">
        <v>705</v>
      </c>
      <c r="AD45" t="s">
        <v>706</v>
      </c>
      <c r="AE45" t="s">
        <v>692</v>
      </c>
      <c r="AF45" t="s">
        <v>73</v>
      </c>
      <c r="AG45" t="s">
        <v>707</v>
      </c>
      <c r="AH45" t="s">
        <v>75</v>
      </c>
      <c r="AI45" t="s">
        <v>76</v>
      </c>
      <c r="AJ45" t="s">
        <v>77</v>
      </c>
      <c r="AK45" t="s">
        <v>708</v>
      </c>
      <c r="AL45" t="s">
        <v>615</v>
      </c>
      <c r="AM45" t="s">
        <v>616</v>
      </c>
      <c r="AN45" t="s">
        <v>81</v>
      </c>
      <c r="AO45" t="s">
        <v>82</v>
      </c>
      <c r="AP45" t="s">
        <v>83</v>
      </c>
      <c r="AQ45">
        <v>2004</v>
      </c>
      <c r="AR45">
        <v>175086</v>
      </c>
      <c r="AS45">
        <v>5306769</v>
      </c>
      <c r="AT45">
        <v>185</v>
      </c>
      <c r="AU45" t="s">
        <v>84</v>
      </c>
      <c r="AV45">
        <v>562</v>
      </c>
      <c r="AW45" t="s">
        <v>85</v>
      </c>
      <c r="AX45" t="s">
        <v>86</v>
      </c>
      <c r="AY45">
        <v>562</v>
      </c>
      <c r="AZ45" t="s">
        <v>709</v>
      </c>
      <c r="BA45" t="s">
        <v>88</v>
      </c>
      <c r="BC45" t="s">
        <v>710</v>
      </c>
      <c r="BD45">
        <v>0</v>
      </c>
      <c r="BE45">
        <v>25</v>
      </c>
    </row>
    <row r="46" spans="1:57" hidden="1" x14ac:dyDescent="0.2">
      <c r="A46" t="s">
        <v>711</v>
      </c>
      <c r="B46" t="s">
        <v>711</v>
      </c>
      <c r="C46" t="s">
        <v>698</v>
      </c>
      <c r="D46" t="s">
        <v>712</v>
      </c>
      <c r="E46" t="s">
        <v>712</v>
      </c>
      <c r="G46" t="s">
        <v>56</v>
      </c>
      <c r="H46" t="s">
        <v>57</v>
      </c>
      <c r="I46" t="s">
        <v>58</v>
      </c>
      <c r="J46" t="e">
        <v>#N/A</v>
      </c>
      <c r="K46" t="s">
        <v>700</v>
      </c>
      <c r="L46" t="s">
        <v>700</v>
      </c>
      <c r="M46" t="s">
        <v>7165</v>
      </c>
      <c r="N46" t="s">
        <v>7162</v>
      </c>
      <c r="O46" s="1" t="s">
        <v>603</v>
      </c>
      <c r="P46" t="s">
        <v>649</v>
      </c>
      <c r="Q46" s="1" t="s">
        <v>674</v>
      </c>
      <c r="R46" s="1" t="s">
        <v>64</v>
      </c>
      <c r="S46" s="1" t="s">
        <v>713</v>
      </c>
      <c r="T46" s="1">
        <v>11</v>
      </c>
      <c r="U46" s="1">
        <v>2131</v>
      </c>
      <c r="V46" s="1" t="s">
        <v>651</v>
      </c>
      <c r="W46" s="1" t="s">
        <v>170</v>
      </c>
      <c r="X46" t="s">
        <v>714</v>
      </c>
      <c r="Y46" t="s">
        <v>715</v>
      </c>
      <c r="AA46" t="s">
        <v>68</v>
      </c>
      <c r="AB46" t="s">
        <v>716</v>
      </c>
      <c r="AC46" t="s">
        <v>717</v>
      </c>
      <c r="AD46" t="s">
        <v>718</v>
      </c>
      <c r="AE46" t="s">
        <v>692</v>
      </c>
      <c r="AF46" t="s">
        <v>73</v>
      </c>
      <c r="AG46" t="s">
        <v>719</v>
      </c>
      <c r="AI46" t="s">
        <v>76</v>
      </c>
      <c r="AJ46" t="s">
        <v>77</v>
      </c>
      <c r="AK46" t="s">
        <v>720</v>
      </c>
      <c r="AL46" t="s">
        <v>615</v>
      </c>
      <c r="AM46" t="s">
        <v>721</v>
      </c>
      <c r="AN46" t="s">
        <v>532</v>
      </c>
      <c r="AO46" t="s">
        <v>533</v>
      </c>
      <c r="AP46" t="s">
        <v>83</v>
      </c>
      <c r="AQ46">
        <v>2004</v>
      </c>
      <c r="AR46">
        <v>136107</v>
      </c>
      <c r="AS46">
        <v>5361234</v>
      </c>
      <c r="AT46">
        <v>218</v>
      </c>
      <c r="AU46" t="s">
        <v>84</v>
      </c>
      <c r="AV46">
        <v>562</v>
      </c>
      <c r="AW46" t="s">
        <v>85</v>
      </c>
      <c r="AX46" t="s">
        <v>86</v>
      </c>
      <c r="AY46">
        <v>562</v>
      </c>
      <c r="AZ46" t="s">
        <v>722</v>
      </c>
      <c r="BA46" t="s">
        <v>88</v>
      </c>
      <c r="BC46" t="s">
        <v>710</v>
      </c>
      <c r="BD46">
        <v>0</v>
      </c>
      <c r="BE46">
        <v>25</v>
      </c>
    </row>
    <row r="47" spans="1:57" hidden="1" x14ac:dyDescent="0.2">
      <c r="A47" t="s">
        <v>723</v>
      </c>
      <c r="B47" t="s">
        <v>723</v>
      </c>
      <c r="C47" t="s">
        <v>724</v>
      </c>
      <c r="D47" t="s">
        <v>725</v>
      </c>
      <c r="E47" t="s">
        <v>725</v>
      </c>
      <c r="G47" t="s">
        <v>56</v>
      </c>
      <c r="H47" t="s">
        <v>57</v>
      </c>
      <c r="I47" t="s">
        <v>58</v>
      </c>
      <c r="J47" t="e">
        <v>#N/A</v>
      </c>
      <c r="K47" t="s">
        <v>726</v>
      </c>
      <c r="L47" t="s">
        <v>726</v>
      </c>
      <c r="M47" t="s">
        <v>7165</v>
      </c>
      <c r="N47" t="s">
        <v>7162</v>
      </c>
      <c r="O47" s="1" t="s">
        <v>603</v>
      </c>
      <c r="P47" t="s">
        <v>649</v>
      </c>
      <c r="Q47" s="1" t="s">
        <v>650</v>
      </c>
      <c r="R47" s="1" t="s">
        <v>127</v>
      </c>
      <c r="S47" s="1" t="s">
        <v>606</v>
      </c>
      <c r="T47" s="1">
        <v>11</v>
      </c>
      <c r="U47" s="1">
        <v>2133</v>
      </c>
      <c r="V47" s="1" t="s">
        <v>651</v>
      </c>
      <c r="W47" s="1" t="s">
        <v>170</v>
      </c>
      <c r="X47" t="s">
        <v>727</v>
      </c>
      <c r="Y47" t="s">
        <v>728</v>
      </c>
      <c r="AA47" t="s">
        <v>68</v>
      </c>
      <c r="AB47" t="s">
        <v>729</v>
      </c>
      <c r="AC47" t="s">
        <v>730</v>
      </c>
      <c r="AD47" t="s">
        <v>731</v>
      </c>
      <c r="AE47" t="s">
        <v>692</v>
      </c>
      <c r="AF47" t="s">
        <v>73</v>
      </c>
      <c r="AG47" t="s">
        <v>732</v>
      </c>
      <c r="AH47" t="s">
        <v>75</v>
      </c>
      <c r="AI47" t="s">
        <v>76</v>
      </c>
      <c r="AJ47" t="s">
        <v>77</v>
      </c>
      <c r="AK47" t="s">
        <v>733</v>
      </c>
      <c r="AL47" t="s">
        <v>615</v>
      </c>
      <c r="AM47" t="s">
        <v>616</v>
      </c>
      <c r="AN47" t="s">
        <v>81</v>
      </c>
      <c r="AO47" t="s">
        <v>82</v>
      </c>
      <c r="AP47" t="s">
        <v>83</v>
      </c>
      <c r="AQ47">
        <v>2004</v>
      </c>
      <c r="AR47">
        <v>71779</v>
      </c>
      <c r="AS47">
        <v>5333120</v>
      </c>
      <c r="AT47">
        <v>278</v>
      </c>
      <c r="AU47" t="s">
        <v>84</v>
      </c>
      <c r="AV47">
        <v>562</v>
      </c>
      <c r="AW47" t="s">
        <v>85</v>
      </c>
      <c r="AX47" t="s">
        <v>86</v>
      </c>
      <c r="AY47">
        <v>562</v>
      </c>
      <c r="AZ47" t="s">
        <v>734</v>
      </c>
      <c r="BA47" t="s">
        <v>88</v>
      </c>
      <c r="BC47" t="s">
        <v>735</v>
      </c>
      <c r="BD47">
        <v>7</v>
      </c>
      <c r="BE47">
        <v>6</v>
      </c>
    </row>
    <row r="48" spans="1:57" hidden="1" x14ac:dyDescent="0.2">
      <c r="A48" t="s">
        <v>736</v>
      </c>
      <c r="B48" t="s">
        <v>736</v>
      </c>
      <c r="C48" t="s">
        <v>737</v>
      </c>
      <c r="D48" t="s">
        <v>738</v>
      </c>
      <c r="E48" t="s">
        <v>738</v>
      </c>
      <c r="G48" t="s">
        <v>56</v>
      </c>
      <c r="H48" t="s">
        <v>57</v>
      </c>
      <c r="I48" t="s">
        <v>58</v>
      </c>
      <c r="J48" t="e">
        <v>#N/A</v>
      </c>
      <c r="K48" t="s">
        <v>648</v>
      </c>
      <c r="L48" t="s">
        <v>648</v>
      </c>
      <c r="M48" t="s">
        <v>7165</v>
      </c>
      <c r="N48" t="s">
        <v>7162</v>
      </c>
      <c r="O48" s="1" t="s">
        <v>603</v>
      </c>
      <c r="P48" t="s">
        <v>649</v>
      </c>
      <c r="Q48" s="1" t="s">
        <v>650</v>
      </c>
      <c r="R48" s="1" t="s">
        <v>127</v>
      </c>
      <c r="S48" s="1" t="s">
        <v>606</v>
      </c>
      <c r="T48" s="1">
        <v>11</v>
      </c>
      <c r="U48" s="1">
        <v>2124</v>
      </c>
      <c r="V48" s="1" t="s">
        <v>651</v>
      </c>
      <c r="W48" s="1" t="s">
        <v>170</v>
      </c>
      <c r="X48" t="s">
        <v>739</v>
      </c>
      <c r="Y48" t="s">
        <v>740</v>
      </c>
      <c r="AA48" t="s">
        <v>68</v>
      </c>
      <c r="AB48" t="s">
        <v>741</v>
      </c>
      <c r="AC48" t="s">
        <v>742</v>
      </c>
      <c r="AD48" t="s">
        <v>743</v>
      </c>
      <c r="AE48" t="s">
        <v>692</v>
      </c>
      <c r="AF48" t="s">
        <v>73</v>
      </c>
      <c r="AG48" t="s">
        <v>744</v>
      </c>
      <c r="AH48" t="s">
        <v>75</v>
      </c>
      <c r="AI48" t="s">
        <v>76</v>
      </c>
      <c r="AJ48" t="s">
        <v>77</v>
      </c>
      <c r="AK48" t="s">
        <v>745</v>
      </c>
      <c r="AL48" t="s">
        <v>615</v>
      </c>
      <c r="AM48" t="s">
        <v>616</v>
      </c>
      <c r="AN48" t="s">
        <v>81</v>
      </c>
      <c r="AO48" t="s">
        <v>82</v>
      </c>
      <c r="AP48" t="s">
        <v>83</v>
      </c>
      <c r="AQ48">
        <v>2004</v>
      </c>
      <c r="AR48">
        <v>106634</v>
      </c>
      <c r="AS48">
        <v>5414764</v>
      </c>
      <c r="AT48">
        <v>221</v>
      </c>
      <c r="AU48" t="s">
        <v>84</v>
      </c>
      <c r="AV48">
        <v>562</v>
      </c>
      <c r="AW48" t="s">
        <v>85</v>
      </c>
      <c r="AX48" t="s">
        <v>86</v>
      </c>
      <c r="AY48">
        <v>562</v>
      </c>
      <c r="AZ48" t="s">
        <v>746</v>
      </c>
      <c r="BA48" t="s">
        <v>88</v>
      </c>
    </row>
    <row r="49" spans="1:57" hidden="1" x14ac:dyDescent="0.2">
      <c r="A49" t="s">
        <v>747</v>
      </c>
      <c r="B49" t="s">
        <v>747</v>
      </c>
      <c r="C49" t="s">
        <v>748</v>
      </c>
      <c r="D49" t="s">
        <v>749</v>
      </c>
      <c r="E49" t="s">
        <v>749</v>
      </c>
      <c r="G49" t="s">
        <v>56</v>
      </c>
      <c r="H49" t="s">
        <v>57</v>
      </c>
      <c r="I49" t="s">
        <v>58</v>
      </c>
      <c r="J49" t="e">
        <v>#N/A</v>
      </c>
      <c r="K49" t="s">
        <v>648</v>
      </c>
      <c r="L49" t="s">
        <v>648</v>
      </c>
      <c r="M49" t="s">
        <v>7165</v>
      </c>
      <c r="N49" t="s">
        <v>7162</v>
      </c>
      <c r="O49" s="1" t="s">
        <v>603</v>
      </c>
      <c r="P49" t="s">
        <v>649</v>
      </c>
      <c r="Q49" s="1" t="s">
        <v>750</v>
      </c>
      <c r="R49" s="1" t="s">
        <v>250</v>
      </c>
      <c r="S49" s="1" t="s">
        <v>751</v>
      </c>
      <c r="T49" s="1">
        <v>11</v>
      </c>
      <c r="U49" s="1">
        <v>2105</v>
      </c>
      <c r="V49" s="1" t="s">
        <v>651</v>
      </c>
      <c r="W49" s="1" t="s">
        <v>170</v>
      </c>
      <c r="X49" t="s">
        <v>752</v>
      </c>
      <c r="Y49" t="s">
        <v>753</v>
      </c>
      <c r="AA49" t="s">
        <v>68</v>
      </c>
      <c r="AB49" t="s">
        <v>754</v>
      </c>
      <c r="AC49" t="s">
        <v>755</v>
      </c>
      <c r="AD49" t="s">
        <v>756</v>
      </c>
      <c r="AE49" t="s">
        <v>757</v>
      </c>
      <c r="AF49" t="s">
        <v>73</v>
      </c>
      <c r="AG49" t="s">
        <v>758</v>
      </c>
      <c r="AH49" t="s">
        <v>75</v>
      </c>
      <c r="AI49" t="s">
        <v>76</v>
      </c>
      <c r="AJ49" t="s">
        <v>77</v>
      </c>
      <c r="AK49" t="s">
        <v>759</v>
      </c>
      <c r="AL49" t="s">
        <v>615</v>
      </c>
      <c r="AM49" t="s">
        <v>616</v>
      </c>
      <c r="AN49" t="s">
        <v>81</v>
      </c>
      <c r="AO49" t="s">
        <v>82</v>
      </c>
      <c r="AP49" t="s">
        <v>83</v>
      </c>
      <c r="AQ49">
        <v>2004</v>
      </c>
      <c r="AR49">
        <v>106899</v>
      </c>
      <c r="AS49">
        <v>5328316</v>
      </c>
      <c r="AT49">
        <v>208</v>
      </c>
      <c r="AU49" t="s">
        <v>84</v>
      </c>
      <c r="AV49">
        <v>562</v>
      </c>
      <c r="AW49" t="s">
        <v>85</v>
      </c>
      <c r="AX49" t="s">
        <v>86</v>
      </c>
      <c r="AY49">
        <v>562</v>
      </c>
      <c r="AZ49" t="s">
        <v>760</v>
      </c>
      <c r="BA49" t="s">
        <v>88</v>
      </c>
    </row>
    <row r="50" spans="1:57" hidden="1" x14ac:dyDescent="0.2">
      <c r="A50" t="s">
        <v>761</v>
      </c>
      <c r="B50" t="s">
        <v>761</v>
      </c>
      <c r="C50" t="s">
        <v>762</v>
      </c>
      <c r="D50" t="s">
        <v>763</v>
      </c>
      <c r="E50" t="s">
        <v>763</v>
      </c>
      <c r="G50" t="s">
        <v>56</v>
      </c>
      <c r="H50" t="s">
        <v>57</v>
      </c>
      <c r="I50" t="s">
        <v>58</v>
      </c>
      <c r="J50" t="e">
        <v>#N/A</v>
      </c>
      <c r="K50" t="s">
        <v>648</v>
      </c>
      <c r="L50" t="s">
        <v>648</v>
      </c>
      <c r="M50" t="s">
        <v>7165</v>
      </c>
      <c r="N50" t="s">
        <v>7162</v>
      </c>
      <c r="O50" s="1" t="s">
        <v>603</v>
      </c>
      <c r="P50" t="s">
        <v>649</v>
      </c>
      <c r="Q50" s="1" t="s">
        <v>650</v>
      </c>
      <c r="R50" s="1" t="s">
        <v>127</v>
      </c>
      <c r="S50" s="1" t="s">
        <v>606</v>
      </c>
      <c r="T50" s="1">
        <v>11</v>
      </c>
      <c r="U50" s="1">
        <v>2124</v>
      </c>
      <c r="V50" s="1" t="s">
        <v>651</v>
      </c>
      <c r="W50" s="1" t="s">
        <v>170</v>
      </c>
      <c r="X50" t="s">
        <v>764</v>
      </c>
      <c r="Y50" t="s">
        <v>765</v>
      </c>
      <c r="AA50" t="s">
        <v>68</v>
      </c>
      <c r="AB50" t="s">
        <v>766</v>
      </c>
      <c r="AC50" t="s">
        <v>767</v>
      </c>
      <c r="AD50" t="s">
        <v>768</v>
      </c>
      <c r="AE50" t="s">
        <v>757</v>
      </c>
      <c r="AF50" t="s">
        <v>73</v>
      </c>
      <c r="AG50" t="s">
        <v>769</v>
      </c>
      <c r="AH50" t="s">
        <v>75</v>
      </c>
      <c r="AI50" t="s">
        <v>76</v>
      </c>
      <c r="AJ50" t="s">
        <v>77</v>
      </c>
      <c r="AK50" t="s">
        <v>733</v>
      </c>
      <c r="AL50" t="s">
        <v>615</v>
      </c>
      <c r="AM50" t="s">
        <v>616</v>
      </c>
      <c r="AN50" t="s">
        <v>81</v>
      </c>
      <c r="AO50" t="s">
        <v>82</v>
      </c>
      <c r="AP50" t="s">
        <v>83</v>
      </c>
      <c r="AQ50">
        <v>2005</v>
      </c>
      <c r="AR50">
        <v>130120</v>
      </c>
      <c r="AS50">
        <v>5321914</v>
      </c>
      <c r="AT50">
        <v>210</v>
      </c>
      <c r="AU50" t="s">
        <v>84</v>
      </c>
      <c r="AV50">
        <v>562</v>
      </c>
      <c r="AW50" t="s">
        <v>85</v>
      </c>
      <c r="AX50" t="s">
        <v>86</v>
      </c>
      <c r="AY50">
        <v>562</v>
      </c>
      <c r="AZ50" t="s">
        <v>770</v>
      </c>
      <c r="BA50" t="s">
        <v>88</v>
      </c>
      <c r="BC50" t="s">
        <v>659</v>
      </c>
      <c r="BD50">
        <v>8</v>
      </c>
      <c r="BE50">
        <v>11</v>
      </c>
    </row>
    <row r="51" spans="1:57" hidden="1" x14ac:dyDescent="0.2">
      <c r="A51" t="s">
        <v>771</v>
      </c>
      <c r="B51" t="s">
        <v>771</v>
      </c>
      <c r="C51" t="s">
        <v>772</v>
      </c>
      <c r="D51" t="s">
        <v>773</v>
      </c>
      <c r="E51" t="s">
        <v>773</v>
      </c>
      <c r="G51" t="s">
        <v>56</v>
      </c>
      <c r="H51" t="s">
        <v>57</v>
      </c>
      <c r="I51" t="s">
        <v>58</v>
      </c>
      <c r="J51" t="e">
        <v>#N/A</v>
      </c>
      <c r="K51" t="s">
        <v>700</v>
      </c>
      <c r="L51" t="s">
        <v>700</v>
      </c>
      <c r="M51" t="s">
        <v>7165</v>
      </c>
      <c r="N51" t="s">
        <v>7162</v>
      </c>
      <c r="O51" s="1" t="s">
        <v>603</v>
      </c>
      <c r="P51" t="s">
        <v>649</v>
      </c>
      <c r="Q51" s="1" t="s">
        <v>674</v>
      </c>
      <c r="R51" s="1" t="s">
        <v>64</v>
      </c>
      <c r="S51" s="1" t="s">
        <v>675</v>
      </c>
      <c r="T51" s="1">
        <v>11</v>
      </c>
      <c r="U51" s="1">
        <v>2124</v>
      </c>
      <c r="V51" s="1" t="s">
        <v>651</v>
      </c>
      <c r="W51" s="1" t="s">
        <v>170</v>
      </c>
      <c r="X51" t="s">
        <v>774</v>
      </c>
      <c r="Y51" t="s">
        <v>775</v>
      </c>
      <c r="AA51" t="s">
        <v>68</v>
      </c>
      <c r="AB51" t="s">
        <v>776</v>
      </c>
      <c r="AC51" t="s">
        <v>777</v>
      </c>
      <c r="AD51" t="s">
        <v>778</v>
      </c>
      <c r="AE51" t="s">
        <v>757</v>
      </c>
      <c r="AF51" t="s">
        <v>73</v>
      </c>
      <c r="AG51" t="s">
        <v>779</v>
      </c>
      <c r="AH51" t="s">
        <v>75</v>
      </c>
      <c r="AI51" t="s">
        <v>76</v>
      </c>
      <c r="AJ51" t="s">
        <v>77</v>
      </c>
      <c r="AK51" t="s">
        <v>780</v>
      </c>
      <c r="AL51" t="s">
        <v>615</v>
      </c>
      <c r="AM51" t="s">
        <v>616</v>
      </c>
      <c r="AN51" t="s">
        <v>81</v>
      </c>
      <c r="AO51" t="s">
        <v>82</v>
      </c>
      <c r="AP51" t="s">
        <v>83</v>
      </c>
      <c r="AQ51">
        <v>2007</v>
      </c>
      <c r="AR51">
        <v>159425</v>
      </c>
      <c r="AS51">
        <v>5385439</v>
      </c>
      <c r="AT51">
        <v>195</v>
      </c>
      <c r="AU51" t="s">
        <v>84</v>
      </c>
      <c r="AV51">
        <v>562</v>
      </c>
      <c r="AW51" t="s">
        <v>85</v>
      </c>
      <c r="AX51" t="s">
        <v>86</v>
      </c>
      <c r="AY51">
        <v>562</v>
      </c>
      <c r="AZ51" t="s">
        <v>781</v>
      </c>
      <c r="BA51" t="s">
        <v>88</v>
      </c>
      <c r="BC51" t="s">
        <v>782</v>
      </c>
      <c r="BD51">
        <v>2</v>
      </c>
      <c r="BE51">
        <v>2</v>
      </c>
    </row>
    <row r="52" spans="1:57" hidden="1" x14ac:dyDescent="0.2">
      <c r="A52" t="s">
        <v>783</v>
      </c>
      <c r="B52" t="s">
        <v>783</v>
      </c>
      <c r="C52" t="s">
        <v>784</v>
      </c>
      <c r="D52" t="s">
        <v>785</v>
      </c>
      <c r="E52" t="s">
        <v>785</v>
      </c>
      <c r="G52" t="s">
        <v>56</v>
      </c>
      <c r="H52" t="s">
        <v>57</v>
      </c>
      <c r="I52" t="s">
        <v>58</v>
      </c>
      <c r="J52" t="e">
        <v>#N/A</v>
      </c>
      <c r="K52" t="s">
        <v>700</v>
      </c>
      <c r="L52" t="s">
        <v>700</v>
      </c>
      <c r="M52" t="s">
        <v>7165</v>
      </c>
      <c r="N52" t="s">
        <v>7162</v>
      </c>
      <c r="O52" s="1" t="s">
        <v>603</v>
      </c>
      <c r="P52" t="s">
        <v>649</v>
      </c>
      <c r="Q52" s="1" t="s">
        <v>674</v>
      </c>
      <c r="R52" s="1" t="s">
        <v>64</v>
      </c>
      <c r="S52" s="1" t="s">
        <v>675</v>
      </c>
      <c r="T52" s="1">
        <v>11</v>
      </c>
      <c r="U52" s="1">
        <v>2124</v>
      </c>
      <c r="V52" s="1" t="s">
        <v>651</v>
      </c>
      <c r="W52" s="1" t="s">
        <v>170</v>
      </c>
      <c r="X52" t="s">
        <v>786</v>
      </c>
      <c r="Y52" t="s">
        <v>787</v>
      </c>
      <c r="AA52" t="s">
        <v>68</v>
      </c>
      <c r="AB52" t="s">
        <v>788</v>
      </c>
      <c r="AC52" t="s">
        <v>789</v>
      </c>
      <c r="AD52" t="s">
        <v>790</v>
      </c>
      <c r="AE52" t="s">
        <v>757</v>
      </c>
      <c r="AF52" t="s">
        <v>73</v>
      </c>
      <c r="AG52" t="s">
        <v>791</v>
      </c>
      <c r="AH52" t="s">
        <v>75</v>
      </c>
      <c r="AI52" t="s">
        <v>76</v>
      </c>
      <c r="AJ52" t="s">
        <v>77</v>
      </c>
      <c r="AK52" t="s">
        <v>792</v>
      </c>
      <c r="AL52" t="s">
        <v>615</v>
      </c>
      <c r="AM52" t="s">
        <v>616</v>
      </c>
      <c r="AN52" t="s">
        <v>81</v>
      </c>
      <c r="AO52" t="s">
        <v>82</v>
      </c>
      <c r="AP52" t="s">
        <v>83</v>
      </c>
      <c r="AQ52">
        <v>2007</v>
      </c>
      <c r="AR52">
        <v>110448</v>
      </c>
      <c r="AS52">
        <v>5368017</v>
      </c>
      <c r="AT52">
        <v>193</v>
      </c>
      <c r="AU52" t="s">
        <v>84</v>
      </c>
      <c r="AV52">
        <v>562</v>
      </c>
      <c r="AW52" t="s">
        <v>85</v>
      </c>
      <c r="AX52" t="s">
        <v>86</v>
      </c>
      <c r="AY52">
        <v>562</v>
      </c>
      <c r="AZ52" t="s">
        <v>793</v>
      </c>
      <c r="BA52" t="s">
        <v>88</v>
      </c>
      <c r="BC52" t="s">
        <v>782</v>
      </c>
      <c r="BD52">
        <v>1</v>
      </c>
      <c r="BE52">
        <v>1</v>
      </c>
    </row>
    <row r="53" spans="1:57" hidden="1" x14ac:dyDescent="0.2">
      <c r="A53" t="s">
        <v>794</v>
      </c>
      <c r="B53" t="s">
        <v>794</v>
      </c>
      <c r="C53" t="s">
        <v>795</v>
      </c>
      <c r="D53" t="s">
        <v>796</v>
      </c>
      <c r="E53" t="s">
        <v>796</v>
      </c>
      <c r="G53" t="s">
        <v>56</v>
      </c>
      <c r="H53" t="s">
        <v>57</v>
      </c>
      <c r="I53" t="s">
        <v>58</v>
      </c>
      <c r="J53" t="e">
        <v>#N/A</v>
      </c>
      <c r="K53" t="s">
        <v>700</v>
      </c>
      <c r="L53" t="s">
        <v>700</v>
      </c>
      <c r="M53" t="s">
        <v>7165</v>
      </c>
      <c r="N53" t="s">
        <v>7162</v>
      </c>
      <c r="O53" s="1" t="s">
        <v>603</v>
      </c>
      <c r="P53" t="s">
        <v>649</v>
      </c>
      <c r="Q53" s="1" t="s">
        <v>650</v>
      </c>
      <c r="R53" s="1" t="s">
        <v>127</v>
      </c>
      <c r="S53" s="1" t="s">
        <v>606</v>
      </c>
      <c r="T53" s="1">
        <v>11</v>
      </c>
      <c r="U53" s="1">
        <v>2124</v>
      </c>
      <c r="V53" s="1" t="s">
        <v>651</v>
      </c>
      <c r="W53" s="1" t="s">
        <v>170</v>
      </c>
      <c r="X53" t="s">
        <v>797</v>
      </c>
      <c r="Y53" t="s">
        <v>798</v>
      </c>
      <c r="AA53" t="s">
        <v>68</v>
      </c>
      <c r="AB53" t="s">
        <v>799</v>
      </c>
      <c r="AC53" t="s">
        <v>800</v>
      </c>
      <c r="AD53" t="s">
        <v>801</v>
      </c>
      <c r="AE53" t="s">
        <v>802</v>
      </c>
      <c r="AF53" t="s">
        <v>73</v>
      </c>
      <c r="AG53" t="s">
        <v>803</v>
      </c>
      <c r="AH53" t="s">
        <v>75</v>
      </c>
      <c r="AI53" t="s">
        <v>76</v>
      </c>
      <c r="AJ53" t="s">
        <v>77</v>
      </c>
      <c r="AK53" t="s">
        <v>669</v>
      </c>
      <c r="AL53" t="s">
        <v>615</v>
      </c>
      <c r="AM53" t="s">
        <v>616</v>
      </c>
      <c r="AN53" t="s">
        <v>81</v>
      </c>
      <c r="AO53" t="s">
        <v>82</v>
      </c>
      <c r="AP53" t="s">
        <v>83</v>
      </c>
      <c r="AQ53">
        <v>2007</v>
      </c>
      <c r="AR53">
        <v>99553</v>
      </c>
      <c r="AS53">
        <v>5380309</v>
      </c>
      <c r="AT53">
        <v>213</v>
      </c>
      <c r="AU53" t="s">
        <v>84</v>
      </c>
      <c r="AV53">
        <v>562</v>
      </c>
      <c r="AW53" t="s">
        <v>85</v>
      </c>
      <c r="AX53" t="s">
        <v>86</v>
      </c>
      <c r="AY53">
        <v>562</v>
      </c>
      <c r="AZ53" t="s">
        <v>804</v>
      </c>
      <c r="BA53" t="s">
        <v>88</v>
      </c>
      <c r="BC53" t="s">
        <v>659</v>
      </c>
      <c r="BD53">
        <v>25</v>
      </c>
      <c r="BE53">
        <v>28</v>
      </c>
    </row>
    <row r="54" spans="1:57" hidden="1" x14ac:dyDescent="0.2">
      <c r="A54" t="s">
        <v>805</v>
      </c>
      <c r="B54" t="s">
        <v>805</v>
      </c>
      <c r="C54" t="s">
        <v>806</v>
      </c>
      <c r="D54" t="s">
        <v>807</v>
      </c>
      <c r="E54" t="s">
        <v>807</v>
      </c>
      <c r="G54" t="s">
        <v>56</v>
      </c>
      <c r="H54" t="s">
        <v>57</v>
      </c>
      <c r="I54" t="s">
        <v>58</v>
      </c>
      <c r="J54" t="e">
        <v>#N/A</v>
      </c>
      <c r="K54" t="s">
        <v>700</v>
      </c>
      <c r="L54" t="s">
        <v>700</v>
      </c>
      <c r="M54" t="s">
        <v>7165</v>
      </c>
      <c r="N54" t="s">
        <v>7162</v>
      </c>
      <c r="O54" s="1" t="s">
        <v>603</v>
      </c>
      <c r="P54" t="s">
        <v>649</v>
      </c>
      <c r="Q54" s="1" t="s">
        <v>650</v>
      </c>
      <c r="R54" s="1" t="s">
        <v>127</v>
      </c>
      <c r="S54" s="1" t="s">
        <v>808</v>
      </c>
      <c r="T54" s="1">
        <v>11</v>
      </c>
      <c r="U54" s="1">
        <v>2124</v>
      </c>
      <c r="V54" s="1" t="s">
        <v>651</v>
      </c>
      <c r="W54" s="1" t="s">
        <v>170</v>
      </c>
      <c r="X54" t="s">
        <v>809</v>
      </c>
      <c r="Y54" t="s">
        <v>810</v>
      </c>
      <c r="AA54" t="s">
        <v>68</v>
      </c>
      <c r="AB54" t="s">
        <v>811</v>
      </c>
      <c r="AC54" t="s">
        <v>812</v>
      </c>
      <c r="AD54" t="s">
        <v>813</v>
      </c>
      <c r="AE54" t="s">
        <v>802</v>
      </c>
      <c r="AF54" t="s">
        <v>73</v>
      </c>
      <c r="AG54" t="s">
        <v>814</v>
      </c>
      <c r="AH54" t="s">
        <v>75</v>
      </c>
      <c r="AI54" t="s">
        <v>76</v>
      </c>
      <c r="AJ54" t="s">
        <v>77</v>
      </c>
      <c r="AK54" t="s">
        <v>815</v>
      </c>
      <c r="AL54" t="s">
        <v>615</v>
      </c>
      <c r="AM54" t="s">
        <v>616</v>
      </c>
      <c r="AN54" t="s">
        <v>81</v>
      </c>
      <c r="AO54" t="s">
        <v>82</v>
      </c>
      <c r="AP54" t="s">
        <v>83</v>
      </c>
      <c r="AQ54">
        <v>2007</v>
      </c>
      <c r="AR54">
        <v>95524</v>
      </c>
      <c r="AS54">
        <v>5388714</v>
      </c>
      <c r="AT54">
        <v>224</v>
      </c>
      <c r="AU54" t="s">
        <v>84</v>
      </c>
      <c r="AV54">
        <v>562</v>
      </c>
      <c r="AW54" t="s">
        <v>85</v>
      </c>
      <c r="AX54" t="s">
        <v>86</v>
      </c>
      <c r="AY54">
        <v>562</v>
      </c>
      <c r="AZ54" t="s">
        <v>816</v>
      </c>
      <c r="BA54" t="s">
        <v>88</v>
      </c>
    </row>
    <row r="55" spans="1:57" hidden="1" x14ac:dyDescent="0.2">
      <c r="A55" t="s">
        <v>817</v>
      </c>
      <c r="B55" t="s">
        <v>817</v>
      </c>
      <c r="C55" t="s">
        <v>818</v>
      </c>
      <c r="D55" t="s">
        <v>819</v>
      </c>
      <c r="E55" t="s">
        <v>819</v>
      </c>
      <c r="G55" t="s">
        <v>56</v>
      </c>
      <c r="H55" t="s">
        <v>57</v>
      </c>
      <c r="I55" t="s">
        <v>58</v>
      </c>
      <c r="J55" t="e">
        <v>#N/A</v>
      </c>
      <c r="K55" t="s">
        <v>648</v>
      </c>
      <c r="L55" t="s">
        <v>648</v>
      </c>
      <c r="M55" t="s">
        <v>7165</v>
      </c>
      <c r="N55" t="s">
        <v>7162</v>
      </c>
      <c r="O55" s="1" t="s">
        <v>603</v>
      </c>
      <c r="P55" t="s">
        <v>649</v>
      </c>
      <c r="Q55" s="1" t="s">
        <v>650</v>
      </c>
      <c r="R55" s="1" t="s">
        <v>820</v>
      </c>
      <c r="S55" s="1" t="s">
        <v>821</v>
      </c>
      <c r="T55" s="1">
        <v>11</v>
      </c>
      <c r="U55" s="1">
        <v>29913</v>
      </c>
      <c r="V55" s="1" t="s">
        <v>651</v>
      </c>
      <c r="W55" s="1" t="s">
        <v>170</v>
      </c>
      <c r="X55" t="s">
        <v>822</v>
      </c>
      <c r="Y55" t="s">
        <v>823</v>
      </c>
      <c r="AA55" t="s">
        <v>68</v>
      </c>
      <c r="AB55" t="s">
        <v>824</v>
      </c>
      <c r="AC55" t="s">
        <v>825</v>
      </c>
      <c r="AD55" t="s">
        <v>826</v>
      </c>
      <c r="AE55" t="s">
        <v>802</v>
      </c>
      <c r="AF55" t="s">
        <v>73</v>
      </c>
      <c r="AG55" t="s">
        <v>827</v>
      </c>
      <c r="AH55" t="s">
        <v>75</v>
      </c>
      <c r="AI55" t="s">
        <v>76</v>
      </c>
      <c r="AJ55" t="s">
        <v>77</v>
      </c>
      <c r="AK55" t="s">
        <v>828</v>
      </c>
      <c r="AL55" t="s">
        <v>615</v>
      </c>
      <c r="AM55" t="s">
        <v>616</v>
      </c>
      <c r="AN55" t="s">
        <v>81</v>
      </c>
      <c r="AO55" t="s">
        <v>82</v>
      </c>
      <c r="AP55" t="s">
        <v>83</v>
      </c>
      <c r="AQ55">
        <v>2007</v>
      </c>
      <c r="AR55">
        <v>167990</v>
      </c>
      <c r="AS55">
        <v>5377633</v>
      </c>
      <c r="AT55">
        <v>193</v>
      </c>
      <c r="AU55" t="s">
        <v>84</v>
      </c>
      <c r="AV55">
        <v>562</v>
      </c>
      <c r="AW55" t="s">
        <v>85</v>
      </c>
      <c r="AX55" t="s">
        <v>86</v>
      </c>
      <c r="AY55">
        <v>562</v>
      </c>
      <c r="AZ55" t="s">
        <v>829</v>
      </c>
      <c r="BA55" t="s">
        <v>88</v>
      </c>
      <c r="BC55" t="s">
        <v>830</v>
      </c>
      <c r="BD55">
        <v>9</v>
      </c>
      <c r="BE55">
        <v>7</v>
      </c>
    </row>
    <row r="56" spans="1:57" hidden="1" x14ac:dyDescent="0.2">
      <c r="A56" t="s">
        <v>831</v>
      </c>
      <c r="B56" t="s">
        <v>831</v>
      </c>
      <c r="C56" t="s">
        <v>818</v>
      </c>
      <c r="D56" t="s">
        <v>832</v>
      </c>
      <c r="E56" t="s">
        <v>832</v>
      </c>
      <c r="G56" t="s">
        <v>56</v>
      </c>
      <c r="H56" t="s">
        <v>57</v>
      </c>
      <c r="I56" t="s">
        <v>58</v>
      </c>
      <c r="J56" t="e">
        <v>#N/A</v>
      </c>
      <c r="K56" t="s">
        <v>648</v>
      </c>
      <c r="L56" t="s">
        <v>648</v>
      </c>
      <c r="M56" t="s">
        <v>7165</v>
      </c>
      <c r="N56" t="s">
        <v>7169</v>
      </c>
      <c r="O56" s="1" t="s">
        <v>603</v>
      </c>
      <c r="P56" t="s">
        <v>649</v>
      </c>
      <c r="Q56" s="1" t="s">
        <v>650</v>
      </c>
      <c r="R56" s="1" t="s">
        <v>127</v>
      </c>
      <c r="S56" s="1" t="s">
        <v>606</v>
      </c>
      <c r="T56" s="1">
        <v>11</v>
      </c>
      <c r="U56" s="1" t="s">
        <v>833</v>
      </c>
      <c r="V56" s="1" t="s">
        <v>169</v>
      </c>
      <c r="W56" s="1" t="s">
        <v>170</v>
      </c>
      <c r="X56" t="s">
        <v>834</v>
      </c>
      <c r="Y56" t="s">
        <v>835</v>
      </c>
      <c r="AA56" t="s">
        <v>68</v>
      </c>
      <c r="AB56" t="s">
        <v>836</v>
      </c>
      <c r="AC56" t="s">
        <v>837</v>
      </c>
      <c r="AD56" t="s">
        <v>838</v>
      </c>
      <c r="AE56" t="s">
        <v>802</v>
      </c>
      <c r="AF56" t="s">
        <v>73</v>
      </c>
      <c r="AG56" t="s">
        <v>839</v>
      </c>
      <c r="AH56" t="s">
        <v>75</v>
      </c>
      <c r="AI56" t="s">
        <v>76</v>
      </c>
      <c r="AJ56" t="s">
        <v>77</v>
      </c>
      <c r="AK56" t="s">
        <v>630</v>
      </c>
      <c r="AL56" t="s">
        <v>615</v>
      </c>
      <c r="AM56" t="s">
        <v>616</v>
      </c>
      <c r="AN56" t="s">
        <v>81</v>
      </c>
      <c r="AO56" t="s">
        <v>82</v>
      </c>
      <c r="AP56" t="s">
        <v>83</v>
      </c>
      <c r="AQ56">
        <v>2007</v>
      </c>
      <c r="AR56">
        <v>187928</v>
      </c>
      <c r="AS56">
        <v>5383381</v>
      </c>
      <c r="AT56">
        <v>179</v>
      </c>
      <c r="AU56" t="s">
        <v>84</v>
      </c>
      <c r="AV56">
        <v>562</v>
      </c>
      <c r="AW56" t="s">
        <v>85</v>
      </c>
      <c r="AX56" t="s">
        <v>86</v>
      </c>
      <c r="AY56">
        <v>562</v>
      </c>
      <c r="AZ56" t="s">
        <v>840</v>
      </c>
      <c r="BA56" t="s">
        <v>88</v>
      </c>
      <c r="BC56" t="s">
        <v>841</v>
      </c>
      <c r="BD56">
        <v>22</v>
      </c>
      <c r="BE56">
        <v>23</v>
      </c>
    </row>
    <row r="57" spans="1:57" hidden="1" x14ac:dyDescent="0.2">
      <c r="A57" t="s">
        <v>842</v>
      </c>
      <c r="B57" t="s">
        <v>842</v>
      </c>
      <c r="C57" t="s">
        <v>843</v>
      </c>
      <c r="D57" t="s">
        <v>844</v>
      </c>
      <c r="E57" t="s">
        <v>844</v>
      </c>
      <c r="G57" t="s">
        <v>56</v>
      </c>
      <c r="H57" t="s">
        <v>57</v>
      </c>
      <c r="I57" t="s">
        <v>58</v>
      </c>
      <c r="J57" t="e">
        <v>#N/A</v>
      </c>
      <c r="K57" t="s">
        <v>700</v>
      </c>
      <c r="L57" t="s">
        <v>700</v>
      </c>
      <c r="M57" t="s">
        <v>7165</v>
      </c>
      <c r="N57" t="s">
        <v>7169</v>
      </c>
      <c r="O57" s="1" t="s">
        <v>603</v>
      </c>
      <c r="P57" t="s">
        <v>649</v>
      </c>
      <c r="Q57" s="1" t="s">
        <v>650</v>
      </c>
      <c r="R57" s="1" t="s">
        <v>127</v>
      </c>
      <c r="S57" s="1" t="s">
        <v>606</v>
      </c>
      <c r="T57" s="1">
        <v>11</v>
      </c>
      <c r="U57" s="1">
        <v>2124</v>
      </c>
      <c r="V57" s="1" t="s">
        <v>651</v>
      </c>
      <c r="W57" s="1" t="s">
        <v>170</v>
      </c>
      <c r="X57" t="s">
        <v>845</v>
      </c>
      <c r="Y57" t="s">
        <v>846</v>
      </c>
      <c r="AA57" t="s">
        <v>68</v>
      </c>
      <c r="AB57" t="s">
        <v>847</v>
      </c>
      <c r="AC57" t="s">
        <v>848</v>
      </c>
      <c r="AD57" t="s">
        <v>849</v>
      </c>
      <c r="AE57" t="s">
        <v>802</v>
      </c>
      <c r="AF57" t="s">
        <v>73</v>
      </c>
      <c r="AG57" t="s">
        <v>850</v>
      </c>
      <c r="AH57" t="s">
        <v>75</v>
      </c>
      <c r="AI57" t="s">
        <v>76</v>
      </c>
      <c r="AJ57" t="s">
        <v>77</v>
      </c>
      <c r="AK57" t="s">
        <v>745</v>
      </c>
      <c r="AL57" t="s">
        <v>615</v>
      </c>
      <c r="AM57" t="s">
        <v>616</v>
      </c>
      <c r="AN57" t="s">
        <v>81</v>
      </c>
      <c r="AO57" t="s">
        <v>82</v>
      </c>
      <c r="AP57" t="s">
        <v>83</v>
      </c>
      <c r="AQ57">
        <v>2007</v>
      </c>
      <c r="AR57">
        <v>145327</v>
      </c>
      <c r="AS57">
        <v>5311272</v>
      </c>
      <c r="AT57">
        <v>198</v>
      </c>
      <c r="AU57" t="s">
        <v>84</v>
      </c>
      <c r="AV57">
        <v>562</v>
      </c>
      <c r="AW57" t="s">
        <v>85</v>
      </c>
      <c r="AX57" t="s">
        <v>86</v>
      </c>
      <c r="AY57">
        <v>562</v>
      </c>
      <c r="AZ57" t="s">
        <v>851</v>
      </c>
      <c r="BA57" t="s">
        <v>88</v>
      </c>
      <c r="BC57" t="s">
        <v>852</v>
      </c>
      <c r="BD57">
        <v>8</v>
      </c>
      <c r="BE57">
        <v>26</v>
      </c>
    </row>
    <row r="58" spans="1:57" hidden="1" x14ac:dyDescent="0.2">
      <c r="A58" t="s">
        <v>853</v>
      </c>
      <c r="B58" t="s">
        <v>854</v>
      </c>
      <c r="C58" t="s">
        <v>855</v>
      </c>
      <c r="D58" t="s">
        <v>856</v>
      </c>
      <c r="E58" t="s">
        <v>856</v>
      </c>
      <c r="G58" t="s">
        <v>56</v>
      </c>
      <c r="H58" t="s">
        <v>57</v>
      </c>
      <c r="I58" t="s">
        <v>58</v>
      </c>
      <c r="J58" t="e">
        <v>#N/A</v>
      </c>
      <c r="K58" t="s">
        <v>857</v>
      </c>
      <c r="L58" t="s">
        <v>857</v>
      </c>
      <c r="M58" t="s">
        <v>7165</v>
      </c>
      <c r="N58" t="s">
        <v>7162</v>
      </c>
      <c r="O58" s="1" t="s">
        <v>603</v>
      </c>
      <c r="P58" t="s">
        <v>649</v>
      </c>
      <c r="Q58" s="1" t="s">
        <v>605</v>
      </c>
      <c r="R58" s="1" t="s">
        <v>127</v>
      </c>
      <c r="S58" s="1" t="s">
        <v>606</v>
      </c>
      <c r="T58" s="1">
        <v>11</v>
      </c>
      <c r="U58" s="1">
        <v>2124</v>
      </c>
      <c r="V58" s="1" t="s">
        <v>858</v>
      </c>
      <c r="W58" s="1" t="s">
        <v>170</v>
      </c>
      <c r="X58" t="s">
        <v>859</v>
      </c>
      <c r="Y58" t="s">
        <v>860</v>
      </c>
      <c r="AA58" t="s">
        <v>68</v>
      </c>
      <c r="AB58" t="s">
        <v>861</v>
      </c>
      <c r="AC58" t="s">
        <v>862</v>
      </c>
      <c r="AD58" t="s">
        <v>863</v>
      </c>
      <c r="AE58" t="s">
        <v>864</v>
      </c>
      <c r="AF58" t="s">
        <v>73</v>
      </c>
      <c r="AG58" t="s">
        <v>865</v>
      </c>
      <c r="AH58" t="s">
        <v>154</v>
      </c>
      <c r="AI58" t="s">
        <v>76</v>
      </c>
      <c r="AJ58" t="s">
        <v>77</v>
      </c>
      <c r="AK58" t="s">
        <v>630</v>
      </c>
      <c r="AL58" t="s">
        <v>866</v>
      </c>
      <c r="AM58" t="s">
        <v>867</v>
      </c>
      <c r="AN58" t="s">
        <v>81</v>
      </c>
      <c r="AO58" t="s">
        <v>82</v>
      </c>
      <c r="AP58" t="s">
        <v>83</v>
      </c>
      <c r="AQ58">
        <v>2008</v>
      </c>
      <c r="AR58">
        <v>188435</v>
      </c>
      <c r="AS58">
        <v>5539873</v>
      </c>
      <c r="AT58">
        <v>117</v>
      </c>
      <c r="AU58" t="s">
        <v>84</v>
      </c>
      <c r="AV58">
        <v>562</v>
      </c>
      <c r="AW58" t="s">
        <v>85</v>
      </c>
      <c r="AX58" t="s">
        <v>86</v>
      </c>
      <c r="AY58">
        <v>562</v>
      </c>
      <c r="AZ58" t="s">
        <v>868</v>
      </c>
      <c r="BA58" t="s">
        <v>88</v>
      </c>
      <c r="BC58" t="s">
        <v>869</v>
      </c>
      <c r="BD58">
        <v>28</v>
      </c>
    </row>
    <row r="59" spans="1:57" hidden="1" x14ac:dyDescent="0.2">
      <c r="A59" t="s">
        <v>870</v>
      </c>
      <c r="B59" t="s">
        <v>871</v>
      </c>
      <c r="C59" t="s">
        <v>872</v>
      </c>
      <c r="D59" t="s">
        <v>873</v>
      </c>
      <c r="E59" t="s">
        <v>873</v>
      </c>
      <c r="G59" t="s">
        <v>56</v>
      </c>
      <c r="H59" t="s">
        <v>57</v>
      </c>
      <c r="I59" t="s">
        <v>58</v>
      </c>
      <c r="J59" t="e">
        <v>#N/A</v>
      </c>
      <c r="K59" t="s">
        <v>874</v>
      </c>
      <c r="L59" t="s">
        <v>874</v>
      </c>
      <c r="M59" t="s">
        <v>7165</v>
      </c>
      <c r="N59" t="s">
        <v>7169</v>
      </c>
      <c r="O59" s="1" t="s">
        <v>603</v>
      </c>
      <c r="P59" t="s">
        <v>649</v>
      </c>
      <c r="Q59" s="1" t="s">
        <v>875</v>
      </c>
      <c r="R59" s="1" t="s">
        <v>270</v>
      </c>
      <c r="S59" s="1" t="s">
        <v>701</v>
      </c>
      <c r="T59" s="1">
        <v>11</v>
      </c>
      <c r="U59" s="1">
        <v>2124</v>
      </c>
      <c r="V59" s="1" t="s">
        <v>169</v>
      </c>
      <c r="W59" s="1" t="s">
        <v>170</v>
      </c>
      <c r="X59" t="s">
        <v>876</v>
      </c>
      <c r="Y59" t="s">
        <v>877</v>
      </c>
      <c r="AA59" t="s">
        <v>68</v>
      </c>
      <c r="AB59" t="s">
        <v>878</v>
      </c>
      <c r="AC59" t="s">
        <v>879</v>
      </c>
      <c r="AD59" t="s">
        <v>880</v>
      </c>
      <c r="AE59" t="s">
        <v>802</v>
      </c>
      <c r="AF59" t="s">
        <v>73</v>
      </c>
      <c r="AG59" t="s">
        <v>881</v>
      </c>
      <c r="AH59" t="s">
        <v>75</v>
      </c>
      <c r="AI59" t="s">
        <v>76</v>
      </c>
      <c r="AJ59" t="s">
        <v>77</v>
      </c>
      <c r="AK59" t="s">
        <v>882</v>
      </c>
      <c r="AL59" t="s">
        <v>615</v>
      </c>
      <c r="AM59" t="s">
        <v>616</v>
      </c>
      <c r="AN59" t="s">
        <v>81</v>
      </c>
      <c r="AO59" t="s">
        <v>82</v>
      </c>
      <c r="AP59" t="s">
        <v>83</v>
      </c>
      <c r="AQ59">
        <v>2008</v>
      </c>
      <c r="AR59">
        <v>188530</v>
      </c>
      <c r="AS59">
        <v>5463791</v>
      </c>
      <c r="AT59">
        <v>144</v>
      </c>
      <c r="AU59" t="s">
        <v>84</v>
      </c>
      <c r="AV59">
        <v>562</v>
      </c>
      <c r="AW59" t="s">
        <v>85</v>
      </c>
      <c r="AX59" t="s">
        <v>86</v>
      </c>
      <c r="AY59">
        <v>562</v>
      </c>
      <c r="AZ59" t="s">
        <v>883</v>
      </c>
      <c r="BA59" t="s">
        <v>88</v>
      </c>
    </row>
    <row r="60" spans="1:57" hidden="1" x14ac:dyDescent="0.2">
      <c r="A60" t="s">
        <v>884</v>
      </c>
      <c r="B60" t="s">
        <v>884</v>
      </c>
      <c r="C60" t="s">
        <v>885</v>
      </c>
      <c r="D60" t="s">
        <v>886</v>
      </c>
      <c r="E60" t="s">
        <v>886</v>
      </c>
      <c r="G60" t="s">
        <v>56</v>
      </c>
      <c r="H60" t="s">
        <v>57</v>
      </c>
      <c r="I60" t="s">
        <v>58</v>
      </c>
      <c r="J60" t="e">
        <v>#N/A</v>
      </c>
      <c r="K60" t="s">
        <v>648</v>
      </c>
      <c r="L60" t="s">
        <v>648</v>
      </c>
      <c r="M60" t="s">
        <v>7165</v>
      </c>
      <c r="N60" t="s">
        <v>7169</v>
      </c>
      <c r="O60" s="1" t="s">
        <v>603</v>
      </c>
      <c r="P60" t="s">
        <v>604</v>
      </c>
      <c r="Q60" s="1" t="s">
        <v>605</v>
      </c>
      <c r="R60" s="1" t="s">
        <v>127</v>
      </c>
      <c r="S60" s="1" t="s">
        <v>606</v>
      </c>
      <c r="T60" s="1">
        <v>11</v>
      </c>
      <c r="U60" s="1">
        <v>2124</v>
      </c>
      <c r="V60" s="1" t="s">
        <v>169</v>
      </c>
      <c r="W60" s="1" t="s">
        <v>170</v>
      </c>
      <c r="X60" t="s">
        <v>887</v>
      </c>
      <c r="Y60" t="s">
        <v>888</v>
      </c>
      <c r="AA60" t="s">
        <v>68</v>
      </c>
      <c r="AB60" t="s">
        <v>889</v>
      </c>
      <c r="AC60" t="s">
        <v>890</v>
      </c>
      <c r="AD60" t="s">
        <v>891</v>
      </c>
      <c r="AE60" t="s">
        <v>892</v>
      </c>
      <c r="AF60" t="s">
        <v>73</v>
      </c>
      <c r="AG60" t="s">
        <v>893</v>
      </c>
      <c r="AH60" t="s">
        <v>75</v>
      </c>
      <c r="AI60" t="s">
        <v>76</v>
      </c>
      <c r="AJ60" t="s">
        <v>77</v>
      </c>
      <c r="AK60" t="s">
        <v>669</v>
      </c>
      <c r="AL60" t="s">
        <v>615</v>
      </c>
      <c r="AM60" t="s">
        <v>616</v>
      </c>
      <c r="AN60" t="s">
        <v>81</v>
      </c>
      <c r="AO60" t="s">
        <v>82</v>
      </c>
      <c r="AP60" t="s">
        <v>83</v>
      </c>
      <c r="AQ60">
        <v>2008</v>
      </c>
      <c r="AR60">
        <v>157712</v>
      </c>
      <c r="AS60">
        <v>5355064</v>
      </c>
      <c r="AT60">
        <v>174</v>
      </c>
      <c r="AU60" t="s">
        <v>84</v>
      </c>
      <c r="AV60">
        <v>562</v>
      </c>
      <c r="AW60" t="s">
        <v>85</v>
      </c>
      <c r="AX60" t="s">
        <v>86</v>
      </c>
      <c r="AY60">
        <v>562</v>
      </c>
      <c r="AZ60" t="s">
        <v>894</v>
      </c>
      <c r="BA60" t="s">
        <v>88</v>
      </c>
      <c r="BC60" t="s">
        <v>895</v>
      </c>
      <c r="BD60">
        <v>10</v>
      </c>
      <c r="BE60">
        <v>19</v>
      </c>
    </row>
    <row r="61" spans="1:57" hidden="1" x14ac:dyDescent="0.2">
      <c r="A61" t="s">
        <v>896</v>
      </c>
      <c r="B61" t="s">
        <v>896</v>
      </c>
      <c r="C61" t="s">
        <v>897</v>
      </c>
      <c r="D61" t="s">
        <v>898</v>
      </c>
      <c r="E61" t="s">
        <v>898</v>
      </c>
      <c r="G61" t="s">
        <v>56</v>
      </c>
      <c r="H61" t="s">
        <v>57</v>
      </c>
      <c r="I61" t="s">
        <v>58</v>
      </c>
      <c r="J61" t="e">
        <v>#N/A</v>
      </c>
      <c r="K61" t="s">
        <v>648</v>
      </c>
      <c r="L61" t="s">
        <v>648</v>
      </c>
      <c r="M61" t="s">
        <v>7165</v>
      </c>
      <c r="N61" t="s">
        <v>7169</v>
      </c>
      <c r="O61" s="1" t="s">
        <v>603</v>
      </c>
      <c r="P61" t="s">
        <v>604</v>
      </c>
      <c r="Q61" s="1" t="s">
        <v>605</v>
      </c>
      <c r="R61" s="1" t="s">
        <v>127</v>
      </c>
      <c r="S61" s="1" t="s">
        <v>606</v>
      </c>
      <c r="T61" s="1">
        <v>11</v>
      </c>
      <c r="U61" s="1">
        <v>2124</v>
      </c>
      <c r="V61" s="1" t="s">
        <v>169</v>
      </c>
      <c r="W61" s="1" t="s">
        <v>170</v>
      </c>
      <c r="X61" t="s">
        <v>899</v>
      </c>
      <c r="Y61" t="s">
        <v>900</v>
      </c>
      <c r="AA61" t="s">
        <v>68</v>
      </c>
      <c r="AB61" t="s">
        <v>901</v>
      </c>
      <c r="AC61" t="s">
        <v>902</v>
      </c>
      <c r="AD61" t="s">
        <v>903</v>
      </c>
      <c r="AE61" t="s">
        <v>892</v>
      </c>
      <c r="AF61" t="s">
        <v>73</v>
      </c>
      <c r="AG61" t="s">
        <v>904</v>
      </c>
      <c r="AH61" t="s">
        <v>75</v>
      </c>
      <c r="AI61" t="s">
        <v>76</v>
      </c>
      <c r="AJ61" t="s">
        <v>77</v>
      </c>
      <c r="AK61" t="s">
        <v>905</v>
      </c>
      <c r="AL61" t="s">
        <v>615</v>
      </c>
      <c r="AM61" t="s">
        <v>616</v>
      </c>
      <c r="AN61" t="s">
        <v>81</v>
      </c>
      <c r="AO61" t="s">
        <v>82</v>
      </c>
      <c r="AP61" t="s">
        <v>83</v>
      </c>
      <c r="AQ61">
        <v>2008</v>
      </c>
      <c r="AR61">
        <v>160454</v>
      </c>
      <c r="AS61">
        <v>5388257</v>
      </c>
      <c r="AT61">
        <v>152</v>
      </c>
      <c r="AU61" t="s">
        <v>84</v>
      </c>
      <c r="AV61">
        <v>562</v>
      </c>
      <c r="AW61" t="s">
        <v>85</v>
      </c>
      <c r="AX61" t="s">
        <v>86</v>
      </c>
      <c r="AY61">
        <v>562</v>
      </c>
      <c r="AZ61" t="s">
        <v>906</v>
      </c>
      <c r="BA61" t="s">
        <v>88</v>
      </c>
      <c r="BC61" t="s">
        <v>841</v>
      </c>
      <c r="BD61">
        <v>0</v>
      </c>
      <c r="BE61">
        <v>4</v>
      </c>
    </row>
    <row r="62" spans="1:57" hidden="1" x14ac:dyDescent="0.2">
      <c r="A62" t="s">
        <v>907</v>
      </c>
      <c r="B62" t="s">
        <v>907</v>
      </c>
      <c r="C62" t="s">
        <v>908</v>
      </c>
      <c r="D62" t="s">
        <v>909</v>
      </c>
      <c r="E62" t="s">
        <v>909</v>
      </c>
      <c r="G62" t="s">
        <v>56</v>
      </c>
      <c r="H62" t="s">
        <v>57</v>
      </c>
      <c r="I62" t="s">
        <v>58</v>
      </c>
      <c r="J62" t="e">
        <v>#N/A</v>
      </c>
      <c r="K62" t="s">
        <v>910</v>
      </c>
      <c r="L62" t="s">
        <v>910</v>
      </c>
      <c r="M62" t="s">
        <v>7165</v>
      </c>
      <c r="N62" t="s">
        <v>7169</v>
      </c>
      <c r="O62" s="1" t="s">
        <v>603</v>
      </c>
      <c r="P62" t="s">
        <v>649</v>
      </c>
      <c r="Q62" s="1" t="s">
        <v>650</v>
      </c>
      <c r="R62" s="1" t="s">
        <v>127</v>
      </c>
      <c r="S62" s="1" t="s">
        <v>606</v>
      </c>
      <c r="T62" s="1">
        <v>11</v>
      </c>
      <c r="U62" s="1">
        <v>2124</v>
      </c>
      <c r="V62" s="1" t="s">
        <v>651</v>
      </c>
      <c r="W62" s="1" t="s">
        <v>170</v>
      </c>
      <c r="X62" t="s">
        <v>911</v>
      </c>
      <c r="Y62" t="s">
        <v>912</v>
      </c>
      <c r="AA62" t="s">
        <v>68</v>
      </c>
      <c r="AB62" t="s">
        <v>913</v>
      </c>
      <c r="AC62" t="s">
        <v>914</v>
      </c>
      <c r="AD62" t="s">
        <v>915</v>
      </c>
      <c r="AE62" t="s">
        <v>892</v>
      </c>
      <c r="AF62" t="s">
        <v>73</v>
      </c>
      <c r="AG62" t="s">
        <v>916</v>
      </c>
      <c r="AH62" t="s">
        <v>75</v>
      </c>
      <c r="AI62" t="s">
        <v>76</v>
      </c>
      <c r="AJ62" t="s">
        <v>77</v>
      </c>
      <c r="AK62" t="s">
        <v>630</v>
      </c>
      <c r="AL62" t="s">
        <v>615</v>
      </c>
      <c r="AM62" t="s">
        <v>616</v>
      </c>
      <c r="AN62" t="s">
        <v>81</v>
      </c>
      <c r="AO62" t="s">
        <v>82</v>
      </c>
      <c r="AP62" t="s">
        <v>83</v>
      </c>
      <c r="AQ62">
        <v>2008</v>
      </c>
      <c r="AR62">
        <v>176865</v>
      </c>
      <c r="AS62">
        <v>5365144</v>
      </c>
      <c r="AT62">
        <v>174</v>
      </c>
      <c r="AU62" t="s">
        <v>84</v>
      </c>
      <c r="AV62">
        <v>562</v>
      </c>
      <c r="AW62" t="s">
        <v>85</v>
      </c>
      <c r="AX62" t="s">
        <v>86</v>
      </c>
      <c r="AY62">
        <v>562</v>
      </c>
      <c r="AZ62" t="s">
        <v>917</v>
      </c>
      <c r="BA62" t="s">
        <v>88</v>
      </c>
      <c r="BC62" t="s">
        <v>918</v>
      </c>
      <c r="BD62">
        <v>1</v>
      </c>
      <c r="BE62">
        <v>21</v>
      </c>
    </row>
    <row r="63" spans="1:57" hidden="1" x14ac:dyDescent="0.2">
      <c r="A63" t="s">
        <v>919</v>
      </c>
      <c r="B63" t="s">
        <v>919</v>
      </c>
      <c r="C63" t="s">
        <v>920</v>
      </c>
      <c r="D63" t="s">
        <v>921</v>
      </c>
      <c r="E63" t="s">
        <v>921</v>
      </c>
      <c r="G63" t="s">
        <v>56</v>
      </c>
      <c r="H63" t="s">
        <v>57</v>
      </c>
      <c r="I63" t="s">
        <v>58</v>
      </c>
      <c r="J63" t="e">
        <v>#N/A</v>
      </c>
      <c r="K63" t="s">
        <v>922</v>
      </c>
      <c r="L63" t="s">
        <v>922</v>
      </c>
      <c r="M63" t="s">
        <v>7165</v>
      </c>
      <c r="N63" t="s">
        <v>7169</v>
      </c>
      <c r="O63" s="1" t="s">
        <v>603</v>
      </c>
      <c r="P63" t="s">
        <v>649</v>
      </c>
      <c r="Q63" s="1" t="s">
        <v>650</v>
      </c>
      <c r="R63" s="1" t="s">
        <v>127</v>
      </c>
      <c r="S63" s="1" t="s">
        <v>606</v>
      </c>
      <c r="T63" s="1">
        <v>11</v>
      </c>
      <c r="U63" s="1">
        <v>2124</v>
      </c>
      <c r="V63" s="1" t="s">
        <v>651</v>
      </c>
      <c r="W63" s="1" t="s">
        <v>170</v>
      </c>
      <c r="X63" t="s">
        <v>923</v>
      </c>
      <c r="Y63" t="s">
        <v>924</v>
      </c>
      <c r="AA63" t="s">
        <v>68</v>
      </c>
      <c r="AB63" t="s">
        <v>925</v>
      </c>
      <c r="AC63" t="s">
        <v>926</v>
      </c>
      <c r="AD63" t="s">
        <v>927</v>
      </c>
      <c r="AE63" t="s">
        <v>892</v>
      </c>
      <c r="AF63" t="s">
        <v>73</v>
      </c>
      <c r="AG63" t="s">
        <v>928</v>
      </c>
      <c r="AH63" t="s">
        <v>75</v>
      </c>
      <c r="AI63" t="s">
        <v>76</v>
      </c>
      <c r="AJ63" t="s">
        <v>77</v>
      </c>
      <c r="AK63" t="s">
        <v>929</v>
      </c>
      <c r="AL63" t="s">
        <v>615</v>
      </c>
      <c r="AM63" t="s">
        <v>616</v>
      </c>
      <c r="AN63" t="s">
        <v>81</v>
      </c>
      <c r="AO63" t="s">
        <v>82</v>
      </c>
      <c r="AP63" t="s">
        <v>83</v>
      </c>
      <c r="AQ63">
        <v>2008</v>
      </c>
      <c r="AR63">
        <v>149646</v>
      </c>
      <c r="AS63">
        <v>5359097</v>
      </c>
      <c r="AT63">
        <v>186</v>
      </c>
      <c r="AU63" t="s">
        <v>84</v>
      </c>
      <c r="AV63">
        <v>562</v>
      </c>
      <c r="AW63" t="s">
        <v>85</v>
      </c>
      <c r="AX63" t="s">
        <v>86</v>
      </c>
      <c r="AY63">
        <v>562</v>
      </c>
      <c r="AZ63" t="s">
        <v>930</v>
      </c>
      <c r="BA63" t="s">
        <v>88</v>
      </c>
      <c r="BC63" t="s">
        <v>918</v>
      </c>
      <c r="BD63">
        <v>1</v>
      </c>
      <c r="BE63">
        <v>20</v>
      </c>
    </row>
    <row r="64" spans="1:57" hidden="1" x14ac:dyDescent="0.2">
      <c r="A64" t="s">
        <v>931</v>
      </c>
      <c r="B64" t="s">
        <v>932</v>
      </c>
      <c r="C64" t="s">
        <v>933</v>
      </c>
      <c r="D64" t="s">
        <v>934</v>
      </c>
      <c r="E64" t="s">
        <v>934</v>
      </c>
      <c r="G64" t="s">
        <v>56</v>
      </c>
      <c r="H64" t="s">
        <v>57</v>
      </c>
      <c r="I64" t="s">
        <v>58</v>
      </c>
      <c r="J64" t="e">
        <v>#N/A</v>
      </c>
      <c r="K64" t="s">
        <v>935</v>
      </c>
      <c r="L64" t="s">
        <v>935</v>
      </c>
      <c r="M64" t="s">
        <v>7165</v>
      </c>
      <c r="N64" t="s">
        <v>7162</v>
      </c>
      <c r="O64" s="1" t="s">
        <v>603</v>
      </c>
      <c r="P64" t="s">
        <v>604</v>
      </c>
      <c r="Q64" s="1" t="s">
        <v>605</v>
      </c>
      <c r="R64" s="1" t="s">
        <v>127</v>
      </c>
      <c r="S64" s="1" t="s">
        <v>606</v>
      </c>
      <c r="T64" s="1">
        <v>11</v>
      </c>
      <c r="U64" s="1">
        <v>2124</v>
      </c>
      <c r="V64" s="1" t="s">
        <v>169</v>
      </c>
      <c r="W64" s="1" t="s">
        <v>170</v>
      </c>
      <c r="X64" t="s">
        <v>936</v>
      </c>
      <c r="Y64" t="s">
        <v>937</v>
      </c>
      <c r="AA64" t="s">
        <v>68</v>
      </c>
      <c r="AB64" t="s">
        <v>938</v>
      </c>
      <c r="AC64" t="s">
        <v>939</v>
      </c>
      <c r="AD64" t="s">
        <v>940</v>
      </c>
      <c r="AE64" t="s">
        <v>941</v>
      </c>
      <c r="AF64" t="s">
        <v>73</v>
      </c>
      <c r="AG64" t="s">
        <v>942</v>
      </c>
      <c r="AH64" t="s">
        <v>75</v>
      </c>
      <c r="AI64" t="s">
        <v>76</v>
      </c>
      <c r="AJ64" t="s">
        <v>77</v>
      </c>
      <c r="AK64" t="s">
        <v>745</v>
      </c>
      <c r="AL64" t="s">
        <v>615</v>
      </c>
      <c r="AM64" t="s">
        <v>616</v>
      </c>
      <c r="AN64" t="s">
        <v>81</v>
      </c>
      <c r="AO64" t="s">
        <v>82</v>
      </c>
      <c r="AP64" t="s">
        <v>83</v>
      </c>
      <c r="AQ64">
        <v>2009</v>
      </c>
      <c r="AR64">
        <v>160454</v>
      </c>
      <c r="AS64">
        <v>5401745</v>
      </c>
      <c r="AT64">
        <v>144</v>
      </c>
      <c r="AU64" t="s">
        <v>84</v>
      </c>
      <c r="AV64">
        <v>562</v>
      </c>
      <c r="AW64" t="s">
        <v>85</v>
      </c>
      <c r="AX64" t="s">
        <v>86</v>
      </c>
      <c r="AY64">
        <v>562</v>
      </c>
      <c r="AZ64" t="s">
        <v>943</v>
      </c>
      <c r="BA64" t="s">
        <v>88</v>
      </c>
      <c r="BC64" t="s">
        <v>841</v>
      </c>
      <c r="BD64">
        <v>0</v>
      </c>
      <c r="BE64">
        <v>4</v>
      </c>
    </row>
    <row r="65" spans="1:57" hidden="1" x14ac:dyDescent="0.2">
      <c r="A65" t="s">
        <v>944</v>
      </c>
      <c r="B65" t="s">
        <v>945</v>
      </c>
      <c r="C65" t="s">
        <v>946</v>
      </c>
      <c r="D65" t="s">
        <v>947</v>
      </c>
      <c r="E65" t="s">
        <v>947</v>
      </c>
      <c r="G65" t="s">
        <v>56</v>
      </c>
      <c r="H65" t="s">
        <v>57</v>
      </c>
      <c r="I65" t="s">
        <v>58</v>
      </c>
      <c r="J65" t="e">
        <v>#N/A</v>
      </c>
      <c r="K65" t="s">
        <v>935</v>
      </c>
      <c r="L65" t="s">
        <v>935</v>
      </c>
      <c r="M65" t="s">
        <v>7165</v>
      </c>
      <c r="N65" t="s">
        <v>7162</v>
      </c>
      <c r="O65" s="1" t="s">
        <v>603</v>
      </c>
      <c r="P65" t="s">
        <v>604</v>
      </c>
      <c r="Q65" s="1" t="s">
        <v>605</v>
      </c>
      <c r="R65" s="1" t="s">
        <v>127</v>
      </c>
      <c r="S65" s="1" t="s">
        <v>606</v>
      </c>
      <c r="T65" s="1">
        <v>11</v>
      </c>
      <c r="U65" s="1">
        <v>2124</v>
      </c>
      <c r="V65" s="1" t="s">
        <v>169</v>
      </c>
      <c r="W65" s="1" t="s">
        <v>170</v>
      </c>
      <c r="X65" t="s">
        <v>948</v>
      </c>
      <c r="Y65" t="s">
        <v>949</v>
      </c>
      <c r="AA65" t="s">
        <v>68</v>
      </c>
      <c r="AB65" t="s">
        <v>950</v>
      </c>
      <c r="AC65" t="s">
        <v>951</v>
      </c>
      <c r="AD65" t="s">
        <v>952</v>
      </c>
      <c r="AE65" t="s">
        <v>941</v>
      </c>
      <c r="AF65" t="s">
        <v>73</v>
      </c>
      <c r="AG65" t="s">
        <v>953</v>
      </c>
      <c r="AH65" t="s">
        <v>75</v>
      </c>
      <c r="AI65" t="s">
        <v>76</v>
      </c>
      <c r="AJ65" t="s">
        <v>77</v>
      </c>
      <c r="AK65" t="s">
        <v>745</v>
      </c>
      <c r="AL65" t="s">
        <v>615</v>
      </c>
      <c r="AM65" t="s">
        <v>616</v>
      </c>
      <c r="AN65" t="s">
        <v>81</v>
      </c>
      <c r="AO65" t="s">
        <v>82</v>
      </c>
      <c r="AP65" t="s">
        <v>83</v>
      </c>
      <c r="AQ65">
        <v>2009</v>
      </c>
      <c r="AR65">
        <v>155737</v>
      </c>
      <c r="AS65">
        <v>5375609</v>
      </c>
      <c r="AT65">
        <v>144</v>
      </c>
      <c r="AU65" t="s">
        <v>84</v>
      </c>
      <c r="AV65">
        <v>562</v>
      </c>
      <c r="AW65" t="s">
        <v>85</v>
      </c>
      <c r="AX65" t="s">
        <v>86</v>
      </c>
      <c r="AY65">
        <v>562</v>
      </c>
      <c r="AZ65" t="s">
        <v>954</v>
      </c>
      <c r="BA65" t="s">
        <v>88</v>
      </c>
      <c r="BC65" t="s">
        <v>841</v>
      </c>
      <c r="BD65">
        <v>2</v>
      </c>
      <c r="BE65">
        <v>6</v>
      </c>
    </row>
    <row r="66" spans="1:57" hidden="1" x14ac:dyDescent="0.2">
      <c r="A66" t="s">
        <v>955</v>
      </c>
      <c r="B66" t="s">
        <v>956</v>
      </c>
      <c r="C66" t="s">
        <v>957</v>
      </c>
      <c r="D66" t="s">
        <v>958</v>
      </c>
      <c r="E66" t="s">
        <v>958</v>
      </c>
      <c r="G66" t="s">
        <v>56</v>
      </c>
      <c r="H66" t="s">
        <v>57</v>
      </c>
      <c r="I66" t="s">
        <v>58</v>
      </c>
      <c r="J66" t="e">
        <v>#N/A</v>
      </c>
      <c r="K66" t="s">
        <v>959</v>
      </c>
      <c r="L66" t="s">
        <v>959</v>
      </c>
      <c r="M66" t="s">
        <v>7165</v>
      </c>
      <c r="N66" t="s">
        <v>7162</v>
      </c>
      <c r="O66" s="1" t="s">
        <v>603</v>
      </c>
      <c r="P66" t="s">
        <v>604</v>
      </c>
      <c r="Q66" s="1" t="s">
        <v>605</v>
      </c>
      <c r="R66" s="1" t="s">
        <v>127</v>
      </c>
      <c r="S66" s="1" t="s">
        <v>606</v>
      </c>
      <c r="T66" s="1">
        <v>11</v>
      </c>
      <c r="U66" s="1" t="s">
        <v>833</v>
      </c>
      <c r="V66" s="1" t="s">
        <v>960</v>
      </c>
      <c r="W66" s="1" t="s">
        <v>170</v>
      </c>
      <c r="X66" t="s">
        <v>961</v>
      </c>
      <c r="Y66" t="s">
        <v>962</v>
      </c>
      <c r="AA66" t="s">
        <v>68</v>
      </c>
      <c r="AB66" t="s">
        <v>963</v>
      </c>
      <c r="AC66" t="s">
        <v>964</v>
      </c>
      <c r="AD66" t="s">
        <v>965</v>
      </c>
      <c r="AE66" t="s">
        <v>941</v>
      </c>
      <c r="AF66" t="s">
        <v>73</v>
      </c>
      <c r="AG66" t="s">
        <v>966</v>
      </c>
      <c r="AH66" t="s">
        <v>967</v>
      </c>
      <c r="AI66" t="s">
        <v>76</v>
      </c>
      <c r="AJ66" t="s">
        <v>77</v>
      </c>
      <c r="AK66" t="s">
        <v>968</v>
      </c>
      <c r="AL66" t="s">
        <v>969</v>
      </c>
      <c r="AM66" t="s">
        <v>970</v>
      </c>
      <c r="AN66" t="s">
        <v>81</v>
      </c>
      <c r="AO66" t="s">
        <v>82</v>
      </c>
      <c r="AP66" t="s">
        <v>83</v>
      </c>
      <c r="AQ66">
        <v>2009</v>
      </c>
      <c r="AR66">
        <v>145327</v>
      </c>
      <c r="AS66">
        <v>5506744</v>
      </c>
      <c r="AT66">
        <v>180</v>
      </c>
      <c r="AU66" t="s">
        <v>84</v>
      </c>
      <c r="AV66">
        <v>562</v>
      </c>
      <c r="AW66" t="s">
        <v>85</v>
      </c>
      <c r="AX66" t="s">
        <v>86</v>
      </c>
      <c r="AY66">
        <v>562</v>
      </c>
      <c r="AZ66" t="s">
        <v>971</v>
      </c>
      <c r="BA66" t="s">
        <v>88</v>
      </c>
      <c r="BC66" t="s">
        <v>632</v>
      </c>
      <c r="BD66">
        <v>42</v>
      </c>
      <c r="BE66">
        <v>24</v>
      </c>
    </row>
    <row r="67" spans="1:57" hidden="1" x14ac:dyDescent="0.2">
      <c r="A67" t="s">
        <v>972</v>
      </c>
      <c r="B67" t="s">
        <v>973</v>
      </c>
      <c r="C67" t="s">
        <v>974</v>
      </c>
      <c r="D67" t="s">
        <v>975</v>
      </c>
      <c r="E67" t="s">
        <v>975</v>
      </c>
      <c r="G67" t="s">
        <v>56</v>
      </c>
      <c r="H67" t="s">
        <v>57</v>
      </c>
      <c r="I67" t="s">
        <v>58</v>
      </c>
      <c r="J67" t="e">
        <v>#N/A</v>
      </c>
      <c r="K67" t="s">
        <v>976</v>
      </c>
      <c r="L67" t="s">
        <v>976</v>
      </c>
      <c r="M67" t="s">
        <v>7165</v>
      </c>
      <c r="N67" t="s">
        <v>7162</v>
      </c>
      <c r="O67" s="1" t="s">
        <v>603</v>
      </c>
      <c r="P67" t="s">
        <v>604</v>
      </c>
      <c r="Q67" s="1" t="s">
        <v>875</v>
      </c>
      <c r="R67" s="1" t="s">
        <v>64</v>
      </c>
      <c r="S67" s="1" t="s">
        <v>675</v>
      </c>
      <c r="T67" s="1">
        <v>11</v>
      </c>
      <c r="U67" s="1">
        <v>2130</v>
      </c>
      <c r="V67" s="1" t="s">
        <v>169</v>
      </c>
      <c r="W67" s="1" t="s">
        <v>170</v>
      </c>
      <c r="X67" t="s">
        <v>977</v>
      </c>
      <c r="Y67" t="s">
        <v>978</v>
      </c>
      <c r="AA67" t="s">
        <v>68</v>
      </c>
      <c r="AB67" t="s">
        <v>979</v>
      </c>
      <c r="AC67" t="s">
        <v>980</v>
      </c>
      <c r="AD67" t="s">
        <v>981</v>
      </c>
      <c r="AE67" t="s">
        <v>941</v>
      </c>
      <c r="AF67" t="s">
        <v>73</v>
      </c>
      <c r="AG67" t="s">
        <v>982</v>
      </c>
      <c r="AH67" t="s">
        <v>75</v>
      </c>
      <c r="AI67" t="s">
        <v>76</v>
      </c>
      <c r="AJ67" t="s">
        <v>77</v>
      </c>
      <c r="AK67" t="s">
        <v>780</v>
      </c>
      <c r="AL67" t="s">
        <v>615</v>
      </c>
      <c r="AM67" t="s">
        <v>616</v>
      </c>
      <c r="AN67" t="s">
        <v>81</v>
      </c>
      <c r="AO67" t="s">
        <v>82</v>
      </c>
      <c r="AP67" t="s">
        <v>83</v>
      </c>
      <c r="AQ67">
        <v>2009</v>
      </c>
      <c r="AR67">
        <v>185727</v>
      </c>
      <c r="AS67">
        <v>5369989</v>
      </c>
      <c r="AT67">
        <v>165</v>
      </c>
      <c r="AU67" t="s">
        <v>84</v>
      </c>
      <c r="AV67">
        <v>562</v>
      </c>
      <c r="AW67" t="s">
        <v>85</v>
      </c>
      <c r="AX67" t="s">
        <v>86</v>
      </c>
      <c r="AY67">
        <v>562</v>
      </c>
      <c r="AZ67" t="s">
        <v>983</v>
      </c>
      <c r="BA67" t="s">
        <v>88</v>
      </c>
      <c r="BC67" t="s">
        <v>984</v>
      </c>
      <c r="BE67">
        <v>21</v>
      </c>
    </row>
    <row r="68" spans="1:57" hidden="1" x14ac:dyDescent="0.2">
      <c r="A68" t="s">
        <v>985</v>
      </c>
      <c r="B68" t="s">
        <v>986</v>
      </c>
      <c r="C68" t="s">
        <v>987</v>
      </c>
      <c r="D68" t="s">
        <v>988</v>
      </c>
      <c r="E68" t="s">
        <v>988</v>
      </c>
      <c r="G68" t="s">
        <v>56</v>
      </c>
      <c r="H68" t="s">
        <v>57</v>
      </c>
      <c r="I68" t="s">
        <v>58</v>
      </c>
      <c r="J68" t="e">
        <v>#N/A</v>
      </c>
      <c r="K68" t="s">
        <v>989</v>
      </c>
      <c r="L68" t="s">
        <v>989</v>
      </c>
      <c r="M68" t="s">
        <v>7165</v>
      </c>
      <c r="N68" t="s">
        <v>7162</v>
      </c>
      <c r="O68" s="1" t="s">
        <v>603</v>
      </c>
      <c r="P68" t="s">
        <v>604</v>
      </c>
      <c r="Q68" s="1" t="s">
        <v>605</v>
      </c>
      <c r="R68" s="1" t="s">
        <v>127</v>
      </c>
      <c r="S68" s="1" t="s">
        <v>606</v>
      </c>
      <c r="T68" s="1">
        <v>11</v>
      </c>
      <c r="U68" s="1">
        <v>2124</v>
      </c>
      <c r="V68" s="1" t="s">
        <v>169</v>
      </c>
      <c r="W68" s="1" t="s">
        <v>170</v>
      </c>
      <c r="X68" t="s">
        <v>990</v>
      </c>
      <c r="Y68" t="s">
        <v>991</v>
      </c>
      <c r="AA68" t="s">
        <v>68</v>
      </c>
      <c r="AB68" t="s">
        <v>992</v>
      </c>
      <c r="AC68" t="s">
        <v>993</v>
      </c>
      <c r="AD68" t="s">
        <v>994</v>
      </c>
      <c r="AE68" t="s">
        <v>941</v>
      </c>
      <c r="AF68" t="s">
        <v>73</v>
      </c>
      <c r="AG68" t="s">
        <v>995</v>
      </c>
      <c r="AH68" t="s">
        <v>75</v>
      </c>
      <c r="AI68" t="s">
        <v>76</v>
      </c>
      <c r="AJ68" t="s">
        <v>77</v>
      </c>
      <c r="AK68" t="s">
        <v>669</v>
      </c>
      <c r="AL68" t="s">
        <v>615</v>
      </c>
      <c r="AM68" t="s">
        <v>616</v>
      </c>
      <c r="AN68" t="s">
        <v>81</v>
      </c>
      <c r="AO68" t="s">
        <v>82</v>
      </c>
      <c r="AP68" t="s">
        <v>83</v>
      </c>
      <c r="AQ68">
        <v>2009</v>
      </c>
      <c r="AR68">
        <v>150861</v>
      </c>
      <c r="AS68">
        <v>5378914</v>
      </c>
      <c r="AT68">
        <v>167</v>
      </c>
      <c r="AU68" t="s">
        <v>84</v>
      </c>
      <c r="AV68">
        <v>562</v>
      </c>
      <c r="AW68" t="s">
        <v>85</v>
      </c>
      <c r="AX68" t="s">
        <v>86</v>
      </c>
      <c r="AY68">
        <v>562</v>
      </c>
      <c r="AZ68" t="s">
        <v>996</v>
      </c>
      <c r="BA68" t="s">
        <v>88</v>
      </c>
      <c r="BC68" t="s">
        <v>841</v>
      </c>
      <c r="BD68">
        <v>2</v>
      </c>
      <c r="BE68">
        <v>14</v>
      </c>
    </row>
    <row r="69" spans="1:57" hidden="1" x14ac:dyDescent="0.2">
      <c r="A69" t="s">
        <v>997</v>
      </c>
      <c r="B69" t="s">
        <v>998</v>
      </c>
      <c r="C69" t="s">
        <v>987</v>
      </c>
      <c r="D69" t="s">
        <v>999</v>
      </c>
      <c r="E69" t="s">
        <v>999</v>
      </c>
      <c r="G69" t="s">
        <v>56</v>
      </c>
      <c r="H69" t="s">
        <v>57</v>
      </c>
      <c r="I69" t="s">
        <v>58</v>
      </c>
      <c r="J69" t="e">
        <v>#N/A</v>
      </c>
      <c r="K69" t="s">
        <v>989</v>
      </c>
      <c r="L69" t="s">
        <v>989</v>
      </c>
      <c r="M69" t="s">
        <v>7165</v>
      </c>
      <c r="N69" t="s">
        <v>7162</v>
      </c>
      <c r="O69" s="1" t="s">
        <v>603</v>
      </c>
      <c r="P69" t="s">
        <v>604</v>
      </c>
      <c r="Q69" s="1" t="s">
        <v>605</v>
      </c>
      <c r="R69" s="1" t="s">
        <v>127</v>
      </c>
      <c r="S69" s="1" t="s">
        <v>606</v>
      </c>
      <c r="T69" s="1">
        <v>11</v>
      </c>
      <c r="U69" s="1">
        <v>2124</v>
      </c>
      <c r="V69" s="1" t="s">
        <v>169</v>
      </c>
      <c r="W69" s="1" t="s">
        <v>170</v>
      </c>
      <c r="X69" t="s">
        <v>1000</v>
      </c>
      <c r="Y69" t="s">
        <v>1001</v>
      </c>
      <c r="AA69" t="s">
        <v>68</v>
      </c>
      <c r="AB69" t="s">
        <v>1002</v>
      </c>
      <c r="AC69" t="s">
        <v>1003</v>
      </c>
      <c r="AD69" t="s">
        <v>1004</v>
      </c>
      <c r="AE69" t="s">
        <v>1005</v>
      </c>
      <c r="AF69" t="s">
        <v>73</v>
      </c>
      <c r="AG69" t="s">
        <v>1006</v>
      </c>
      <c r="AH69" t="s">
        <v>75</v>
      </c>
      <c r="AI69" t="s">
        <v>76</v>
      </c>
      <c r="AJ69" t="s">
        <v>77</v>
      </c>
      <c r="AK69" t="s">
        <v>630</v>
      </c>
      <c r="AL69" t="s">
        <v>615</v>
      </c>
      <c r="AM69" t="s">
        <v>616</v>
      </c>
      <c r="AN69" t="s">
        <v>81</v>
      </c>
      <c r="AO69" t="s">
        <v>82</v>
      </c>
      <c r="AP69" t="s">
        <v>83</v>
      </c>
      <c r="AQ69">
        <v>2009</v>
      </c>
      <c r="AR69">
        <v>124148</v>
      </c>
      <c r="AS69">
        <v>5391397</v>
      </c>
      <c r="AT69">
        <v>158</v>
      </c>
      <c r="AU69" t="s">
        <v>84</v>
      </c>
      <c r="AV69">
        <v>562</v>
      </c>
      <c r="AW69" t="s">
        <v>85</v>
      </c>
      <c r="AX69" t="s">
        <v>86</v>
      </c>
      <c r="AY69">
        <v>562</v>
      </c>
      <c r="AZ69" t="s">
        <v>1007</v>
      </c>
      <c r="BA69" t="s">
        <v>88</v>
      </c>
      <c r="BC69" t="s">
        <v>841</v>
      </c>
      <c r="BD69">
        <v>2</v>
      </c>
      <c r="BE69">
        <v>14</v>
      </c>
    </row>
    <row r="70" spans="1:57" hidden="1" x14ac:dyDescent="0.2">
      <c r="A70" t="s">
        <v>1008</v>
      </c>
      <c r="B70" t="s">
        <v>1009</v>
      </c>
      <c r="C70" t="s">
        <v>1010</v>
      </c>
      <c r="D70" t="s">
        <v>1011</v>
      </c>
      <c r="E70" t="s">
        <v>1011</v>
      </c>
      <c r="G70" t="s">
        <v>56</v>
      </c>
      <c r="H70" t="s">
        <v>57</v>
      </c>
      <c r="I70" t="s">
        <v>58</v>
      </c>
      <c r="J70" t="e">
        <v>#N/A</v>
      </c>
      <c r="K70" t="s">
        <v>1012</v>
      </c>
      <c r="L70" t="s">
        <v>1012</v>
      </c>
      <c r="M70" t="s">
        <v>7165</v>
      </c>
      <c r="N70" t="s">
        <v>7162</v>
      </c>
      <c r="O70" s="1" t="s">
        <v>603</v>
      </c>
      <c r="P70" t="s">
        <v>604</v>
      </c>
      <c r="Q70" s="1" t="s">
        <v>605</v>
      </c>
      <c r="R70" s="1" t="s">
        <v>127</v>
      </c>
      <c r="S70" s="1" t="s">
        <v>606</v>
      </c>
      <c r="T70" s="1">
        <v>11</v>
      </c>
      <c r="U70" s="1">
        <v>2124</v>
      </c>
      <c r="V70" s="1" t="s">
        <v>169</v>
      </c>
      <c r="W70" s="1" t="s">
        <v>170</v>
      </c>
      <c r="X70" t="s">
        <v>1013</v>
      </c>
      <c r="Y70" t="s">
        <v>1014</v>
      </c>
      <c r="AA70" t="s">
        <v>68</v>
      </c>
      <c r="AB70" t="s">
        <v>1015</v>
      </c>
      <c r="AC70" t="s">
        <v>1016</v>
      </c>
      <c r="AD70" t="s">
        <v>1017</v>
      </c>
      <c r="AE70" t="s">
        <v>1005</v>
      </c>
      <c r="AF70" t="s">
        <v>73</v>
      </c>
      <c r="AG70" t="s">
        <v>1018</v>
      </c>
      <c r="AH70" t="s">
        <v>75</v>
      </c>
      <c r="AI70" t="s">
        <v>76</v>
      </c>
      <c r="AJ70" t="s">
        <v>77</v>
      </c>
      <c r="AK70" t="s">
        <v>1019</v>
      </c>
      <c r="AL70" t="s">
        <v>615</v>
      </c>
      <c r="AM70" t="s">
        <v>616</v>
      </c>
      <c r="AN70" t="s">
        <v>81</v>
      </c>
      <c r="AO70" t="s">
        <v>82</v>
      </c>
      <c r="AP70" t="s">
        <v>83</v>
      </c>
      <c r="AQ70">
        <v>2009</v>
      </c>
      <c r="AR70">
        <v>101552</v>
      </c>
      <c r="AS70">
        <v>5367350</v>
      </c>
      <c r="AT70">
        <v>203</v>
      </c>
      <c r="AU70" t="s">
        <v>84</v>
      </c>
      <c r="AV70">
        <v>562</v>
      </c>
      <c r="AW70" t="s">
        <v>85</v>
      </c>
      <c r="AX70" t="s">
        <v>86</v>
      </c>
      <c r="AY70">
        <v>562</v>
      </c>
      <c r="AZ70" t="s">
        <v>1020</v>
      </c>
      <c r="BA70" t="s">
        <v>88</v>
      </c>
      <c r="BC70" t="s">
        <v>841</v>
      </c>
      <c r="BD70">
        <v>2</v>
      </c>
      <c r="BE70">
        <v>14</v>
      </c>
    </row>
    <row r="71" spans="1:57" hidden="1" x14ac:dyDescent="0.2">
      <c r="A71" t="s">
        <v>1021</v>
      </c>
      <c r="B71" t="s">
        <v>1022</v>
      </c>
      <c r="C71" t="s">
        <v>1023</v>
      </c>
      <c r="D71" t="s">
        <v>1024</v>
      </c>
      <c r="E71" t="s">
        <v>1024</v>
      </c>
      <c r="G71" t="s">
        <v>56</v>
      </c>
      <c r="H71" t="s">
        <v>57</v>
      </c>
      <c r="I71" t="s">
        <v>58</v>
      </c>
      <c r="J71" t="e">
        <v>#N/A</v>
      </c>
      <c r="K71" t="s">
        <v>1025</v>
      </c>
      <c r="L71" t="s">
        <v>1025</v>
      </c>
      <c r="M71" t="s">
        <v>7165</v>
      </c>
      <c r="N71" t="s">
        <v>7162</v>
      </c>
      <c r="O71" s="1" t="s">
        <v>603</v>
      </c>
      <c r="P71" t="s">
        <v>604</v>
      </c>
      <c r="Q71" s="1" t="s">
        <v>875</v>
      </c>
      <c r="R71" s="1" t="s">
        <v>64</v>
      </c>
      <c r="S71" s="1" t="s">
        <v>675</v>
      </c>
      <c r="T71" s="1">
        <v>11</v>
      </c>
      <c r="U71" s="1">
        <v>2124</v>
      </c>
      <c r="V71" s="1" t="s">
        <v>169</v>
      </c>
      <c r="W71" s="1" t="s">
        <v>170</v>
      </c>
      <c r="X71" t="s">
        <v>1026</v>
      </c>
      <c r="Y71" t="s">
        <v>1027</v>
      </c>
      <c r="AA71" t="s">
        <v>68</v>
      </c>
      <c r="AB71" t="s">
        <v>1028</v>
      </c>
      <c r="AC71" t="s">
        <v>1029</v>
      </c>
      <c r="AD71" t="s">
        <v>1030</v>
      </c>
      <c r="AE71" t="s">
        <v>1005</v>
      </c>
      <c r="AF71" t="s">
        <v>73</v>
      </c>
      <c r="AG71" t="s">
        <v>1031</v>
      </c>
      <c r="AH71" t="s">
        <v>75</v>
      </c>
      <c r="AI71" t="s">
        <v>76</v>
      </c>
      <c r="AJ71" t="s">
        <v>77</v>
      </c>
      <c r="AK71" t="s">
        <v>1032</v>
      </c>
      <c r="AL71" t="s">
        <v>615</v>
      </c>
      <c r="AM71" t="s">
        <v>616</v>
      </c>
      <c r="AN71" t="s">
        <v>81</v>
      </c>
      <c r="AO71" t="s">
        <v>82</v>
      </c>
      <c r="AP71" t="s">
        <v>83</v>
      </c>
      <c r="AQ71">
        <v>2009</v>
      </c>
      <c r="AR71">
        <v>124149</v>
      </c>
      <c r="AS71">
        <v>5310525</v>
      </c>
      <c r="AT71">
        <v>136</v>
      </c>
      <c r="AU71" t="s">
        <v>84</v>
      </c>
      <c r="AV71">
        <v>562</v>
      </c>
      <c r="AW71" t="s">
        <v>85</v>
      </c>
      <c r="AX71" t="s">
        <v>86</v>
      </c>
      <c r="AY71">
        <v>562</v>
      </c>
      <c r="AZ71" t="s">
        <v>1033</v>
      </c>
      <c r="BA71" t="s">
        <v>88</v>
      </c>
      <c r="BC71" t="s">
        <v>1034</v>
      </c>
      <c r="BD71">
        <v>54</v>
      </c>
      <c r="BE71">
        <v>36</v>
      </c>
    </row>
    <row r="72" spans="1:57" hidden="1" x14ac:dyDescent="0.2">
      <c r="A72" t="s">
        <v>1035</v>
      </c>
      <c r="B72" t="s">
        <v>1036</v>
      </c>
      <c r="C72" t="s">
        <v>1037</v>
      </c>
      <c r="D72" t="s">
        <v>1038</v>
      </c>
      <c r="E72" t="s">
        <v>1038</v>
      </c>
      <c r="G72" t="s">
        <v>56</v>
      </c>
      <c r="H72" t="s">
        <v>57</v>
      </c>
      <c r="I72" t="s">
        <v>58</v>
      </c>
      <c r="J72" t="e">
        <v>#N/A</v>
      </c>
      <c r="K72" t="s">
        <v>1039</v>
      </c>
      <c r="L72" t="s">
        <v>700</v>
      </c>
      <c r="M72" t="s">
        <v>7165</v>
      </c>
      <c r="N72" t="s">
        <v>7162</v>
      </c>
      <c r="O72" s="1" t="s">
        <v>603</v>
      </c>
      <c r="P72" t="s">
        <v>649</v>
      </c>
      <c r="Q72" s="1" t="s">
        <v>650</v>
      </c>
      <c r="R72" s="1" t="s">
        <v>127</v>
      </c>
      <c r="S72" s="1" t="s">
        <v>606</v>
      </c>
      <c r="T72" s="1">
        <v>11</v>
      </c>
      <c r="U72" s="1">
        <v>2124</v>
      </c>
      <c r="V72" s="1" t="s">
        <v>1040</v>
      </c>
      <c r="W72" s="1" t="s">
        <v>170</v>
      </c>
      <c r="X72" t="s">
        <v>1041</v>
      </c>
      <c r="Y72" t="s">
        <v>1042</v>
      </c>
      <c r="AA72" t="s">
        <v>68</v>
      </c>
      <c r="AB72" t="s">
        <v>1043</v>
      </c>
      <c r="AC72" t="s">
        <v>1044</v>
      </c>
      <c r="AD72" t="s">
        <v>1045</v>
      </c>
      <c r="AE72" t="s">
        <v>1005</v>
      </c>
      <c r="AF72" t="s">
        <v>73</v>
      </c>
      <c r="AG72" t="s">
        <v>1046</v>
      </c>
      <c r="AH72" t="s">
        <v>1047</v>
      </c>
      <c r="AI72" t="s">
        <v>76</v>
      </c>
      <c r="AJ72" t="s">
        <v>77</v>
      </c>
      <c r="AK72" t="s">
        <v>669</v>
      </c>
      <c r="AL72" t="s">
        <v>615</v>
      </c>
      <c r="AM72" t="s">
        <v>1048</v>
      </c>
      <c r="AN72" t="s">
        <v>81</v>
      </c>
      <c r="AO72" t="s">
        <v>82</v>
      </c>
      <c r="AP72" t="s">
        <v>83</v>
      </c>
      <c r="AQ72">
        <v>2009</v>
      </c>
      <c r="AR72">
        <v>184055</v>
      </c>
      <c r="AS72">
        <v>5382021</v>
      </c>
      <c r="AT72">
        <v>180</v>
      </c>
      <c r="AU72" t="s">
        <v>84</v>
      </c>
      <c r="AV72">
        <v>562</v>
      </c>
      <c r="AW72" t="s">
        <v>85</v>
      </c>
      <c r="AX72" t="s">
        <v>86</v>
      </c>
      <c r="AY72">
        <v>562</v>
      </c>
      <c r="AZ72" t="s">
        <v>1049</v>
      </c>
      <c r="BA72" t="s">
        <v>88</v>
      </c>
    </row>
    <row r="73" spans="1:57" hidden="1" x14ac:dyDescent="0.2">
      <c r="A73" t="s">
        <v>1050</v>
      </c>
      <c r="B73" t="s">
        <v>1051</v>
      </c>
      <c r="C73" t="s">
        <v>1052</v>
      </c>
      <c r="D73" t="s">
        <v>1053</v>
      </c>
      <c r="E73" t="s">
        <v>1053</v>
      </c>
      <c r="G73" t="s">
        <v>56</v>
      </c>
      <c r="H73" t="s">
        <v>57</v>
      </c>
      <c r="I73" t="s">
        <v>58</v>
      </c>
      <c r="J73" t="e">
        <v>#N/A</v>
      </c>
      <c r="K73" t="s">
        <v>1054</v>
      </c>
      <c r="L73" t="s">
        <v>1054</v>
      </c>
      <c r="M73" t="s">
        <v>7165</v>
      </c>
      <c r="N73" t="s">
        <v>7162</v>
      </c>
      <c r="O73" s="1" t="s">
        <v>603</v>
      </c>
      <c r="P73" t="s">
        <v>604</v>
      </c>
      <c r="Q73" s="1" t="s">
        <v>605</v>
      </c>
      <c r="R73" s="1" t="s">
        <v>127</v>
      </c>
      <c r="S73" s="1" t="s">
        <v>606</v>
      </c>
      <c r="T73" s="1">
        <v>11</v>
      </c>
      <c r="U73" s="1" t="s">
        <v>833</v>
      </c>
      <c r="V73" s="1" t="s">
        <v>1055</v>
      </c>
      <c r="W73" s="1" t="s">
        <v>170</v>
      </c>
      <c r="X73" t="s">
        <v>1056</v>
      </c>
      <c r="Y73" t="s">
        <v>1057</v>
      </c>
      <c r="AA73" t="s">
        <v>68</v>
      </c>
      <c r="AB73" t="s">
        <v>1058</v>
      </c>
      <c r="AC73" t="s">
        <v>1059</v>
      </c>
      <c r="AD73" t="s">
        <v>1060</v>
      </c>
      <c r="AE73" t="s">
        <v>1061</v>
      </c>
      <c r="AF73" t="s">
        <v>73</v>
      </c>
      <c r="AG73" t="s">
        <v>1062</v>
      </c>
      <c r="AH73" t="s">
        <v>1063</v>
      </c>
      <c r="AI73" t="s">
        <v>76</v>
      </c>
      <c r="AJ73" t="s">
        <v>77</v>
      </c>
      <c r="AK73" t="s">
        <v>669</v>
      </c>
      <c r="AL73" t="s">
        <v>866</v>
      </c>
      <c r="AM73" t="s">
        <v>1064</v>
      </c>
      <c r="AN73" t="s">
        <v>81</v>
      </c>
      <c r="AO73" t="s">
        <v>82</v>
      </c>
      <c r="AP73" t="s">
        <v>83</v>
      </c>
      <c r="AQ73">
        <v>2010</v>
      </c>
      <c r="AR73">
        <v>149646</v>
      </c>
      <c r="AS73">
        <v>5526533</v>
      </c>
      <c r="AT73">
        <v>174</v>
      </c>
      <c r="AU73" t="s">
        <v>84</v>
      </c>
      <c r="AV73">
        <v>562</v>
      </c>
      <c r="AW73" t="s">
        <v>85</v>
      </c>
      <c r="AX73" t="s">
        <v>86</v>
      </c>
      <c r="AY73">
        <v>562</v>
      </c>
      <c r="AZ73" t="s">
        <v>1065</v>
      </c>
      <c r="BA73" t="s">
        <v>88</v>
      </c>
      <c r="BC73" t="s">
        <v>869</v>
      </c>
      <c r="BD73">
        <v>28</v>
      </c>
    </row>
    <row r="74" spans="1:57" hidden="1" x14ac:dyDescent="0.2">
      <c r="A74" t="s">
        <v>1066</v>
      </c>
      <c r="B74" t="s">
        <v>1067</v>
      </c>
      <c r="C74" t="s">
        <v>1068</v>
      </c>
      <c r="D74" t="s">
        <v>1069</v>
      </c>
      <c r="E74" t="s">
        <v>1069</v>
      </c>
      <c r="G74" t="s">
        <v>56</v>
      </c>
      <c r="H74" t="s">
        <v>57</v>
      </c>
      <c r="I74" t="s">
        <v>58</v>
      </c>
      <c r="J74" t="e">
        <v>#N/A</v>
      </c>
      <c r="K74" t="s">
        <v>1070</v>
      </c>
      <c r="L74" t="s">
        <v>1070</v>
      </c>
      <c r="M74" t="s">
        <v>7165</v>
      </c>
      <c r="N74" t="s">
        <v>7162</v>
      </c>
      <c r="O74" s="1" t="s">
        <v>603</v>
      </c>
      <c r="P74" t="s">
        <v>649</v>
      </c>
      <c r="Q74" s="1" t="s">
        <v>605</v>
      </c>
      <c r="R74" s="1" t="s">
        <v>127</v>
      </c>
      <c r="S74" s="1" t="s">
        <v>606</v>
      </c>
      <c r="T74" s="1">
        <v>11</v>
      </c>
      <c r="U74" s="1">
        <v>2124</v>
      </c>
      <c r="V74" s="1" t="s">
        <v>169</v>
      </c>
      <c r="W74" s="1" t="s">
        <v>170</v>
      </c>
      <c r="X74" t="s">
        <v>1071</v>
      </c>
      <c r="Y74" t="s">
        <v>1072</v>
      </c>
      <c r="AA74" t="s">
        <v>68</v>
      </c>
      <c r="AB74" t="s">
        <v>1073</v>
      </c>
      <c r="AC74" t="s">
        <v>1074</v>
      </c>
      <c r="AD74" t="s">
        <v>1075</v>
      </c>
      <c r="AE74" t="s">
        <v>1061</v>
      </c>
      <c r="AF74" t="s">
        <v>73</v>
      </c>
      <c r="AG74" t="s">
        <v>1076</v>
      </c>
      <c r="AH74" t="s">
        <v>75</v>
      </c>
      <c r="AI74" t="s">
        <v>76</v>
      </c>
      <c r="AJ74" t="s">
        <v>77</v>
      </c>
      <c r="AK74" t="s">
        <v>929</v>
      </c>
      <c r="AL74" t="s">
        <v>615</v>
      </c>
      <c r="AM74" t="s">
        <v>616</v>
      </c>
      <c r="AN74" t="s">
        <v>81</v>
      </c>
      <c r="AO74" t="s">
        <v>82</v>
      </c>
      <c r="AP74" t="s">
        <v>83</v>
      </c>
      <c r="AQ74">
        <v>2010</v>
      </c>
      <c r="AR74">
        <v>160336</v>
      </c>
      <c r="AS74">
        <v>5362644</v>
      </c>
      <c r="AT74">
        <v>164</v>
      </c>
      <c r="AU74" t="s">
        <v>84</v>
      </c>
      <c r="AV74">
        <v>562</v>
      </c>
      <c r="AW74" t="s">
        <v>85</v>
      </c>
      <c r="AX74" t="s">
        <v>86</v>
      </c>
      <c r="AY74">
        <v>562</v>
      </c>
      <c r="AZ74" t="s">
        <v>1077</v>
      </c>
      <c r="BA74" t="s">
        <v>88</v>
      </c>
      <c r="BC74" t="s">
        <v>1078</v>
      </c>
      <c r="BD74">
        <v>1</v>
      </c>
    </row>
    <row r="75" spans="1:57" hidden="1" x14ac:dyDescent="0.2">
      <c r="A75" t="s">
        <v>1079</v>
      </c>
      <c r="B75" t="s">
        <v>1080</v>
      </c>
      <c r="C75" t="s">
        <v>1081</v>
      </c>
      <c r="D75" t="s">
        <v>1082</v>
      </c>
      <c r="E75" t="s">
        <v>1082</v>
      </c>
      <c r="G75" t="s">
        <v>56</v>
      </c>
      <c r="H75" t="s">
        <v>57</v>
      </c>
      <c r="I75" t="s">
        <v>58</v>
      </c>
      <c r="J75" t="e">
        <v>#N/A</v>
      </c>
      <c r="K75" t="s">
        <v>1070</v>
      </c>
      <c r="L75" t="s">
        <v>1070</v>
      </c>
      <c r="M75" t="s">
        <v>7165</v>
      </c>
      <c r="N75" t="s">
        <v>7162</v>
      </c>
      <c r="O75" s="1" t="s">
        <v>603</v>
      </c>
      <c r="P75" t="s">
        <v>604</v>
      </c>
      <c r="Q75" s="1" t="s">
        <v>605</v>
      </c>
      <c r="R75" s="1" t="s">
        <v>127</v>
      </c>
      <c r="S75" s="1" t="s">
        <v>606</v>
      </c>
      <c r="T75" s="1">
        <v>11</v>
      </c>
      <c r="U75" s="1">
        <v>2124</v>
      </c>
      <c r="V75" s="1" t="s">
        <v>169</v>
      </c>
      <c r="W75" s="1" t="s">
        <v>170</v>
      </c>
      <c r="X75" t="s">
        <v>1083</v>
      </c>
      <c r="Y75" t="s">
        <v>1084</v>
      </c>
      <c r="AA75" t="s">
        <v>68</v>
      </c>
      <c r="AB75" t="s">
        <v>1085</v>
      </c>
      <c r="AC75" t="s">
        <v>1086</v>
      </c>
      <c r="AD75" t="s">
        <v>1087</v>
      </c>
      <c r="AE75" t="s">
        <v>1061</v>
      </c>
      <c r="AF75" t="s">
        <v>73</v>
      </c>
      <c r="AG75" t="s">
        <v>1088</v>
      </c>
      <c r="AH75" t="s">
        <v>75</v>
      </c>
      <c r="AI75" t="s">
        <v>76</v>
      </c>
      <c r="AJ75" t="s">
        <v>77</v>
      </c>
      <c r="AK75" t="s">
        <v>669</v>
      </c>
      <c r="AL75" t="s">
        <v>615</v>
      </c>
      <c r="AM75" t="s">
        <v>616</v>
      </c>
      <c r="AN75" t="s">
        <v>81</v>
      </c>
      <c r="AO75" t="s">
        <v>82</v>
      </c>
      <c r="AP75" t="s">
        <v>83</v>
      </c>
      <c r="AQ75">
        <v>2010</v>
      </c>
      <c r="AR75">
        <v>145327</v>
      </c>
      <c r="AS75">
        <v>5348581</v>
      </c>
      <c r="AT75">
        <v>147</v>
      </c>
      <c r="AU75" t="s">
        <v>84</v>
      </c>
      <c r="AV75">
        <v>562</v>
      </c>
      <c r="AW75" t="s">
        <v>85</v>
      </c>
      <c r="AX75" t="s">
        <v>86</v>
      </c>
      <c r="AY75">
        <v>562</v>
      </c>
      <c r="AZ75" t="s">
        <v>1089</v>
      </c>
      <c r="BA75" t="s">
        <v>88</v>
      </c>
      <c r="BC75" t="s">
        <v>1078</v>
      </c>
      <c r="BD75">
        <v>1</v>
      </c>
    </row>
    <row r="76" spans="1:57" hidden="1" x14ac:dyDescent="0.2">
      <c r="A76" t="s">
        <v>1090</v>
      </c>
      <c r="B76" t="s">
        <v>1091</v>
      </c>
      <c r="C76" t="s">
        <v>1092</v>
      </c>
      <c r="D76" t="s">
        <v>1093</v>
      </c>
      <c r="E76" t="s">
        <v>1093</v>
      </c>
      <c r="G76" t="s">
        <v>56</v>
      </c>
      <c r="H76" t="s">
        <v>57</v>
      </c>
      <c r="I76" t="s">
        <v>58</v>
      </c>
      <c r="J76" t="e">
        <v>#N/A</v>
      </c>
      <c r="K76" t="s">
        <v>1094</v>
      </c>
      <c r="L76" t="s">
        <v>1094</v>
      </c>
      <c r="M76" t="s">
        <v>7165</v>
      </c>
      <c r="N76" t="s">
        <v>7162</v>
      </c>
      <c r="O76" s="1" t="s">
        <v>603</v>
      </c>
      <c r="P76" t="s">
        <v>604</v>
      </c>
      <c r="Q76" s="1" t="s">
        <v>605</v>
      </c>
      <c r="R76" s="1" t="s">
        <v>127</v>
      </c>
      <c r="S76" s="1" t="s">
        <v>606</v>
      </c>
      <c r="T76" s="1">
        <v>11</v>
      </c>
      <c r="U76" s="1">
        <v>2124</v>
      </c>
      <c r="V76" s="1" t="s">
        <v>1095</v>
      </c>
      <c r="W76" s="1" t="s">
        <v>170</v>
      </c>
      <c r="X76" t="s">
        <v>1096</v>
      </c>
      <c r="Y76" t="s">
        <v>1097</v>
      </c>
      <c r="AA76" t="s">
        <v>68</v>
      </c>
      <c r="AB76" t="s">
        <v>1098</v>
      </c>
      <c r="AC76" t="s">
        <v>1099</v>
      </c>
      <c r="AD76" t="s">
        <v>1100</v>
      </c>
      <c r="AE76" t="s">
        <v>1061</v>
      </c>
      <c r="AF76" t="s">
        <v>73</v>
      </c>
      <c r="AG76" t="s">
        <v>1101</v>
      </c>
      <c r="AH76" t="s">
        <v>1102</v>
      </c>
      <c r="AI76" t="s">
        <v>76</v>
      </c>
      <c r="AJ76" t="s">
        <v>77</v>
      </c>
      <c r="AK76" t="s">
        <v>1103</v>
      </c>
      <c r="AL76" t="s">
        <v>1104</v>
      </c>
      <c r="AM76" t="s">
        <v>1105</v>
      </c>
      <c r="AN76" t="s">
        <v>158</v>
      </c>
      <c r="AO76" t="s">
        <v>159</v>
      </c>
      <c r="AP76" t="s">
        <v>83</v>
      </c>
      <c r="AQ76">
        <v>2010</v>
      </c>
      <c r="AR76">
        <v>92036</v>
      </c>
      <c r="AS76">
        <v>5442287</v>
      </c>
      <c r="AT76">
        <v>181</v>
      </c>
      <c r="AU76" t="s">
        <v>84</v>
      </c>
      <c r="AV76">
        <v>562</v>
      </c>
      <c r="AW76" t="s">
        <v>85</v>
      </c>
      <c r="AX76" t="s">
        <v>86</v>
      </c>
      <c r="AY76">
        <v>562</v>
      </c>
      <c r="AZ76" t="s">
        <v>1106</v>
      </c>
      <c r="BA76" t="s">
        <v>88</v>
      </c>
      <c r="BC76" t="s">
        <v>1107</v>
      </c>
      <c r="BD76">
        <v>5</v>
      </c>
    </row>
    <row r="77" spans="1:57" hidden="1" x14ac:dyDescent="0.2">
      <c r="A77" t="s">
        <v>1108</v>
      </c>
      <c r="B77" t="s">
        <v>1109</v>
      </c>
      <c r="C77" t="s">
        <v>1110</v>
      </c>
      <c r="D77" t="s">
        <v>1111</v>
      </c>
      <c r="E77" t="s">
        <v>1111</v>
      </c>
      <c r="G77" t="s">
        <v>56</v>
      </c>
      <c r="H77" t="s">
        <v>57</v>
      </c>
      <c r="I77" t="s">
        <v>58</v>
      </c>
      <c r="J77" t="e">
        <v>#N/A</v>
      </c>
      <c r="K77" t="s">
        <v>1112</v>
      </c>
      <c r="L77" t="s">
        <v>1112</v>
      </c>
      <c r="M77" t="s">
        <v>7165</v>
      </c>
      <c r="N77" t="s">
        <v>7162</v>
      </c>
      <c r="O77" s="1" t="s">
        <v>603</v>
      </c>
      <c r="P77" t="s">
        <v>604</v>
      </c>
      <c r="Q77" s="1" t="s">
        <v>875</v>
      </c>
      <c r="R77" s="1" t="s">
        <v>270</v>
      </c>
      <c r="S77" s="1" t="s">
        <v>701</v>
      </c>
      <c r="T77" s="1">
        <v>11</v>
      </c>
      <c r="U77" s="1" t="s">
        <v>833</v>
      </c>
      <c r="V77" s="1" t="s">
        <v>1113</v>
      </c>
      <c r="W77" s="1" t="s">
        <v>170</v>
      </c>
      <c r="X77" t="s">
        <v>1114</v>
      </c>
      <c r="Y77" t="s">
        <v>1115</v>
      </c>
      <c r="AA77" t="s">
        <v>68</v>
      </c>
      <c r="AB77" t="s">
        <v>1116</v>
      </c>
      <c r="AC77" t="s">
        <v>1117</v>
      </c>
      <c r="AD77" t="s">
        <v>1118</v>
      </c>
      <c r="AE77" t="s">
        <v>1061</v>
      </c>
      <c r="AF77" t="s">
        <v>73</v>
      </c>
      <c r="AG77" t="s">
        <v>1119</v>
      </c>
      <c r="AH77" t="s">
        <v>1120</v>
      </c>
      <c r="AI77" t="s">
        <v>76</v>
      </c>
      <c r="AJ77" t="s">
        <v>77</v>
      </c>
      <c r="AK77" t="s">
        <v>1121</v>
      </c>
      <c r="AL77" t="s">
        <v>1122</v>
      </c>
      <c r="AM77" t="s">
        <v>1123</v>
      </c>
      <c r="AN77" t="s">
        <v>158</v>
      </c>
      <c r="AO77" t="s">
        <v>159</v>
      </c>
      <c r="AP77" t="s">
        <v>83</v>
      </c>
      <c r="AQ77">
        <v>2010</v>
      </c>
      <c r="AR77">
        <v>54804</v>
      </c>
      <c r="AS77">
        <v>5369996</v>
      </c>
      <c r="AT77">
        <v>301</v>
      </c>
      <c r="AU77" t="s">
        <v>84</v>
      </c>
      <c r="AV77">
        <v>562</v>
      </c>
      <c r="AW77" t="s">
        <v>85</v>
      </c>
      <c r="AX77" t="s">
        <v>86</v>
      </c>
      <c r="AY77">
        <v>562</v>
      </c>
      <c r="AZ77" t="s">
        <v>1124</v>
      </c>
      <c r="BA77" t="s">
        <v>88</v>
      </c>
      <c r="BC77" t="s">
        <v>1125</v>
      </c>
      <c r="BD77">
        <v>7</v>
      </c>
    </row>
    <row r="78" spans="1:57" hidden="1" x14ac:dyDescent="0.2">
      <c r="A78" t="s">
        <v>1126</v>
      </c>
      <c r="B78" t="s">
        <v>1127</v>
      </c>
      <c r="C78" t="s">
        <v>1128</v>
      </c>
      <c r="D78" t="s">
        <v>1129</v>
      </c>
      <c r="E78" t="s">
        <v>1129</v>
      </c>
      <c r="G78" t="s">
        <v>56</v>
      </c>
      <c r="H78" t="s">
        <v>57</v>
      </c>
      <c r="I78" t="s">
        <v>58</v>
      </c>
      <c r="J78" t="e">
        <v>#N/A</v>
      </c>
      <c r="K78" t="s">
        <v>1112</v>
      </c>
      <c r="L78" t="s">
        <v>1112</v>
      </c>
      <c r="M78" t="s">
        <v>7165</v>
      </c>
      <c r="N78" t="s">
        <v>7162</v>
      </c>
      <c r="O78" s="1" t="s">
        <v>603</v>
      </c>
      <c r="P78" t="s">
        <v>604</v>
      </c>
      <c r="Q78" s="1" t="s">
        <v>875</v>
      </c>
      <c r="R78" s="1" t="s">
        <v>270</v>
      </c>
      <c r="S78" s="1" t="s">
        <v>701</v>
      </c>
      <c r="T78" s="1">
        <v>11</v>
      </c>
      <c r="U78" s="1" t="s">
        <v>833</v>
      </c>
      <c r="V78" s="1" t="s">
        <v>1113</v>
      </c>
      <c r="W78" s="1" t="s">
        <v>170</v>
      </c>
      <c r="X78" t="s">
        <v>1130</v>
      </c>
      <c r="Y78" t="s">
        <v>1131</v>
      </c>
      <c r="AA78" t="s">
        <v>68</v>
      </c>
      <c r="AB78" t="s">
        <v>1132</v>
      </c>
      <c r="AC78" t="s">
        <v>1133</v>
      </c>
      <c r="AD78" t="s">
        <v>1134</v>
      </c>
      <c r="AE78" t="s">
        <v>1135</v>
      </c>
      <c r="AF78" t="s">
        <v>73</v>
      </c>
      <c r="AG78" t="s">
        <v>1136</v>
      </c>
      <c r="AH78" t="s">
        <v>1120</v>
      </c>
      <c r="AI78" t="s">
        <v>76</v>
      </c>
      <c r="AJ78" t="s">
        <v>77</v>
      </c>
      <c r="AK78" t="s">
        <v>1137</v>
      </c>
      <c r="AL78" t="s">
        <v>1138</v>
      </c>
      <c r="AM78" t="s">
        <v>1123</v>
      </c>
      <c r="AN78" t="s">
        <v>81</v>
      </c>
      <c r="AO78" t="s">
        <v>82</v>
      </c>
      <c r="AP78" t="s">
        <v>83</v>
      </c>
      <c r="AQ78">
        <v>2010</v>
      </c>
      <c r="AR78">
        <v>138860</v>
      </c>
      <c r="AS78">
        <v>5400252</v>
      </c>
      <c r="AT78">
        <v>204</v>
      </c>
      <c r="AU78" t="s">
        <v>84</v>
      </c>
      <c r="AV78">
        <v>562</v>
      </c>
      <c r="AW78" t="s">
        <v>85</v>
      </c>
      <c r="AX78" t="s">
        <v>86</v>
      </c>
      <c r="AY78">
        <v>562</v>
      </c>
      <c r="AZ78" t="s">
        <v>1139</v>
      </c>
      <c r="BA78" t="s">
        <v>88</v>
      </c>
      <c r="BC78" t="s">
        <v>1125</v>
      </c>
      <c r="BD78">
        <v>7</v>
      </c>
    </row>
    <row r="79" spans="1:57" hidden="1" x14ac:dyDescent="0.2">
      <c r="A79" t="s">
        <v>1140</v>
      </c>
      <c r="B79" t="s">
        <v>1141</v>
      </c>
      <c r="C79" t="s">
        <v>1142</v>
      </c>
      <c r="D79" t="s">
        <v>1143</v>
      </c>
      <c r="E79" t="s">
        <v>1143</v>
      </c>
      <c r="G79" t="s">
        <v>56</v>
      </c>
      <c r="H79" t="s">
        <v>57</v>
      </c>
      <c r="I79" t="s">
        <v>58</v>
      </c>
      <c r="J79" t="e">
        <v>#N/A</v>
      </c>
      <c r="K79" t="s">
        <v>1070</v>
      </c>
      <c r="L79" t="s">
        <v>1070</v>
      </c>
      <c r="M79" t="s">
        <v>7165</v>
      </c>
      <c r="N79" t="s">
        <v>7162</v>
      </c>
      <c r="O79" s="1" t="s">
        <v>603</v>
      </c>
      <c r="P79" t="s">
        <v>649</v>
      </c>
      <c r="Q79" s="1" t="s">
        <v>605</v>
      </c>
      <c r="R79" s="1" t="s">
        <v>127</v>
      </c>
      <c r="S79" s="1" t="s">
        <v>606</v>
      </c>
      <c r="T79" s="1">
        <v>11</v>
      </c>
      <c r="U79" s="1" t="s">
        <v>833</v>
      </c>
      <c r="V79" s="1" t="s">
        <v>1095</v>
      </c>
      <c r="W79" s="1" t="s">
        <v>170</v>
      </c>
      <c r="X79" t="s">
        <v>1144</v>
      </c>
      <c r="Y79" t="s">
        <v>1145</v>
      </c>
      <c r="AA79" t="s">
        <v>68</v>
      </c>
      <c r="AB79" t="s">
        <v>1146</v>
      </c>
      <c r="AC79" t="s">
        <v>1147</v>
      </c>
      <c r="AD79" t="s">
        <v>1148</v>
      </c>
      <c r="AE79" t="s">
        <v>1135</v>
      </c>
      <c r="AF79" t="s">
        <v>73</v>
      </c>
      <c r="AG79" t="s">
        <v>1149</v>
      </c>
      <c r="AH79" t="s">
        <v>1102</v>
      </c>
      <c r="AI79" t="s">
        <v>76</v>
      </c>
      <c r="AJ79" t="s">
        <v>77</v>
      </c>
      <c r="AK79" t="s">
        <v>1103</v>
      </c>
      <c r="AL79" t="s">
        <v>1104</v>
      </c>
      <c r="AM79" t="s">
        <v>1105</v>
      </c>
      <c r="AN79" t="s">
        <v>158</v>
      </c>
      <c r="AO79" t="s">
        <v>159</v>
      </c>
      <c r="AP79" t="s">
        <v>83</v>
      </c>
      <c r="AQ79">
        <v>2010</v>
      </c>
      <c r="AR79">
        <v>149646</v>
      </c>
      <c r="AS79">
        <v>5478981</v>
      </c>
      <c r="AT79">
        <v>171</v>
      </c>
      <c r="AU79" t="s">
        <v>84</v>
      </c>
      <c r="AV79">
        <v>562</v>
      </c>
      <c r="AW79" t="s">
        <v>85</v>
      </c>
      <c r="AX79" t="s">
        <v>86</v>
      </c>
      <c r="AY79">
        <v>562</v>
      </c>
      <c r="AZ79" t="s">
        <v>1150</v>
      </c>
      <c r="BA79" t="s">
        <v>88</v>
      </c>
      <c r="BC79" t="s">
        <v>1107</v>
      </c>
      <c r="BD79">
        <v>0</v>
      </c>
    </row>
    <row r="80" spans="1:57" hidden="1" x14ac:dyDescent="0.2">
      <c r="A80" t="s">
        <v>1151</v>
      </c>
      <c r="B80" t="s">
        <v>1152</v>
      </c>
      <c r="C80" t="s">
        <v>1153</v>
      </c>
      <c r="D80" t="s">
        <v>1154</v>
      </c>
      <c r="E80" t="s">
        <v>1154</v>
      </c>
      <c r="G80" t="s">
        <v>56</v>
      </c>
      <c r="H80" t="s">
        <v>57</v>
      </c>
      <c r="I80" t="s">
        <v>58</v>
      </c>
      <c r="J80" t="e">
        <v>#N/A</v>
      </c>
      <c r="K80" t="s">
        <v>989</v>
      </c>
      <c r="L80" t="s">
        <v>989</v>
      </c>
      <c r="M80" t="s">
        <v>7165</v>
      </c>
      <c r="N80" t="s">
        <v>7162</v>
      </c>
      <c r="O80" s="1" t="s">
        <v>603</v>
      </c>
      <c r="P80" t="s">
        <v>604</v>
      </c>
      <c r="Q80" s="1" t="s">
        <v>605</v>
      </c>
      <c r="R80" s="1" t="s">
        <v>127</v>
      </c>
      <c r="S80" s="1" t="s">
        <v>606</v>
      </c>
      <c r="T80" s="1">
        <v>11</v>
      </c>
      <c r="U80" s="1" t="s">
        <v>833</v>
      </c>
      <c r="V80" s="1" t="s">
        <v>1095</v>
      </c>
      <c r="W80" s="1" t="s">
        <v>170</v>
      </c>
      <c r="X80" t="s">
        <v>1155</v>
      </c>
      <c r="Y80" t="s">
        <v>1156</v>
      </c>
      <c r="AA80" t="s">
        <v>68</v>
      </c>
      <c r="AB80" t="s">
        <v>1157</v>
      </c>
      <c r="AC80" t="s">
        <v>1158</v>
      </c>
      <c r="AD80" t="s">
        <v>1159</v>
      </c>
      <c r="AE80" t="s">
        <v>1135</v>
      </c>
      <c r="AF80" t="s">
        <v>73</v>
      </c>
      <c r="AG80" t="s">
        <v>1160</v>
      </c>
      <c r="AH80" t="s">
        <v>1102</v>
      </c>
      <c r="AI80" t="s">
        <v>76</v>
      </c>
      <c r="AJ80" t="s">
        <v>77</v>
      </c>
      <c r="AK80" t="s">
        <v>1161</v>
      </c>
      <c r="AL80" t="s">
        <v>1104</v>
      </c>
      <c r="AM80" t="s">
        <v>1105</v>
      </c>
      <c r="AN80" t="s">
        <v>158</v>
      </c>
      <c r="AO80" t="s">
        <v>159</v>
      </c>
      <c r="AP80" t="s">
        <v>83</v>
      </c>
      <c r="AQ80">
        <v>2010</v>
      </c>
      <c r="AR80">
        <v>108473</v>
      </c>
      <c r="AS80">
        <v>5490787</v>
      </c>
      <c r="AT80">
        <v>193</v>
      </c>
      <c r="AU80" t="s">
        <v>84</v>
      </c>
      <c r="AV80">
        <v>562</v>
      </c>
      <c r="AW80" t="s">
        <v>85</v>
      </c>
      <c r="AX80" t="s">
        <v>86</v>
      </c>
      <c r="AY80">
        <v>562</v>
      </c>
      <c r="AZ80" t="s">
        <v>1162</v>
      </c>
      <c r="BA80" t="s">
        <v>88</v>
      </c>
      <c r="BC80" t="s">
        <v>1107</v>
      </c>
      <c r="BD80">
        <v>2</v>
      </c>
    </row>
    <row r="81" spans="1:57" hidden="1" x14ac:dyDescent="0.2">
      <c r="A81" t="s">
        <v>1163</v>
      </c>
      <c r="B81" t="s">
        <v>1164</v>
      </c>
      <c r="C81" t="s">
        <v>1165</v>
      </c>
      <c r="D81" t="s">
        <v>1166</v>
      </c>
      <c r="E81" t="s">
        <v>1166</v>
      </c>
      <c r="G81" t="s">
        <v>56</v>
      </c>
      <c r="H81" t="s">
        <v>57</v>
      </c>
      <c r="I81" t="s">
        <v>58</v>
      </c>
      <c r="J81" t="e">
        <v>#N/A</v>
      </c>
      <c r="K81" t="s">
        <v>1167</v>
      </c>
      <c r="L81" t="s">
        <v>1167</v>
      </c>
      <c r="M81" t="s">
        <v>7165</v>
      </c>
      <c r="N81" t="s">
        <v>7162</v>
      </c>
      <c r="O81" s="1" t="s">
        <v>603</v>
      </c>
      <c r="P81" t="s">
        <v>649</v>
      </c>
      <c r="Q81" s="1" t="s">
        <v>605</v>
      </c>
      <c r="R81" s="1" t="s">
        <v>127</v>
      </c>
      <c r="S81" s="1" t="s">
        <v>606</v>
      </c>
      <c r="T81" s="1">
        <v>11</v>
      </c>
      <c r="U81" s="1" t="s">
        <v>833</v>
      </c>
      <c r="V81" s="1" t="s">
        <v>169</v>
      </c>
      <c r="W81" s="1" t="s">
        <v>170</v>
      </c>
      <c r="X81" t="s">
        <v>1168</v>
      </c>
      <c r="Y81" t="s">
        <v>1169</v>
      </c>
      <c r="AA81" t="s">
        <v>68</v>
      </c>
      <c r="AB81" t="s">
        <v>1170</v>
      </c>
      <c r="AC81" t="s">
        <v>1171</v>
      </c>
      <c r="AD81" t="s">
        <v>1172</v>
      </c>
      <c r="AE81" t="s">
        <v>1135</v>
      </c>
      <c r="AF81" t="s">
        <v>73</v>
      </c>
      <c r="AG81" t="s">
        <v>1173</v>
      </c>
      <c r="AH81" t="s">
        <v>75</v>
      </c>
      <c r="AI81" t="s">
        <v>76</v>
      </c>
      <c r="AJ81" t="s">
        <v>77</v>
      </c>
      <c r="AK81" t="s">
        <v>1174</v>
      </c>
      <c r="AL81" t="s">
        <v>615</v>
      </c>
      <c r="AM81" t="s">
        <v>616</v>
      </c>
      <c r="AN81" t="s">
        <v>81</v>
      </c>
      <c r="AO81" t="s">
        <v>82</v>
      </c>
      <c r="AP81" t="s">
        <v>83</v>
      </c>
      <c r="AQ81">
        <v>2010</v>
      </c>
      <c r="AR81">
        <v>168238</v>
      </c>
      <c r="AS81">
        <v>5375432</v>
      </c>
      <c r="AT81">
        <v>139</v>
      </c>
      <c r="AU81" t="s">
        <v>84</v>
      </c>
      <c r="AV81">
        <v>562</v>
      </c>
      <c r="AW81" t="s">
        <v>85</v>
      </c>
      <c r="AX81" t="s">
        <v>86</v>
      </c>
      <c r="AY81">
        <v>562</v>
      </c>
      <c r="AZ81" t="s">
        <v>1175</v>
      </c>
      <c r="BA81" t="s">
        <v>88</v>
      </c>
      <c r="BC81" t="s">
        <v>659</v>
      </c>
      <c r="BD81">
        <v>0</v>
      </c>
      <c r="BE81">
        <v>25</v>
      </c>
    </row>
    <row r="82" spans="1:57" hidden="1" x14ac:dyDescent="0.2">
      <c r="A82" t="s">
        <v>1176</v>
      </c>
      <c r="B82" t="s">
        <v>1177</v>
      </c>
      <c r="C82" t="s">
        <v>1165</v>
      </c>
      <c r="D82" t="s">
        <v>1178</v>
      </c>
      <c r="E82" t="s">
        <v>1178</v>
      </c>
      <c r="G82" t="s">
        <v>56</v>
      </c>
      <c r="H82" t="s">
        <v>57</v>
      </c>
      <c r="I82" t="s">
        <v>58</v>
      </c>
      <c r="J82" t="e">
        <v>#N/A</v>
      </c>
      <c r="K82" t="s">
        <v>1167</v>
      </c>
      <c r="L82" t="s">
        <v>1167</v>
      </c>
      <c r="M82" t="s">
        <v>7165</v>
      </c>
      <c r="N82" t="s">
        <v>7162</v>
      </c>
      <c r="O82" s="1" t="s">
        <v>603</v>
      </c>
      <c r="P82" t="s">
        <v>649</v>
      </c>
      <c r="Q82" s="1" t="s">
        <v>605</v>
      </c>
      <c r="R82" s="1" t="s">
        <v>127</v>
      </c>
      <c r="S82" s="1" t="s">
        <v>606</v>
      </c>
      <c r="T82" s="1">
        <v>11</v>
      </c>
      <c r="U82" s="1" t="s">
        <v>833</v>
      </c>
      <c r="V82" s="1" t="s">
        <v>169</v>
      </c>
      <c r="W82" s="1" t="s">
        <v>170</v>
      </c>
      <c r="X82" t="s">
        <v>1179</v>
      </c>
      <c r="Y82" t="s">
        <v>1180</v>
      </c>
      <c r="AA82" t="s">
        <v>68</v>
      </c>
      <c r="AB82" t="s">
        <v>1181</v>
      </c>
      <c r="AC82" t="s">
        <v>1182</v>
      </c>
      <c r="AD82" t="s">
        <v>1183</v>
      </c>
      <c r="AE82" t="s">
        <v>612</v>
      </c>
      <c r="AF82" t="s">
        <v>73</v>
      </c>
      <c r="AG82" t="s">
        <v>1184</v>
      </c>
      <c r="AH82" t="s">
        <v>75</v>
      </c>
      <c r="AI82" t="s">
        <v>76</v>
      </c>
      <c r="AJ82" t="s">
        <v>77</v>
      </c>
      <c r="AK82" t="s">
        <v>905</v>
      </c>
      <c r="AL82" t="s">
        <v>615</v>
      </c>
      <c r="AM82" t="s">
        <v>616</v>
      </c>
      <c r="AN82" t="s">
        <v>81</v>
      </c>
      <c r="AO82" t="s">
        <v>82</v>
      </c>
      <c r="AP82" t="s">
        <v>83</v>
      </c>
      <c r="AQ82">
        <v>2010</v>
      </c>
      <c r="AR82">
        <v>160336</v>
      </c>
      <c r="AS82">
        <v>5374763</v>
      </c>
      <c r="AT82">
        <v>139</v>
      </c>
      <c r="AU82" t="s">
        <v>84</v>
      </c>
      <c r="AV82">
        <v>562</v>
      </c>
      <c r="AW82" t="s">
        <v>85</v>
      </c>
      <c r="AX82" t="s">
        <v>86</v>
      </c>
      <c r="AY82">
        <v>562</v>
      </c>
      <c r="AZ82" t="s">
        <v>1185</v>
      </c>
      <c r="BA82" t="s">
        <v>88</v>
      </c>
      <c r="BC82" t="s">
        <v>659</v>
      </c>
      <c r="BD82">
        <v>0</v>
      </c>
      <c r="BE82">
        <v>25</v>
      </c>
    </row>
    <row r="83" spans="1:57" hidden="1" x14ac:dyDescent="0.2">
      <c r="A83" t="s">
        <v>1186</v>
      </c>
      <c r="B83" t="s">
        <v>1187</v>
      </c>
      <c r="C83" t="s">
        <v>1165</v>
      </c>
      <c r="D83" t="s">
        <v>1188</v>
      </c>
      <c r="E83" t="s">
        <v>1188</v>
      </c>
      <c r="G83" t="s">
        <v>56</v>
      </c>
      <c r="H83" t="s">
        <v>57</v>
      </c>
      <c r="I83" t="s">
        <v>58</v>
      </c>
      <c r="J83" t="e">
        <v>#N/A</v>
      </c>
      <c r="K83" t="s">
        <v>1167</v>
      </c>
      <c r="L83" t="s">
        <v>1167</v>
      </c>
      <c r="M83" t="s">
        <v>7165</v>
      </c>
      <c r="N83" t="s">
        <v>7162</v>
      </c>
      <c r="O83" s="1" t="s">
        <v>603</v>
      </c>
      <c r="P83" t="s">
        <v>649</v>
      </c>
      <c r="Q83" s="1" t="s">
        <v>605</v>
      </c>
      <c r="R83" s="1" t="s">
        <v>127</v>
      </c>
      <c r="S83" s="1" t="s">
        <v>606</v>
      </c>
      <c r="T83" s="1">
        <v>11</v>
      </c>
      <c r="U83" s="1" t="s">
        <v>833</v>
      </c>
      <c r="V83" s="1" t="s">
        <v>169</v>
      </c>
      <c r="W83" s="1" t="s">
        <v>170</v>
      </c>
      <c r="X83" t="s">
        <v>1189</v>
      </c>
      <c r="Y83" t="s">
        <v>1190</v>
      </c>
      <c r="AA83" t="s">
        <v>68</v>
      </c>
      <c r="AB83" t="s">
        <v>1191</v>
      </c>
      <c r="AC83" t="s">
        <v>1192</v>
      </c>
      <c r="AD83" t="s">
        <v>1193</v>
      </c>
      <c r="AE83" t="s">
        <v>612</v>
      </c>
      <c r="AF83" t="s">
        <v>73</v>
      </c>
      <c r="AG83" t="s">
        <v>1194</v>
      </c>
      <c r="AH83" t="s">
        <v>75</v>
      </c>
      <c r="AI83" t="s">
        <v>76</v>
      </c>
      <c r="AJ83" t="s">
        <v>77</v>
      </c>
      <c r="AK83" t="s">
        <v>1195</v>
      </c>
      <c r="AL83" t="s">
        <v>615</v>
      </c>
      <c r="AM83" t="s">
        <v>616</v>
      </c>
      <c r="AN83" t="s">
        <v>81</v>
      </c>
      <c r="AO83" t="s">
        <v>82</v>
      </c>
      <c r="AP83" t="s">
        <v>83</v>
      </c>
      <c r="AQ83">
        <v>2010</v>
      </c>
      <c r="AR83">
        <v>160336</v>
      </c>
      <c r="AS83">
        <v>5363489</v>
      </c>
      <c r="AT83">
        <v>143</v>
      </c>
      <c r="AU83" t="s">
        <v>84</v>
      </c>
      <c r="AV83">
        <v>562</v>
      </c>
      <c r="AW83" t="s">
        <v>85</v>
      </c>
      <c r="AX83" t="s">
        <v>86</v>
      </c>
      <c r="AY83">
        <v>562</v>
      </c>
      <c r="AZ83" t="s">
        <v>1196</v>
      </c>
      <c r="BA83" t="s">
        <v>88</v>
      </c>
      <c r="BC83" t="s">
        <v>659</v>
      </c>
      <c r="BD83">
        <v>0</v>
      </c>
      <c r="BE83">
        <v>25</v>
      </c>
    </row>
    <row r="84" spans="1:57" hidden="1" x14ac:dyDescent="0.2">
      <c r="A84" t="s">
        <v>1197</v>
      </c>
      <c r="B84" t="s">
        <v>1198</v>
      </c>
      <c r="C84" t="s">
        <v>1142</v>
      </c>
      <c r="D84" t="s">
        <v>1199</v>
      </c>
      <c r="E84" t="s">
        <v>1199</v>
      </c>
      <c r="G84" t="s">
        <v>56</v>
      </c>
      <c r="H84" t="s">
        <v>57</v>
      </c>
      <c r="I84" t="s">
        <v>58</v>
      </c>
      <c r="J84" t="e">
        <v>#N/A</v>
      </c>
      <c r="K84" t="s">
        <v>1200</v>
      </c>
      <c r="L84" t="s">
        <v>1200</v>
      </c>
      <c r="M84" t="s">
        <v>7165</v>
      </c>
      <c r="N84" t="s">
        <v>7162</v>
      </c>
      <c r="O84" s="1" t="s">
        <v>603</v>
      </c>
      <c r="P84" t="s">
        <v>649</v>
      </c>
      <c r="Q84" s="1" t="s">
        <v>605</v>
      </c>
      <c r="R84" s="1" t="s">
        <v>127</v>
      </c>
      <c r="S84" s="1" t="s">
        <v>606</v>
      </c>
      <c r="T84" s="1">
        <v>11</v>
      </c>
      <c r="U84" s="1" t="s">
        <v>833</v>
      </c>
      <c r="V84" s="1" t="s">
        <v>1095</v>
      </c>
      <c r="W84" s="1" t="s">
        <v>170</v>
      </c>
      <c r="X84" t="s">
        <v>1201</v>
      </c>
      <c r="Y84" t="s">
        <v>1202</v>
      </c>
      <c r="AA84" t="s">
        <v>68</v>
      </c>
      <c r="AB84" t="s">
        <v>1203</v>
      </c>
      <c r="AC84" t="s">
        <v>1204</v>
      </c>
      <c r="AD84" t="s">
        <v>1205</v>
      </c>
      <c r="AE84" t="s">
        <v>612</v>
      </c>
      <c r="AF84" t="s">
        <v>73</v>
      </c>
      <c r="AG84" t="s">
        <v>1206</v>
      </c>
      <c r="AH84" t="s">
        <v>1102</v>
      </c>
      <c r="AI84" t="s">
        <v>76</v>
      </c>
      <c r="AJ84" t="s">
        <v>77</v>
      </c>
      <c r="AK84" t="s">
        <v>669</v>
      </c>
      <c r="AL84" t="s">
        <v>1104</v>
      </c>
      <c r="AM84" t="s">
        <v>1105</v>
      </c>
      <c r="AN84" t="s">
        <v>81</v>
      </c>
      <c r="AO84" t="s">
        <v>82</v>
      </c>
      <c r="AP84" t="s">
        <v>83</v>
      </c>
      <c r="AQ84">
        <v>2010</v>
      </c>
      <c r="AR84">
        <v>112344</v>
      </c>
      <c r="AS84">
        <v>5472887</v>
      </c>
      <c r="AT84">
        <v>229</v>
      </c>
      <c r="AU84" t="s">
        <v>84</v>
      </c>
      <c r="AV84">
        <v>562</v>
      </c>
      <c r="AW84" t="s">
        <v>85</v>
      </c>
      <c r="AX84" t="s">
        <v>86</v>
      </c>
      <c r="AY84">
        <v>562</v>
      </c>
      <c r="AZ84" t="s">
        <v>1207</v>
      </c>
      <c r="BA84" t="s">
        <v>88</v>
      </c>
      <c r="BC84" t="s">
        <v>1107</v>
      </c>
      <c r="BD84">
        <v>1</v>
      </c>
    </row>
    <row r="85" spans="1:57" hidden="1" x14ac:dyDescent="0.2">
      <c r="A85" t="s">
        <v>1208</v>
      </c>
      <c r="B85" t="s">
        <v>1209</v>
      </c>
      <c r="C85" t="s">
        <v>1142</v>
      </c>
      <c r="D85" t="s">
        <v>1210</v>
      </c>
      <c r="E85" t="s">
        <v>1210</v>
      </c>
      <c r="G85" t="s">
        <v>56</v>
      </c>
      <c r="H85" t="s">
        <v>57</v>
      </c>
      <c r="I85" t="s">
        <v>58</v>
      </c>
      <c r="J85" t="e">
        <v>#N/A</v>
      </c>
      <c r="K85" t="s">
        <v>1200</v>
      </c>
      <c r="L85" t="s">
        <v>1200</v>
      </c>
      <c r="M85" t="s">
        <v>7165</v>
      </c>
      <c r="N85" t="s">
        <v>7169</v>
      </c>
      <c r="O85" s="1" t="s">
        <v>603</v>
      </c>
      <c r="P85" t="s">
        <v>649</v>
      </c>
      <c r="Q85" s="1" t="s">
        <v>605</v>
      </c>
      <c r="R85" s="1" t="s">
        <v>127</v>
      </c>
      <c r="S85" s="1" t="s">
        <v>606</v>
      </c>
      <c r="T85" s="1">
        <v>11</v>
      </c>
      <c r="U85" s="1" t="s">
        <v>833</v>
      </c>
      <c r="V85" s="1" t="s">
        <v>1095</v>
      </c>
      <c r="W85" s="1" t="s">
        <v>170</v>
      </c>
      <c r="X85" t="s">
        <v>1211</v>
      </c>
      <c r="Y85" t="s">
        <v>1212</v>
      </c>
      <c r="AA85" t="s">
        <v>68</v>
      </c>
      <c r="AB85" t="s">
        <v>1213</v>
      </c>
      <c r="AC85" t="s">
        <v>1214</v>
      </c>
      <c r="AD85" t="s">
        <v>1215</v>
      </c>
      <c r="AE85" t="s">
        <v>628</v>
      </c>
      <c r="AF85" t="s">
        <v>73</v>
      </c>
      <c r="AG85" t="s">
        <v>1216</v>
      </c>
      <c r="AH85" t="s">
        <v>1102</v>
      </c>
      <c r="AI85" t="s">
        <v>76</v>
      </c>
      <c r="AJ85" t="s">
        <v>77</v>
      </c>
      <c r="AK85" t="s">
        <v>1217</v>
      </c>
      <c r="AL85" t="s">
        <v>1104</v>
      </c>
      <c r="AM85" t="s">
        <v>1105</v>
      </c>
      <c r="AN85" t="s">
        <v>158</v>
      </c>
      <c r="AO85" t="s">
        <v>159</v>
      </c>
      <c r="AP85" t="s">
        <v>83</v>
      </c>
      <c r="AQ85">
        <v>2010</v>
      </c>
      <c r="AR85">
        <v>43143</v>
      </c>
      <c r="AS85">
        <v>5397075</v>
      </c>
      <c r="AT85">
        <v>486</v>
      </c>
      <c r="AU85" t="s">
        <v>84</v>
      </c>
      <c r="AV85">
        <v>562</v>
      </c>
      <c r="AW85" t="s">
        <v>85</v>
      </c>
      <c r="AX85" t="s">
        <v>86</v>
      </c>
      <c r="AY85">
        <v>562</v>
      </c>
      <c r="AZ85" t="s">
        <v>1218</v>
      </c>
      <c r="BA85" t="s">
        <v>88</v>
      </c>
      <c r="BC85" t="s">
        <v>1107</v>
      </c>
      <c r="BD85">
        <v>0</v>
      </c>
    </row>
    <row r="86" spans="1:57" hidden="1" x14ac:dyDescent="0.2">
      <c r="A86" t="s">
        <v>1219</v>
      </c>
      <c r="B86" t="s">
        <v>1220</v>
      </c>
      <c r="C86" t="s">
        <v>1142</v>
      </c>
      <c r="D86" t="s">
        <v>1221</v>
      </c>
      <c r="E86" t="s">
        <v>1221</v>
      </c>
      <c r="G86" t="s">
        <v>56</v>
      </c>
      <c r="H86" t="s">
        <v>57</v>
      </c>
      <c r="I86" t="s">
        <v>58</v>
      </c>
      <c r="J86" t="e">
        <v>#N/A</v>
      </c>
      <c r="K86" t="s">
        <v>1200</v>
      </c>
      <c r="L86" t="s">
        <v>1200</v>
      </c>
      <c r="M86" t="s">
        <v>7165</v>
      </c>
      <c r="N86" t="s">
        <v>7162</v>
      </c>
      <c r="O86" s="1" t="s">
        <v>603</v>
      </c>
      <c r="P86" t="s">
        <v>649</v>
      </c>
      <c r="Q86" s="1" t="s">
        <v>605</v>
      </c>
      <c r="R86" s="1" t="s">
        <v>127</v>
      </c>
      <c r="S86" s="1" t="s">
        <v>606</v>
      </c>
      <c r="T86" s="1">
        <v>11</v>
      </c>
      <c r="U86" s="1" t="s">
        <v>833</v>
      </c>
      <c r="V86" s="1" t="s">
        <v>1095</v>
      </c>
      <c r="W86" s="1" t="s">
        <v>170</v>
      </c>
      <c r="X86" t="s">
        <v>1222</v>
      </c>
      <c r="Y86" t="s">
        <v>1223</v>
      </c>
      <c r="AA86" t="s">
        <v>68</v>
      </c>
      <c r="AB86" t="s">
        <v>1224</v>
      </c>
      <c r="AC86" t="s">
        <v>1225</v>
      </c>
      <c r="AD86" t="s">
        <v>1226</v>
      </c>
      <c r="AE86" t="s">
        <v>628</v>
      </c>
      <c r="AF86" t="s">
        <v>73</v>
      </c>
      <c r="AG86" t="s">
        <v>1227</v>
      </c>
      <c r="AH86" t="s">
        <v>1102</v>
      </c>
      <c r="AI86" t="s">
        <v>76</v>
      </c>
      <c r="AJ86" t="s">
        <v>77</v>
      </c>
      <c r="AK86" t="s">
        <v>1161</v>
      </c>
      <c r="AL86" t="s">
        <v>1104</v>
      </c>
      <c r="AM86" t="s">
        <v>1105</v>
      </c>
      <c r="AN86" t="s">
        <v>158</v>
      </c>
      <c r="AO86" t="s">
        <v>159</v>
      </c>
      <c r="AP86" t="s">
        <v>83</v>
      </c>
      <c r="AQ86">
        <v>2010</v>
      </c>
      <c r="AR86">
        <v>80259</v>
      </c>
      <c r="AS86">
        <v>5452444</v>
      </c>
      <c r="AT86">
        <v>302</v>
      </c>
      <c r="AU86" t="s">
        <v>84</v>
      </c>
      <c r="AV86">
        <v>562</v>
      </c>
      <c r="AW86" t="s">
        <v>85</v>
      </c>
      <c r="AX86" t="s">
        <v>86</v>
      </c>
      <c r="AY86">
        <v>562</v>
      </c>
      <c r="AZ86" t="s">
        <v>1228</v>
      </c>
      <c r="BA86" t="s">
        <v>88</v>
      </c>
      <c r="BC86" t="s">
        <v>1107</v>
      </c>
      <c r="BD86">
        <v>0</v>
      </c>
    </row>
    <row r="87" spans="1:57" hidden="1" x14ac:dyDescent="0.2">
      <c r="A87" t="s">
        <v>1229</v>
      </c>
      <c r="B87" t="s">
        <v>1230</v>
      </c>
      <c r="C87" t="s">
        <v>1142</v>
      </c>
      <c r="D87" t="s">
        <v>1231</v>
      </c>
      <c r="E87" t="s">
        <v>1231</v>
      </c>
      <c r="G87" t="s">
        <v>56</v>
      </c>
      <c r="H87" t="s">
        <v>57</v>
      </c>
      <c r="I87" t="s">
        <v>58</v>
      </c>
      <c r="J87" t="e">
        <v>#N/A</v>
      </c>
      <c r="K87" t="s">
        <v>1200</v>
      </c>
      <c r="L87" t="s">
        <v>1200</v>
      </c>
      <c r="M87" t="s">
        <v>7165</v>
      </c>
      <c r="N87" t="s">
        <v>7169</v>
      </c>
      <c r="O87" s="1" t="s">
        <v>603</v>
      </c>
      <c r="P87" t="s">
        <v>649</v>
      </c>
      <c r="Q87" s="1" t="s">
        <v>605</v>
      </c>
      <c r="R87" s="1" t="s">
        <v>127</v>
      </c>
      <c r="S87" s="1" t="s">
        <v>606</v>
      </c>
      <c r="T87" s="1">
        <v>11</v>
      </c>
      <c r="U87" s="1" t="s">
        <v>833</v>
      </c>
      <c r="V87" s="1" t="s">
        <v>1095</v>
      </c>
      <c r="W87" s="1" t="s">
        <v>170</v>
      </c>
      <c r="X87" t="s">
        <v>1232</v>
      </c>
      <c r="Y87" t="s">
        <v>1233</v>
      </c>
      <c r="AA87" t="s">
        <v>68</v>
      </c>
      <c r="AB87" t="s">
        <v>1234</v>
      </c>
      <c r="AC87" t="s">
        <v>1235</v>
      </c>
      <c r="AD87" t="s">
        <v>1236</v>
      </c>
      <c r="AE87" t="s">
        <v>628</v>
      </c>
      <c r="AF87" t="s">
        <v>73</v>
      </c>
      <c r="AG87" t="s">
        <v>1237</v>
      </c>
      <c r="AH87" t="s">
        <v>1102</v>
      </c>
      <c r="AI87" t="s">
        <v>76</v>
      </c>
      <c r="AJ87" t="s">
        <v>77</v>
      </c>
      <c r="AK87" t="s">
        <v>1238</v>
      </c>
      <c r="AL87" t="s">
        <v>1104</v>
      </c>
      <c r="AM87" t="s">
        <v>1239</v>
      </c>
      <c r="AN87" t="s">
        <v>158</v>
      </c>
      <c r="AO87" t="s">
        <v>159</v>
      </c>
      <c r="AP87" t="s">
        <v>83</v>
      </c>
      <c r="AQ87">
        <v>2010</v>
      </c>
      <c r="AR87">
        <v>104594</v>
      </c>
      <c r="AS87">
        <v>5452780</v>
      </c>
      <c r="AT87">
        <v>210</v>
      </c>
      <c r="AU87" t="s">
        <v>84</v>
      </c>
      <c r="AV87">
        <v>562</v>
      </c>
      <c r="AW87" t="s">
        <v>85</v>
      </c>
      <c r="AX87" t="s">
        <v>86</v>
      </c>
      <c r="AY87">
        <v>562</v>
      </c>
      <c r="AZ87" t="s">
        <v>1240</v>
      </c>
      <c r="BA87" t="s">
        <v>88</v>
      </c>
      <c r="BC87" t="s">
        <v>1107</v>
      </c>
      <c r="BD87">
        <v>0</v>
      </c>
    </row>
    <row r="88" spans="1:57" hidden="1" x14ac:dyDescent="0.2">
      <c r="A88" t="s">
        <v>1241</v>
      </c>
      <c r="B88" t="s">
        <v>1242</v>
      </c>
      <c r="C88" t="s">
        <v>1243</v>
      </c>
      <c r="D88" t="s">
        <v>1244</v>
      </c>
      <c r="E88" t="s">
        <v>1244</v>
      </c>
      <c r="G88" t="s">
        <v>56</v>
      </c>
      <c r="H88" t="s">
        <v>57</v>
      </c>
      <c r="I88" t="s">
        <v>58</v>
      </c>
      <c r="J88" t="e">
        <v>#N/A</v>
      </c>
      <c r="K88" t="s">
        <v>1094</v>
      </c>
      <c r="L88" t="s">
        <v>1094</v>
      </c>
      <c r="M88" t="s">
        <v>7165</v>
      </c>
      <c r="N88" t="s">
        <v>7165</v>
      </c>
      <c r="O88" s="1" t="s">
        <v>603</v>
      </c>
      <c r="P88" t="s">
        <v>604</v>
      </c>
      <c r="Q88" s="1" t="s">
        <v>875</v>
      </c>
      <c r="R88" s="1" t="s">
        <v>270</v>
      </c>
      <c r="S88" s="1" t="s">
        <v>701</v>
      </c>
      <c r="T88" s="1">
        <v>11</v>
      </c>
      <c r="U88" s="1">
        <v>2117</v>
      </c>
      <c r="V88" s="1" t="s">
        <v>169</v>
      </c>
      <c r="W88" s="1" t="s">
        <v>170</v>
      </c>
      <c r="X88" t="s">
        <v>1245</v>
      </c>
      <c r="Y88" t="s">
        <v>1246</v>
      </c>
      <c r="AA88" t="s">
        <v>68</v>
      </c>
      <c r="AB88" t="s">
        <v>1247</v>
      </c>
      <c r="AC88" t="s">
        <v>1248</v>
      </c>
      <c r="AD88" t="s">
        <v>1249</v>
      </c>
      <c r="AE88" t="s">
        <v>1250</v>
      </c>
      <c r="AF88" t="s">
        <v>73</v>
      </c>
      <c r="AG88" t="s">
        <v>1251</v>
      </c>
      <c r="AH88" t="s">
        <v>75</v>
      </c>
      <c r="AI88" t="s">
        <v>76</v>
      </c>
      <c r="AJ88" t="s">
        <v>77</v>
      </c>
      <c r="AK88" t="s">
        <v>1252</v>
      </c>
      <c r="AL88" t="s">
        <v>1253</v>
      </c>
      <c r="AM88" t="s">
        <v>616</v>
      </c>
      <c r="AN88" t="s">
        <v>81</v>
      </c>
      <c r="AO88" t="s">
        <v>82</v>
      </c>
      <c r="AP88" t="s">
        <v>83</v>
      </c>
      <c r="AQ88">
        <v>2011</v>
      </c>
      <c r="AR88">
        <v>82254</v>
      </c>
      <c r="AS88">
        <v>5287870</v>
      </c>
      <c r="AT88">
        <v>227</v>
      </c>
      <c r="AU88" t="s">
        <v>84</v>
      </c>
      <c r="AV88">
        <v>562</v>
      </c>
      <c r="AW88" t="s">
        <v>85</v>
      </c>
      <c r="AX88" t="s">
        <v>86</v>
      </c>
      <c r="AY88">
        <v>562</v>
      </c>
      <c r="AZ88" t="s">
        <v>1254</v>
      </c>
      <c r="BA88" t="s">
        <v>88</v>
      </c>
    </row>
    <row r="89" spans="1:57" hidden="1" x14ac:dyDescent="0.2">
      <c r="A89" t="s">
        <v>1255</v>
      </c>
      <c r="B89" t="s">
        <v>1256</v>
      </c>
      <c r="C89" t="s">
        <v>1257</v>
      </c>
      <c r="D89" t="s">
        <v>1258</v>
      </c>
      <c r="E89" t="s">
        <v>1258</v>
      </c>
      <c r="G89" t="s">
        <v>56</v>
      </c>
      <c r="H89" t="s">
        <v>57</v>
      </c>
      <c r="I89" t="s">
        <v>58</v>
      </c>
      <c r="J89" t="e">
        <v>#N/A</v>
      </c>
      <c r="K89" t="s">
        <v>1070</v>
      </c>
      <c r="L89" t="s">
        <v>1070</v>
      </c>
      <c r="M89" t="s">
        <v>7165</v>
      </c>
      <c r="N89" t="s">
        <v>7165</v>
      </c>
      <c r="O89" s="1" t="s">
        <v>603</v>
      </c>
      <c r="P89" t="s">
        <v>649</v>
      </c>
      <c r="Q89" s="1" t="s">
        <v>875</v>
      </c>
      <c r="R89" s="1" t="s">
        <v>270</v>
      </c>
      <c r="S89" s="1" t="s">
        <v>701</v>
      </c>
      <c r="T89" s="1">
        <v>11</v>
      </c>
      <c r="U89" s="1">
        <v>2124</v>
      </c>
      <c r="V89" s="1" t="s">
        <v>169</v>
      </c>
      <c r="W89" s="1" t="s">
        <v>170</v>
      </c>
      <c r="X89" t="s">
        <v>1259</v>
      </c>
      <c r="Y89" t="s">
        <v>1260</v>
      </c>
      <c r="AA89" t="s">
        <v>68</v>
      </c>
      <c r="AB89" t="s">
        <v>1261</v>
      </c>
      <c r="AC89" t="s">
        <v>1262</v>
      </c>
      <c r="AD89" t="s">
        <v>1263</v>
      </c>
      <c r="AE89" t="s">
        <v>1250</v>
      </c>
      <c r="AF89" t="s">
        <v>73</v>
      </c>
      <c r="AG89" t="s">
        <v>1264</v>
      </c>
      <c r="AH89" t="s">
        <v>75</v>
      </c>
      <c r="AI89" t="s">
        <v>76</v>
      </c>
      <c r="AJ89" t="s">
        <v>77</v>
      </c>
      <c r="AK89" t="s">
        <v>1265</v>
      </c>
      <c r="AL89" t="s">
        <v>615</v>
      </c>
      <c r="AM89" t="s">
        <v>616</v>
      </c>
      <c r="AN89" t="s">
        <v>81</v>
      </c>
      <c r="AO89" t="s">
        <v>82</v>
      </c>
      <c r="AP89" t="s">
        <v>83</v>
      </c>
      <c r="AQ89">
        <v>2011</v>
      </c>
      <c r="AR89">
        <v>178353</v>
      </c>
      <c r="AS89">
        <v>5387062</v>
      </c>
      <c r="AT89">
        <v>208</v>
      </c>
      <c r="AU89" t="s">
        <v>84</v>
      </c>
      <c r="AV89">
        <v>562</v>
      </c>
      <c r="AW89" t="s">
        <v>85</v>
      </c>
      <c r="AX89" t="s">
        <v>86</v>
      </c>
      <c r="AY89">
        <v>562</v>
      </c>
      <c r="AZ89" t="s">
        <v>1266</v>
      </c>
      <c r="BA89" t="s">
        <v>88</v>
      </c>
    </row>
    <row r="90" spans="1:57" hidden="1" x14ac:dyDescent="0.2">
      <c r="A90" t="s">
        <v>1267</v>
      </c>
      <c r="B90" t="s">
        <v>1268</v>
      </c>
      <c r="C90" t="s">
        <v>1269</v>
      </c>
      <c r="D90" t="s">
        <v>1270</v>
      </c>
      <c r="E90" t="s">
        <v>1270</v>
      </c>
      <c r="G90" t="s">
        <v>56</v>
      </c>
      <c r="H90" t="s">
        <v>57</v>
      </c>
      <c r="I90" t="s">
        <v>58</v>
      </c>
      <c r="J90" t="e">
        <v>#N/A</v>
      </c>
      <c r="K90" t="s">
        <v>1271</v>
      </c>
      <c r="L90" t="s">
        <v>1271</v>
      </c>
      <c r="M90" t="s">
        <v>7165</v>
      </c>
      <c r="N90" t="s">
        <v>7168</v>
      </c>
      <c r="O90" s="1" t="s">
        <v>603</v>
      </c>
      <c r="P90" t="s">
        <v>649</v>
      </c>
      <c r="Q90" s="1" t="s">
        <v>875</v>
      </c>
      <c r="R90" s="1" t="s">
        <v>64</v>
      </c>
      <c r="S90" s="1" t="s">
        <v>713</v>
      </c>
      <c r="T90" s="1">
        <v>11</v>
      </c>
      <c r="U90" s="1">
        <v>61945</v>
      </c>
      <c r="V90" s="1" t="s">
        <v>960</v>
      </c>
      <c r="W90" s="1" t="s">
        <v>170</v>
      </c>
      <c r="X90" t="s">
        <v>1272</v>
      </c>
      <c r="Y90" t="s">
        <v>1273</v>
      </c>
      <c r="AA90" t="s">
        <v>68</v>
      </c>
      <c r="AB90" t="s">
        <v>1274</v>
      </c>
      <c r="AC90" t="s">
        <v>1275</v>
      </c>
      <c r="AD90" t="s">
        <v>1276</v>
      </c>
      <c r="AE90" t="s">
        <v>1250</v>
      </c>
      <c r="AF90" t="s">
        <v>73</v>
      </c>
      <c r="AG90" t="s">
        <v>1277</v>
      </c>
      <c r="AH90" t="s">
        <v>967</v>
      </c>
      <c r="AI90" t="s">
        <v>76</v>
      </c>
      <c r="AJ90" t="s">
        <v>77</v>
      </c>
      <c r="AK90" t="s">
        <v>1278</v>
      </c>
      <c r="AL90" t="s">
        <v>969</v>
      </c>
      <c r="AM90" t="s">
        <v>970</v>
      </c>
      <c r="AN90" t="s">
        <v>81</v>
      </c>
      <c r="AO90" t="s">
        <v>82</v>
      </c>
      <c r="AP90" t="s">
        <v>83</v>
      </c>
      <c r="AQ90">
        <v>2011</v>
      </c>
      <c r="AR90">
        <v>188297</v>
      </c>
      <c r="AS90">
        <v>5514269</v>
      </c>
      <c r="AT90">
        <v>233</v>
      </c>
      <c r="AU90" t="s">
        <v>84</v>
      </c>
      <c r="AV90">
        <v>562</v>
      </c>
      <c r="AW90" t="s">
        <v>85</v>
      </c>
      <c r="AX90" t="s">
        <v>86</v>
      </c>
      <c r="AY90">
        <v>562</v>
      </c>
      <c r="AZ90" t="s">
        <v>1279</v>
      </c>
      <c r="BA90" t="s">
        <v>88</v>
      </c>
      <c r="BC90" t="s">
        <v>1280</v>
      </c>
      <c r="BD90">
        <v>1</v>
      </c>
    </row>
    <row r="91" spans="1:57" hidden="1" x14ac:dyDescent="0.2">
      <c r="A91" t="s">
        <v>1281</v>
      </c>
      <c r="B91" t="s">
        <v>1282</v>
      </c>
      <c r="C91" t="s">
        <v>1283</v>
      </c>
      <c r="D91" t="s">
        <v>1284</v>
      </c>
      <c r="E91" t="s">
        <v>1284</v>
      </c>
      <c r="G91" t="s">
        <v>56</v>
      </c>
      <c r="H91" t="s">
        <v>57</v>
      </c>
      <c r="I91" t="s">
        <v>58</v>
      </c>
      <c r="J91" t="e">
        <v>#N/A</v>
      </c>
      <c r="K91" t="s">
        <v>1271</v>
      </c>
      <c r="L91" t="s">
        <v>1271</v>
      </c>
      <c r="M91" t="s">
        <v>7165</v>
      </c>
      <c r="N91" t="s">
        <v>7168</v>
      </c>
      <c r="O91" s="1" t="s">
        <v>603</v>
      </c>
      <c r="P91" t="s">
        <v>649</v>
      </c>
      <c r="Q91" s="1" t="s">
        <v>674</v>
      </c>
      <c r="R91" s="1" t="s">
        <v>64</v>
      </c>
      <c r="S91" s="1" t="s">
        <v>713</v>
      </c>
      <c r="T91" s="1">
        <v>11</v>
      </c>
      <c r="U91" s="1">
        <v>61945</v>
      </c>
      <c r="V91" s="1" t="s">
        <v>1285</v>
      </c>
      <c r="W91" s="1">
        <v>0</v>
      </c>
      <c r="X91" t="s">
        <v>1286</v>
      </c>
      <c r="Y91" t="s">
        <v>1287</v>
      </c>
      <c r="AA91" t="s">
        <v>68</v>
      </c>
      <c r="AB91" t="s">
        <v>1288</v>
      </c>
      <c r="AC91" t="s">
        <v>1289</v>
      </c>
      <c r="AD91" t="s">
        <v>1290</v>
      </c>
      <c r="AE91" t="s">
        <v>1250</v>
      </c>
      <c r="AF91" t="s">
        <v>73</v>
      </c>
      <c r="AG91" t="s">
        <v>1291</v>
      </c>
      <c r="AH91" t="s">
        <v>967</v>
      </c>
      <c r="AI91" t="s">
        <v>76</v>
      </c>
      <c r="AJ91" t="s">
        <v>77</v>
      </c>
      <c r="AK91" t="s">
        <v>1292</v>
      </c>
      <c r="AL91" t="s">
        <v>969</v>
      </c>
      <c r="AM91" t="s">
        <v>970</v>
      </c>
      <c r="AN91" t="s">
        <v>81</v>
      </c>
      <c r="AO91" t="s">
        <v>82</v>
      </c>
      <c r="AP91" t="s">
        <v>83</v>
      </c>
      <c r="AQ91">
        <v>2011</v>
      </c>
      <c r="AR91">
        <v>134487</v>
      </c>
      <c r="AS91">
        <v>5518484</v>
      </c>
      <c r="AT91">
        <v>260</v>
      </c>
      <c r="AU91" t="s">
        <v>84</v>
      </c>
      <c r="AV91">
        <v>562</v>
      </c>
      <c r="AW91" t="s">
        <v>85</v>
      </c>
      <c r="AX91" t="s">
        <v>86</v>
      </c>
      <c r="AY91">
        <v>562</v>
      </c>
      <c r="AZ91" t="s">
        <v>1293</v>
      </c>
      <c r="BA91" t="s">
        <v>88</v>
      </c>
      <c r="BC91" t="s">
        <v>1280</v>
      </c>
      <c r="BD91">
        <v>0</v>
      </c>
    </row>
    <row r="92" spans="1:57" hidden="1" x14ac:dyDescent="0.2">
      <c r="A92" t="s">
        <v>1294</v>
      </c>
      <c r="B92" t="s">
        <v>1295</v>
      </c>
      <c r="C92" t="s">
        <v>1296</v>
      </c>
      <c r="D92" t="s">
        <v>1297</v>
      </c>
      <c r="E92" t="s">
        <v>1297</v>
      </c>
      <c r="G92" t="s">
        <v>56</v>
      </c>
      <c r="H92" t="s">
        <v>57</v>
      </c>
      <c r="I92" t="s">
        <v>58</v>
      </c>
      <c r="J92" t="e">
        <v>#N/A</v>
      </c>
      <c r="K92" t="s">
        <v>1298</v>
      </c>
      <c r="L92" t="s">
        <v>1298</v>
      </c>
      <c r="M92" t="s">
        <v>7169</v>
      </c>
      <c r="N92" t="s">
        <v>7162</v>
      </c>
      <c r="O92" s="1" t="s">
        <v>603</v>
      </c>
      <c r="P92" t="s">
        <v>649</v>
      </c>
      <c r="Q92" s="1" t="s">
        <v>875</v>
      </c>
      <c r="R92" s="1" t="s">
        <v>64</v>
      </c>
      <c r="S92" s="1" t="s">
        <v>713</v>
      </c>
      <c r="T92" s="1">
        <v>11</v>
      </c>
      <c r="U92" s="1">
        <v>61945</v>
      </c>
      <c r="V92" s="1" t="s">
        <v>960</v>
      </c>
      <c r="W92" s="1" t="s">
        <v>170</v>
      </c>
      <c r="X92" t="s">
        <v>1299</v>
      </c>
      <c r="Y92" t="s">
        <v>1300</v>
      </c>
      <c r="AA92" t="s">
        <v>68</v>
      </c>
      <c r="AB92" t="s">
        <v>1301</v>
      </c>
      <c r="AC92" t="s">
        <v>1302</v>
      </c>
      <c r="AD92" t="s">
        <v>1303</v>
      </c>
      <c r="AE92" t="s">
        <v>1250</v>
      </c>
      <c r="AF92" t="s">
        <v>73</v>
      </c>
      <c r="AG92" t="s">
        <v>1304</v>
      </c>
      <c r="AH92" t="s">
        <v>967</v>
      </c>
      <c r="AI92" t="s">
        <v>76</v>
      </c>
      <c r="AJ92" t="s">
        <v>77</v>
      </c>
      <c r="AK92" t="s">
        <v>792</v>
      </c>
      <c r="AL92" t="s">
        <v>969</v>
      </c>
      <c r="AM92" t="s">
        <v>970</v>
      </c>
      <c r="AN92" t="s">
        <v>81</v>
      </c>
      <c r="AO92" t="s">
        <v>82</v>
      </c>
      <c r="AP92" t="s">
        <v>83</v>
      </c>
      <c r="AQ92">
        <v>2011</v>
      </c>
      <c r="AR92">
        <v>245451</v>
      </c>
      <c r="AS92">
        <v>5555096</v>
      </c>
      <c r="AT92">
        <v>178</v>
      </c>
      <c r="AU92" t="s">
        <v>84</v>
      </c>
      <c r="AV92">
        <v>562</v>
      </c>
      <c r="AW92" t="s">
        <v>85</v>
      </c>
      <c r="AX92" t="s">
        <v>86</v>
      </c>
      <c r="AY92">
        <v>562</v>
      </c>
      <c r="AZ92" t="s">
        <v>1305</v>
      </c>
      <c r="BA92" t="s">
        <v>88</v>
      </c>
      <c r="BC92" t="s">
        <v>1280</v>
      </c>
      <c r="BD92">
        <v>0</v>
      </c>
    </row>
    <row r="93" spans="1:57" hidden="1" x14ac:dyDescent="0.2">
      <c r="A93" t="s">
        <v>1306</v>
      </c>
      <c r="B93" t="s">
        <v>1307</v>
      </c>
      <c r="C93" t="s">
        <v>1308</v>
      </c>
      <c r="D93" t="s">
        <v>1309</v>
      </c>
      <c r="E93" t="s">
        <v>1309</v>
      </c>
      <c r="G93" t="s">
        <v>56</v>
      </c>
      <c r="H93" t="s">
        <v>57</v>
      </c>
      <c r="I93" t="s">
        <v>58</v>
      </c>
      <c r="J93" t="e">
        <v>#N/A</v>
      </c>
      <c r="K93" t="s">
        <v>1070</v>
      </c>
      <c r="L93" t="s">
        <v>1070</v>
      </c>
      <c r="M93" t="s">
        <v>7165</v>
      </c>
      <c r="N93" t="s">
        <v>7162</v>
      </c>
      <c r="O93" s="1" t="s">
        <v>603</v>
      </c>
      <c r="P93" t="s">
        <v>649</v>
      </c>
      <c r="Q93" s="1" t="s">
        <v>605</v>
      </c>
      <c r="R93" s="1" t="s">
        <v>820</v>
      </c>
      <c r="S93" s="1" t="s">
        <v>1310</v>
      </c>
      <c r="T93" s="1">
        <v>11</v>
      </c>
      <c r="U93" s="1">
        <v>2125</v>
      </c>
      <c r="V93" s="1" t="s">
        <v>1311</v>
      </c>
      <c r="W93" s="1" t="s">
        <v>170</v>
      </c>
      <c r="X93" t="s">
        <v>1312</v>
      </c>
      <c r="Y93" t="s">
        <v>1313</v>
      </c>
      <c r="AA93" t="s">
        <v>68</v>
      </c>
      <c r="AB93" t="s">
        <v>1314</v>
      </c>
      <c r="AC93" t="s">
        <v>1315</v>
      </c>
      <c r="AD93" t="s">
        <v>1316</v>
      </c>
      <c r="AE93" t="s">
        <v>1317</v>
      </c>
      <c r="AF93" t="s">
        <v>73</v>
      </c>
      <c r="AG93" t="s">
        <v>1318</v>
      </c>
      <c r="AH93" t="s">
        <v>1319</v>
      </c>
      <c r="AI93" t="s">
        <v>76</v>
      </c>
      <c r="AJ93" t="s">
        <v>77</v>
      </c>
      <c r="AK93" t="s">
        <v>1320</v>
      </c>
      <c r="AL93" t="s">
        <v>615</v>
      </c>
      <c r="AM93" t="s">
        <v>1321</v>
      </c>
      <c r="AN93" t="s">
        <v>158</v>
      </c>
      <c r="AO93" t="s">
        <v>159</v>
      </c>
      <c r="AP93" t="s">
        <v>83</v>
      </c>
      <c r="AQ93">
        <v>2012</v>
      </c>
      <c r="AR93">
        <v>104074</v>
      </c>
      <c r="AS93">
        <v>5360183</v>
      </c>
      <c r="AT93">
        <v>260</v>
      </c>
      <c r="AU93" t="s">
        <v>84</v>
      </c>
      <c r="AV93">
        <v>562</v>
      </c>
      <c r="AW93" t="s">
        <v>85</v>
      </c>
      <c r="AX93" t="s">
        <v>86</v>
      </c>
      <c r="AY93">
        <v>562</v>
      </c>
      <c r="AZ93" t="s">
        <v>1322</v>
      </c>
      <c r="BA93" t="s">
        <v>88</v>
      </c>
    </row>
    <row r="94" spans="1:57" hidden="1" x14ac:dyDescent="0.2">
      <c r="A94" t="s">
        <v>1323</v>
      </c>
      <c r="B94" t="s">
        <v>1324</v>
      </c>
      <c r="C94" t="s">
        <v>1325</v>
      </c>
      <c r="D94" t="s">
        <v>1326</v>
      </c>
      <c r="E94" t="s">
        <v>1326</v>
      </c>
      <c r="G94" t="s">
        <v>56</v>
      </c>
      <c r="H94" t="s">
        <v>57</v>
      </c>
      <c r="I94" t="s">
        <v>58</v>
      </c>
      <c r="J94" t="e">
        <v>#N/A</v>
      </c>
      <c r="K94" t="s">
        <v>1327</v>
      </c>
      <c r="L94" t="s">
        <v>1327</v>
      </c>
      <c r="M94" t="s">
        <v>7165</v>
      </c>
      <c r="N94" t="s">
        <v>7162</v>
      </c>
      <c r="O94" s="1" t="s">
        <v>603</v>
      </c>
      <c r="P94" t="s">
        <v>649</v>
      </c>
      <c r="Q94" s="1" t="s">
        <v>605</v>
      </c>
      <c r="R94" s="1" t="s">
        <v>127</v>
      </c>
      <c r="S94" s="1" t="s">
        <v>606</v>
      </c>
      <c r="T94" s="1">
        <v>11</v>
      </c>
      <c r="U94" s="1">
        <v>2124</v>
      </c>
      <c r="V94" s="1" t="s">
        <v>169</v>
      </c>
      <c r="W94" s="1" t="s">
        <v>170</v>
      </c>
      <c r="X94" t="s">
        <v>1328</v>
      </c>
      <c r="Y94" t="s">
        <v>1329</v>
      </c>
      <c r="AA94" t="s">
        <v>68</v>
      </c>
      <c r="AB94" t="s">
        <v>1330</v>
      </c>
      <c r="AC94" t="s">
        <v>1331</v>
      </c>
      <c r="AD94" t="s">
        <v>1332</v>
      </c>
      <c r="AE94" t="s">
        <v>1333</v>
      </c>
      <c r="AF94" t="s">
        <v>73</v>
      </c>
      <c r="AG94" t="s">
        <v>1334</v>
      </c>
      <c r="AH94" t="s">
        <v>75</v>
      </c>
      <c r="AI94" t="s">
        <v>76</v>
      </c>
      <c r="AJ94" t="s">
        <v>77</v>
      </c>
      <c r="AK94" t="s">
        <v>1335</v>
      </c>
      <c r="AL94" t="s">
        <v>615</v>
      </c>
      <c r="AM94" t="s">
        <v>616</v>
      </c>
      <c r="AN94" t="s">
        <v>81</v>
      </c>
      <c r="AO94" t="s">
        <v>82</v>
      </c>
      <c r="AP94" t="s">
        <v>83</v>
      </c>
      <c r="AQ94" s="3">
        <v>40956</v>
      </c>
      <c r="AR94">
        <v>133543</v>
      </c>
      <c r="AS94">
        <v>5385222</v>
      </c>
      <c r="AT94">
        <v>232</v>
      </c>
      <c r="AU94" t="s">
        <v>84</v>
      </c>
      <c r="AV94">
        <v>562</v>
      </c>
      <c r="AW94" t="s">
        <v>85</v>
      </c>
      <c r="AX94" t="s">
        <v>86</v>
      </c>
      <c r="AY94">
        <v>562</v>
      </c>
      <c r="AZ94" t="s">
        <v>1336</v>
      </c>
      <c r="BA94" t="s">
        <v>88</v>
      </c>
      <c r="BC94" t="s">
        <v>918</v>
      </c>
      <c r="BD94">
        <v>0</v>
      </c>
      <c r="BE94">
        <v>1</v>
      </c>
    </row>
    <row r="95" spans="1:57" hidden="1" x14ac:dyDescent="0.2">
      <c r="A95" t="s">
        <v>1337</v>
      </c>
      <c r="B95" t="s">
        <v>1338</v>
      </c>
      <c r="C95" t="s">
        <v>1339</v>
      </c>
      <c r="D95" t="s">
        <v>1340</v>
      </c>
      <c r="E95" t="s">
        <v>1340</v>
      </c>
      <c r="G95" t="s">
        <v>56</v>
      </c>
      <c r="H95" t="e">
        <v>#N/A</v>
      </c>
      <c r="I95" t="s">
        <v>58</v>
      </c>
      <c r="J95" t="e">
        <v>#N/A</v>
      </c>
      <c r="K95" s="4" t="s">
        <v>1341</v>
      </c>
      <c r="L95" s="4" t="s">
        <v>1341</v>
      </c>
      <c r="M95" t="s">
        <v>7165</v>
      </c>
      <c r="N95" t="s">
        <v>7162</v>
      </c>
      <c r="O95" s="1" t="s">
        <v>603</v>
      </c>
      <c r="P95" t="e">
        <v>#N/A</v>
      </c>
      <c r="Q95" s="1" t="e">
        <v>#N/A</v>
      </c>
      <c r="R95" s="1" t="e">
        <v>#N/A</v>
      </c>
      <c r="S95" s="1" t="e">
        <v>#N/A</v>
      </c>
      <c r="T95" s="1" t="e">
        <v>#N/A</v>
      </c>
      <c r="U95" s="1" t="e">
        <v>#N/A</v>
      </c>
      <c r="V95" s="1" t="e">
        <v>#N/A</v>
      </c>
      <c r="W95" s="1" t="e">
        <v>#N/A</v>
      </c>
      <c r="X95" t="s">
        <v>1342</v>
      </c>
      <c r="Y95" t="s">
        <v>1340</v>
      </c>
      <c r="AA95" t="s">
        <v>68</v>
      </c>
      <c r="AB95" t="s">
        <v>1343</v>
      </c>
      <c r="AC95" t="s">
        <v>1344</v>
      </c>
      <c r="AD95" t="s">
        <v>1345</v>
      </c>
      <c r="AE95" t="s">
        <v>1346</v>
      </c>
      <c r="AF95" t="s">
        <v>73</v>
      </c>
      <c r="AG95" t="s">
        <v>1347</v>
      </c>
      <c r="AH95" t="s">
        <v>75</v>
      </c>
      <c r="AI95" t="s">
        <v>76</v>
      </c>
      <c r="AJ95" t="s">
        <v>77</v>
      </c>
      <c r="AK95" t="s">
        <v>1335</v>
      </c>
      <c r="AL95" t="s">
        <v>615</v>
      </c>
      <c r="AM95" t="s">
        <v>616</v>
      </c>
      <c r="AN95" t="s">
        <v>81</v>
      </c>
      <c r="AO95" t="s">
        <v>82</v>
      </c>
      <c r="AP95" t="s">
        <v>83</v>
      </c>
      <c r="AQ95" s="3">
        <v>40956</v>
      </c>
      <c r="AR95">
        <v>142515</v>
      </c>
      <c r="AS95">
        <v>5386124</v>
      </c>
      <c r="AT95">
        <v>230</v>
      </c>
      <c r="AU95" t="s">
        <v>84</v>
      </c>
      <c r="AV95">
        <v>562</v>
      </c>
      <c r="AW95" t="s">
        <v>85</v>
      </c>
      <c r="AX95" t="s">
        <v>86</v>
      </c>
      <c r="AY95">
        <v>562</v>
      </c>
      <c r="AZ95" t="s">
        <v>1348</v>
      </c>
      <c r="BA95" t="s">
        <v>88</v>
      </c>
      <c r="BC95" t="s">
        <v>918</v>
      </c>
      <c r="BD95">
        <v>0</v>
      </c>
      <c r="BE95">
        <v>1</v>
      </c>
    </row>
    <row r="96" spans="1:57" hidden="1" x14ac:dyDescent="0.2">
      <c r="A96" t="s">
        <v>1349</v>
      </c>
      <c r="B96" t="s">
        <v>1350</v>
      </c>
      <c r="C96" t="s">
        <v>1351</v>
      </c>
      <c r="D96" t="s">
        <v>1352</v>
      </c>
      <c r="E96" t="s">
        <v>1352</v>
      </c>
      <c r="G96" t="s">
        <v>56</v>
      </c>
      <c r="H96" t="e">
        <v>#N/A</v>
      </c>
      <c r="I96" t="s">
        <v>58</v>
      </c>
      <c r="J96" t="e">
        <v>#N/A</v>
      </c>
      <c r="K96" s="4" t="s">
        <v>1341</v>
      </c>
      <c r="L96" s="4" t="s">
        <v>1341</v>
      </c>
      <c r="M96" t="s">
        <v>7165</v>
      </c>
      <c r="N96" t="s">
        <v>7162</v>
      </c>
      <c r="O96" s="1" t="s">
        <v>603</v>
      </c>
      <c r="P96" t="e">
        <v>#N/A</v>
      </c>
      <c r="Q96" s="1" t="e">
        <v>#N/A</v>
      </c>
      <c r="R96" s="1" t="e">
        <v>#N/A</v>
      </c>
      <c r="S96" s="1" t="e">
        <v>#N/A</v>
      </c>
      <c r="T96" s="1" t="e">
        <v>#N/A</v>
      </c>
      <c r="U96" s="1" t="e">
        <v>#N/A</v>
      </c>
      <c r="V96" s="1" t="e">
        <v>#N/A</v>
      </c>
      <c r="W96" s="1" t="e">
        <v>#N/A</v>
      </c>
      <c r="X96" t="s">
        <v>1353</v>
      </c>
      <c r="Y96" t="s">
        <v>1352</v>
      </c>
      <c r="AA96" t="s">
        <v>68</v>
      </c>
      <c r="AB96" t="s">
        <v>1354</v>
      </c>
      <c r="AC96" t="s">
        <v>1355</v>
      </c>
      <c r="AD96" t="s">
        <v>1356</v>
      </c>
      <c r="AE96" t="s">
        <v>1357</v>
      </c>
      <c r="AF96" t="s">
        <v>73</v>
      </c>
      <c r="AG96" t="s">
        <v>1358</v>
      </c>
      <c r="AH96" t="s">
        <v>75</v>
      </c>
      <c r="AI96" t="s">
        <v>76</v>
      </c>
      <c r="AJ96" t="s">
        <v>77</v>
      </c>
      <c r="AK96" t="s">
        <v>1359</v>
      </c>
      <c r="AL96" t="s">
        <v>615</v>
      </c>
      <c r="AM96" t="s">
        <v>616</v>
      </c>
      <c r="AN96" t="s">
        <v>81</v>
      </c>
      <c r="AO96" t="s">
        <v>82</v>
      </c>
      <c r="AP96" t="s">
        <v>83</v>
      </c>
      <c r="AQ96" s="3">
        <v>40956</v>
      </c>
      <c r="AR96">
        <v>87581</v>
      </c>
      <c r="AS96">
        <v>5364994</v>
      </c>
      <c r="AT96">
        <v>262</v>
      </c>
      <c r="AU96" t="s">
        <v>84</v>
      </c>
      <c r="AV96">
        <v>562</v>
      </c>
      <c r="AW96" t="s">
        <v>85</v>
      </c>
      <c r="AX96" t="s">
        <v>86</v>
      </c>
      <c r="AY96">
        <v>562</v>
      </c>
      <c r="AZ96" t="s">
        <v>1360</v>
      </c>
      <c r="BA96" t="s">
        <v>88</v>
      </c>
      <c r="BC96" t="s">
        <v>918</v>
      </c>
      <c r="BD96">
        <v>2</v>
      </c>
      <c r="BE96">
        <v>3</v>
      </c>
    </row>
    <row r="97" spans="1:57" hidden="1" x14ac:dyDescent="0.2">
      <c r="A97" t="s">
        <v>1361</v>
      </c>
      <c r="B97" t="s">
        <v>1362</v>
      </c>
      <c r="C97" t="s">
        <v>1363</v>
      </c>
      <c r="D97" t="s">
        <v>1364</v>
      </c>
      <c r="E97" t="s">
        <v>1364</v>
      </c>
      <c r="G97" t="s">
        <v>56</v>
      </c>
      <c r="H97" t="e">
        <v>#N/A</v>
      </c>
      <c r="I97" t="s">
        <v>58</v>
      </c>
      <c r="J97" t="e">
        <v>#N/A</v>
      </c>
      <c r="K97" s="4" t="s">
        <v>1341</v>
      </c>
      <c r="L97" s="4" t="s">
        <v>1341</v>
      </c>
      <c r="M97" t="s">
        <v>7165</v>
      </c>
      <c r="N97" t="s">
        <v>7162</v>
      </c>
      <c r="O97" s="1" t="s">
        <v>603</v>
      </c>
      <c r="P97" t="e">
        <v>#N/A</v>
      </c>
      <c r="Q97" s="1" t="e">
        <v>#N/A</v>
      </c>
      <c r="R97" s="1" t="e">
        <v>#N/A</v>
      </c>
      <c r="S97" s="1" t="e">
        <v>#N/A</v>
      </c>
      <c r="T97" s="1" t="e">
        <v>#N/A</v>
      </c>
      <c r="U97" s="1" t="e">
        <v>#N/A</v>
      </c>
      <c r="V97" s="1" t="e">
        <v>#N/A</v>
      </c>
      <c r="W97" s="1" t="e">
        <v>#N/A</v>
      </c>
      <c r="X97" t="s">
        <v>1365</v>
      </c>
      <c r="Y97" t="s">
        <v>1364</v>
      </c>
      <c r="AA97" t="s">
        <v>68</v>
      </c>
      <c r="AB97" t="s">
        <v>1366</v>
      </c>
      <c r="AC97" t="s">
        <v>1367</v>
      </c>
      <c r="AD97" t="s">
        <v>1368</v>
      </c>
      <c r="AE97" t="s">
        <v>1369</v>
      </c>
      <c r="AF97" t="s">
        <v>73</v>
      </c>
      <c r="AG97" t="s">
        <v>1370</v>
      </c>
      <c r="AH97" t="s">
        <v>75</v>
      </c>
      <c r="AI97" t="s">
        <v>76</v>
      </c>
      <c r="AJ97" t="s">
        <v>77</v>
      </c>
      <c r="AK97" t="s">
        <v>1335</v>
      </c>
      <c r="AL97" t="s">
        <v>615</v>
      </c>
      <c r="AM97" t="s">
        <v>616</v>
      </c>
      <c r="AN97" t="s">
        <v>81</v>
      </c>
      <c r="AO97" t="s">
        <v>82</v>
      </c>
      <c r="AP97" t="s">
        <v>83</v>
      </c>
      <c r="AQ97" s="3">
        <v>40956</v>
      </c>
      <c r="AR97">
        <v>124149</v>
      </c>
      <c r="AS97">
        <v>5384085</v>
      </c>
      <c r="AT97">
        <v>224</v>
      </c>
      <c r="AU97" t="s">
        <v>84</v>
      </c>
      <c r="AV97">
        <v>562</v>
      </c>
      <c r="AW97" t="s">
        <v>85</v>
      </c>
      <c r="AX97" t="s">
        <v>86</v>
      </c>
      <c r="AY97">
        <v>562</v>
      </c>
      <c r="AZ97" t="s">
        <v>1371</v>
      </c>
      <c r="BA97" t="s">
        <v>88</v>
      </c>
      <c r="BC97" t="s">
        <v>918</v>
      </c>
      <c r="BD97">
        <v>0</v>
      </c>
      <c r="BE97">
        <v>1</v>
      </c>
    </row>
    <row r="98" spans="1:57" hidden="1" x14ac:dyDescent="0.2">
      <c r="A98" t="s">
        <v>1372</v>
      </c>
      <c r="B98" t="s">
        <v>1373</v>
      </c>
      <c r="C98" t="s">
        <v>1374</v>
      </c>
      <c r="D98" t="s">
        <v>1375</v>
      </c>
      <c r="E98" t="s">
        <v>1375</v>
      </c>
      <c r="G98" t="s">
        <v>56</v>
      </c>
      <c r="H98" t="e">
        <v>#N/A</v>
      </c>
      <c r="I98" t="s">
        <v>58</v>
      </c>
      <c r="J98" t="e">
        <v>#N/A</v>
      </c>
      <c r="K98" s="4" t="s">
        <v>1341</v>
      </c>
      <c r="L98" s="4" t="s">
        <v>1341</v>
      </c>
      <c r="M98" t="s">
        <v>7165</v>
      </c>
      <c r="N98" t="s">
        <v>7162</v>
      </c>
      <c r="O98" s="1" t="s">
        <v>603</v>
      </c>
      <c r="P98" t="e">
        <v>#N/A</v>
      </c>
      <c r="Q98" s="1" t="e">
        <v>#N/A</v>
      </c>
      <c r="R98" s="1" t="e">
        <v>#N/A</v>
      </c>
      <c r="S98" s="1" t="e">
        <v>#N/A</v>
      </c>
      <c r="T98" s="1" t="e">
        <v>#N/A</v>
      </c>
      <c r="U98" s="1" t="e">
        <v>#N/A</v>
      </c>
      <c r="V98" s="1" t="e">
        <v>#N/A</v>
      </c>
      <c r="W98" s="1" t="e">
        <v>#N/A</v>
      </c>
      <c r="X98" t="s">
        <v>1376</v>
      </c>
      <c r="Y98" t="s">
        <v>1375</v>
      </c>
      <c r="AA98" t="s">
        <v>68</v>
      </c>
      <c r="AB98" t="s">
        <v>1377</v>
      </c>
      <c r="AC98" t="s">
        <v>1378</v>
      </c>
      <c r="AD98" t="s">
        <v>1379</v>
      </c>
      <c r="AE98" t="s">
        <v>1380</v>
      </c>
      <c r="AF98" t="s">
        <v>73</v>
      </c>
      <c r="AG98" t="s">
        <v>1381</v>
      </c>
      <c r="AH98" t="s">
        <v>75</v>
      </c>
      <c r="AI98" t="s">
        <v>76</v>
      </c>
      <c r="AJ98" t="s">
        <v>77</v>
      </c>
      <c r="AK98" t="s">
        <v>1335</v>
      </c>
      <c r="AL98" t="s">
        <v>615</v>
      </c>
      <c r="AM98" t="s">
        <v>616</v>
      </c>
      <c r="AN98" t="s">
        <v>81</v>
      </c>
      <c r="AO98" t="s">
        <v>82</v>
      </c>
      <c r="AP98" t="s">
        <v>83</v>
      </c>
      <c r="AQ98" s="3">
        <v>40956</v>
      </c>
      <c r="AR98">
        <v>133003</v>
      </c>
      <c r="AS98">
        <v>5390830</v>
      </c>
      <c r="AT98">
        <v>231</v>
      </c>
      <c r="AU98" t="s">
        <v>84</v>
      </c>
      <c r="AV98">
        <v>562</v>
      </c>
      <c r="AW98" t="s">
        <v>85</v>
      </c>
      <c r="AX98" t="s">
        <v>86</v>
      </c>
      <c r="AY98">
        <v>562</v>
      </c>
      <c r="AZ98" t="s">
        <v>1382</v>
      </c>
      <c r="BA98" t="s">
        <v>88</v>
      </c>
      <c r="BC98" t="s">
        <v>918</v>
      </c>
      <c r="BD98">
        <v>0</v>
      </c>
      <c r="BE98">
        <v>1</v>
      </c>
    </row>
    <row r="99" spans="1:57" hidden="1" x14ac:dyDescent="0.2">
      <c r="A99" t="s">
        <v>1383</v>
      </c>
      <c r="B99" t="s">
        <v>1384</v>
      </c>
      <c r="C99" t="s">
        <v>1385</v>
      </c>
      <c r="D99" t="s">
        <v>1386</v>
      </c>
      <c r="E99" t="s">
        <v>1386</v>
      </c>
      <c r="G99" t="s">
        <v>56</v>
      </c>
      <c r="H99" t="s">
        <v>57</v>
      </c>
      <c r="I99" t="s">
        <v>58</v>
      </c>
      <c r="J99" t="e">
        <v>#N/A</v>
      </c>
      <c r="K99" t="s">
        <v>1387</v>
      </c>
      <c r="L99" t="s">
        <v>1387</v>
      </c>
      <c r="M99" t="s">
        <v>7165</v>
      </c>
      <c r="N99" t="s">
        <v>7162</v>
      </c>
      <c r="O99" s="1" t="s">
        <v>603</v>
      </c>
      <c r="P99" t="s">
        <v>649</v>
      </c>
      <c r="Q99" s="1" t="s">
        <v>605</v>
      </c>
      <c r="R99" s="1" t="s">
        <v>127</v>
      </c>
      <c r="S99" s="1" t="s">
        <v>606</v>
      </c>
      <c r="T99" s="1">
        <v>11</v>
      </c>
      <c r="U99" s="1">
        <v>2124</v>
      </c>
      <c r="V99" s="1" t="s">
        <v>169</v>
      </c>
      <c r="W99" s="1" t="s">
        <v>170</v>
      </c>
      <c r="X99" t="s">
        <v>1388</v>
      </c>
      <c r="Y99" t="s">
        <v>1389</v>
      </c>
      <c r="AA99" t="s">
        <v>68</v>
      </c>
      <c r="AB99" t="s">
        <v>1390</v>
      </c>
      <c r="AC99" t="s">
        <v>1391</v>
      </c>
      <c r="AD99" t="s">
        <v>1392</v>
      </c>
      <c r="AE99" t="s">
        <v>1393</v>
      </c>
      <c r="AF99" t="s">
        <v>73</v>
      </c>
      <c r="AG99" t="s">
        <v>1394</v>
      </c>
      <c r="AH99" t="s">
        <v>75</v>
      </c>
      <c r="AI99" t="s">
        <v>76</v>
      </c>
      <c r="AJ99" t="s">
        <v>77</v>
      </c>
      <c r="AK99" t="s">
        <v>669</v>
      </c>
      <c r="AL99" t="s">
        <v>615</v>
      </c>
      <c r="AM99" t="s">
        <v>616</v>
      </c>
      <c r="AN99" t="s">
        <v>81</v>
      </c>
      <c r="AO99" t="s">
        <v>82</v>
      </c>
      <c r="AP99" t="s">
        <v>83</v>
      </c>
      <c r="AQ99" s="3">
        <v>40963</v>
      </c>
      <c r="AR99">
        <v>124148</v>
      </c>
      <c r="AS99">
        <v>5328224</v>
      </c>
      <c r="AT99">
        <v>207</v>
      </c>
      <c r="AU99" t="s">
        <v>84</v>
      </c>
      <c r="AV99">
        <v>562</v>
      </c>
      <c r="AW99" t="s">
        <v>85</v>
      </c>
      <c r="AX99" t="s">
        <v>86</v>
      </c>
      <c r="AY99">
        <v>562</v>
      </c>
      <c r="AZ99" t="s">
        <v>1395</v>
      </c>
      <c r="BA99" t="s">
        <v>88</v>
      </c>
      <c r="BC99" t="s">
        <v>918</v>
      </c>
      <c r="BD99">
        <v>1</v>
      </c>
      <c r="BE99">
        <v>17</v>
      </c>
    </row>
    <row r="100" spans="1:57" hidden="1" x14ac:dyDescent="0.2">
      <c r="A100" t="s">
        <v>1396</v>
      </c>
      <c r="B100" t="s">
        <v>1397</v>
      </c>
      <c r="C100" t="s">
        <v>1398</v>
      </c>
      <c r="D100" t="s">
        <v>1399</v>
      </c>
      <c r="E100" t="s">
        <v>1399</v>
      </c>
      <c r="G100" t="s">
        <v>56</v>
      </c>
      <c r="H100" t="e">
        <v>#N/A</v>
      </c>
      <c r="I100" t="s">
        <v>58</v>
      </c>
      <c r="J100" t="e">
        <v>#N/A</v>
      </c>
      <c r="K100" s="4" t="s">
        <v>1341</v>
      </c>
      <c r="L100" s="4" t="s">
        <v>1341</v>
      </c>
      <c r="M100" t="s">
        <v>7165</v>
      </c>
      <c r="N100" t="s">
        <v>7162</v>
      </c>
      <c r="O100" s="1" t="s">
        <v>603</v>
      </c>
      <c r="P100" t="e">
        <v>#N/A</v>
      </c>
      <c r="Q100" s="1" t="e">
        <v>#N/A</v>
      </c>
      <c r="R100" s="1" t="e">
        <v>#N/A</v>
      </c>
      <c r="S100" s="1" t="e">
        <v>#N/A</v>
      </c>
      <c r="T100" s="1" t="e">
        <v>#N/A</v>
      </c>
      <c r="U100" s="1" t="e">
        <v>#N/A</v>
      </c>
      <c r="V100" s="1" t="e">
        <v>#N/A</v>
      </c>
      <c r="W100" s="1" t="e">
        <v>#N/A</v>
      </c>
      <c r="X100" t="s">
        <v>1400</v>
      </c>
      <c r="Y100" t="s">
        <v>1399</v>
      </c>
      <c r="AA100" t="s">
        <v>68</v>
      </c>
      <c r="AB100" t="s">
        <v>1401</v>
      </c>
      <c r="AC100" t="s">
        <v>1402</v>
      </c>
      <c r="AD100" t="s">
        <v>1403</v>
      </c>
      <c r="AE100" t="s">
        <v>1404</v>
      </c>
      <c r="AF100" t="s">
        <v>73</v>
      </c>
      <c r="AG100" t="s">
        <v>1405</v>
      </c>
      <c r="AH100" t="s">
        <v>75</v>
      </c>
      <c r="AI100" t="s">
        <v>76</v>
      </c>
      <c r="AJ100" t="s">
        <v>77</v>
      </c>
      <c r="AK100" t="s">
        <v>694</v>
      </c>
      <c r="AL100" t="s">
        <v>615</v>
      </c>
      <c r="AM100" t="s">
        <v>616</v>
      </c>
      <c r="AN100" t="s">
        <v>81</v>
      </c>
      <c r="AO100" t="s">
        <v>82</v>
      </c>
      <c r="AP100" t="s">
        <v>83</v>
      </c>
      <c r="AQ100" s="3">
        <v>40963</v>
      </c>
      <c r="AR100">
        <v>142464</v>
      </c>
      <c r="AS100">
        <v>5361929</v>
      </c>
      <c r="AT100">
        <v>202</v>
      </c>
      <c r="AU100" t="s">
        <v>84</v>
      </c>
      <c r="AV100">
        <v>562</v>
      </c>
      <c r="AW100" t="s">
        <v>85</v>
      </c>
      <c r="AX100" t="s">
        <v>86</v>
      </c>
      <c r="AY100">
        <v>562</v>
      </c>
      <c r="AZ100" t="s">
        <v>1406</v>
      </c>
      <c r="BA100" t="s">
        <v>88</v>
      </c>
      <c r="BC100" t="s">
        <v>1407</v>
      </c>
      <c r="BD100">
        <v>1</v>
      </c>
      <c r="BE100">
        <v>10</v>
      </c>
    </row>
    <row r="101" spans="1:57" hidden="1" x14ac:dyDescent="0.2">
      <c r="A101" t="s">
        <v>1408</v>
      </c>
      <c r="B101" t="s">
        <v>1409</v>
      </c>
      <c r="C101" t="s">
        <v>1410</v>
      </c>
      <c r="D101" t="s">
        <v>1411</v>
      </c>
      <c r="E101" t="s">
        <v>1411</v>
      </c>
      <c r="G101" t="s">
        <v>56</v>
      </c>
      <c r="H101" t="e">
        <v>#N/A</v>
      </c>
      <c r="I101" t="s">
        <v>58</v>
      </c>
      <c r="J101" t="e">
        <v>#N/A</v>
      </c>
      <c r="K101" s="4" t="s">
        <v>1341</v>
      </c>
      <c r="L101" s="4" t="s">
        <v>1341</v>
      </c>
      <c r="M101" t="s">
        <v>7165</v>
      </c>
      <c r="N101" t="s">
        <v>7169</v>
      </c>
      <c r="O101" s="1" t="s">
        <v>603</v>
      </c>
      <c r="P101" t="e">
        <v>#N/A</v>
      </c>
      <c r="Q101" s="1" t="e">
        <v>#N/A</v>
      </c>
      <c r="R101" s="1" t="e">
        <v>#N/A</v>
      </c>
      <c r="S101" s="1" t="e">
        <v>#N/A</v>
      </c>
      <c r="T101" s="1" t="e">
        <v>#N/A</v>
      </c>
      <c r="U101" s="1" t="e">
        <v>#N/A</v>
      </c>
      <c r="V101" s="1" t="e">
        <v>#N/A</v>
      </c>
      <c r="W101" s="1" t="e">
        <v>#N/A</v>
      </c>
      <c r="X101" t="s">
        <v>1412</v>
      </c>
      <c r="Y101" t="s">
        <v>1411</v>
      </c>
      <c r="AA101" t="s">
        <v>68</v>
      </c>
      <c r="AB101" t="s">
        <v>1413</v>
      </c>
      <c r="AC101" t="s">
        <v>1414</v>
      </c>
      <c r="AD101" t="s">
        <v>1415</v>
      </c>
      <c r="AE101" t="s">
        <v>1404</v>
      </c>
      <c r="AF101" t="s">
        <v>73</v>
      </c>
      <c r="AG101" t="s">
        <v>1416</v>
      </c>
      <c r="AH101" t="s">
        <v>75</v>
      </c>
      <c r="AI101" t="s">
        <v>76</v>
      </c>
      <c r="AJ101" t="s">
        <v>77</v>
      </c>
      <c r="AK101" t="s">
        <v>1359</v>
      </c>
      <c r="AL101" t="s">
        <v>615</v>
      </c>
      <c r="AM101" t="s">
        <v>616</v>
      </c>
      <c r="AN101" t="s">
        <v>81</v>
      </c>
      <c r="AO101" t="s">
        <v>82</v>
      </c>
      <c r="AP101" t="s">
        <v>83</v>
      </c>
      <c r="AQ101" s="3">
        <v>40963</v>
      </c>
      <c r="AR101">
        <v>144769</v>
      </c>
      <c r="AS101">
        <v>5356741</v>
      </c>
      <c r="AT101">
        <v>231</v>
      </c>
      <c r="AU101" t="s">
        <v>84</v>
      </c>
      <c r="AV101">
        <v>562</v>
      </c>
      <c r="AW101" t="s">
        <v>85</v>
      </c>
      <c r="AX101" t="s">
        <v>86</v>
      </c>
      <c r="AY101">
        <v>562</v>
      </c>
      <c r="AZ101" t="s">
        <v>1417</v>
      </c>
      <c r="BA101" t="s">
        <v>88</v>
      </c>
      <c r="BC101" t="s">
        <v>1407</v>
      </c>
      <c r="BD101">
        <v>0</v>
      </c>
      <c r="BE101">
        <v>9</v>
      </c>
    </row>
    <row r="102" spans="1:57" hidden="1" x14ac:dyDescent="0.2">
      <c r="A102" t="s">
        <v>1418</v>
      </c>
      <c r="B102" t="s">
        <v>1419</v>
      </c>
      <c r="C102" t="s">
        <v>1420</v>
      </c>
      <c r="D102" t="s">
        <v>1421</v>
      </c>
      <c r="E102" t="s">
        <v>1421</v>
      </c>
      <c r="G102" t="s">
        <v>56</v>
      </c>
      <c r="H102" t="e">
        <v>#N/A</v>
      </c>
      <c r="I102" t="s">
        <v>58</v>
      </c>
      <c r="J102" t="e">
        <v>#N/A</v>
      </c>
      <c r="K102" s="4" t="s">
        <v>1341</v>
      </c>
      <c r="L102" s="4" t="s">
        <v>1341</v>
      </c>
      <c r="M102" t="s">
        <v>7165</v>
      </c>
      <c r="N102" t="s">
        <v>7169</v>
      </c>
      <c r="O102" s="1" t="s">
        <v>603</v>
      </c>
      <c r="P102" t="e">
        <v>#N/A</v>
      </c>
      <c r="Q102" s="1" t="e">
        <v>#N/A</v>
      </c>
      <c r="R102" s="1" t="e">
        <v>#N/A</v>
      </c>
      <c r="S102" s="1" t="e">
        <v>#N/A</v>
      </c>
      <c r="T102" s="1" t="e">
        <v>#N/A</v>
      </c>
      <c r="U102" s="1" t="e">
        <v>#N/A</v>
      </c>
      <c r="V102" s="1" t="e">
        <v>#N/A</v>
      </c>
      <c r="W102" s="1" t="e">
        <v>#N/A</v>
      </c>
      <c r="X102" t="s">
        <v>1422</v>
      </c>
      <c r="Y102" t="s">
        <v>1421</v>
      </c>
      <c r="AA102" t="s">
        <v>68</v>
      </c>
      <c r="AB102" t="s">
        <v>1423</v>
      </c>
      <c r="AC102" t="s">
        <v>1424</v>
      </c>
      <c r="AD102" t="s">
        <v>1425</v>
      </c>
      <c r="AE102" t="s">
        <v>1404</v>
      </c>
      <c r="AF102" t="s">
        <v>73</v>
      </c>
      <c r="AG102" t="s">
        <v>1426</v>
      </c>
      <c r="AH102" t="s">
        <v>75</v>
      </c>
      <c r="AI102" t="s">
        <v>76</v>
      </c>
      <c r="AJ102" t="s">
        <v>77</v>
      </c>
      <c r="AK102" t="s">
        <v>694</v>
      </c>
      <c r="AL102" t="s">
        <v>615</v>
      </c>
      <c r="AM102" t="s">
        <v>616</v>
      </c>
      <c r="AN102" t="s">
        <v>81</v>
      </c>
      <c r="AO102" t="s">
        <v>82</v>
      </c>
      <c r="AP102" t="s">
        <v>83</v>
      </c>
      <c r="AQ102" s="3">
        <v>40963</v>
      </c>
      <c r="AR102">
        <v>172497</v>
      </c>
      <c r="AS102">
        <v>5366017</v>
      </c>
      <c r="AT102">
        <v>211</v>
      </c>
      <c r="AU102" t="s">
        <v>84</v>
      </c>
      <c r="AV102">
        <v>562</v>
      </c>
      <c r="AW102" t="s">
        <v>85</v>
      </c>
      <c r="AX102" t="s">
        <v>86</v>
      </c>
      <c r="AY102">
        <v>562</v>
      </c>
      <c r="AZ102" t="s">
        <v>1427</v>
      </c>
      <c r="BA102" t="s">
        <v>88</v>
      </c>
      <c r="BC102" t="s">
        <v>1407</v>
      </c>
      <c r="BD102">
        <v>1</v>
      </c>
      <c r="BE102">
        <v>10</v>
      </c>
    </row>
    <row r="103" spans="1:57" hidden="1" x14ac:dyDescent="0.2">
      <c r="A103" t="s">
        <v>1428</v>
      </c>
      <c r="B103" t="s">
        <v>1429</v>
      </c>
      <c r="C103" t="s">
        <v>1430</v>
      </c>
      <c r="D103" t="s">
        <v>1431</v>
      </c>
      <c r="E103" t="s">
        <v>1431</v>
      </c>
      <c r="G103" t="s">
        <v>56</v>
      </c>
      <c r="H103" t="s">
        <v>57</v>
      </c>
      <c r="I103" t="s">
        <v>58</v>
      </c>
      <c r="J103" t="e">
        <v>#N/A</v>
      </c>
      <c r="K103" t="s">
        <v>1327</v>
      </c>
      <c r="L103" t="s">
        <v>1327</v>
      </c>
      <c r="M103" t="s">
        <v>7165</v>
      </c>
      <c r="N103" t="s">
        <v>7169</v>
      </c>
      <c r="O103" s="1" t="s">
        <v>603</v>
      </c>
      <c r="P103" t="s">
        <v>649</v>
      </c>
      <c r="Q103" s="1" t="s">
        <v>605</v>
      </c>
      <c r="R103" s="1" t="s">
        <v>127</v>
      </c>
      <c r="S103" s="1" t="s">
        <v>606</v>
      </c>
      <c r="T103" s="1">
        <v>11</v>
      </c>
      <c r="U103" s="1">
        <v>2124</v>
      </c>
      <c r="V103" s="1" t="s">
        <v>169</v>
      </c>
      <c r="W103" s="1" t="s">
        <v>170</v>
      </c>
      <c r="X103" t="s">
        <v>1432</v>
      </c>
      <c r="Y103" t="s">
        <v>1433</v>
      </c>
      <c r="AA103" t="s">
        <v>68</v>
      </c>
      <c r="AB103" t="s">
        <v>1434</v>
      </c>
      <c r="AC103" t="s">
        <v>1435</v>
      </c>
      <c r="AD103" t="s">
        <v>1436</v>
      </c>
      <c r="AE103" t="s">
        <v>1437</v>
      </c>
      <c r="AF103" t="s">
        <v>73</v>
      </c>
      <c r="AG103" t="s">
        <v>1438</v>
      </c>
      <c r="AH103" t="s">
        <v>75</v>
      </c>
      <c r="AI103" t="s">
        <v>76</v>
      </c>
      <c r="AJ103" t="s">
        <v>77</v>
      </c>
      <c r="AK103" t="s">
        <v>669</v>
      </c>
      <c r="AL103" t="s">
        <v>615</v>
      </c>
      <c r="AM103" t="s">
        <v>616</v>
      </c>
      <c r="AN103" t="s">
        <v>81</v>
      </c>
      <c r="AO103" t="s">
        <v>82</v>
      </c>
      <c r="AP103" t="s">
        <v>83</v>
      </c>
      <c r="AQ103" s="3">
        <v>40964</v>
      </c>
      <c r="AR103">
        <v>124148</v>
      </c>
      <c r="AS103">
        <v>5388521</v>
      </c>
      <c r="AT103">
        <v>237</v>
      </c>
      <c r="AU103" t="s">
        <v>84</v>
      </c>
      <c r="AV103">
        <v>562</v>
      </c>
      <c r="AW103" t="s">
        <v>85</v>
      </c>
      <c r="AX103" t="s">
        <v>86</v>
      </c>
      <c r="AY103">
        <v>562</v>
      </c>
      <c r="AZ103" t="s">
        <v>1439</v>
      </c>
      <c r="BA103" t="s">
        <v>88</v>
      </c>
      <c r="BC103" t="s">
        <v>918</v>
      </c>
      <c r="BD103">
        <v>1</v>
      </c>
      <c r="BE103">
        <v>2</v>
      </c>
    </row>
    <row r="104" spans="1:57" hidden="1" x14ac:dyDescent="0.2">
      <c r="A104" t="s">
        <v>1440</v>
      </c>
      <c r="B104" t="s">
        <v>1441</v>
      </c>
      <c r="C104" t="s">
        <v>1442</v>
      </c>
      <c r="D104" t="s">
        <v>1443</v>
      </c>
      <c r="E104" t="s">
        <v>1443</v>
      </c>
      <c r="G104" t="s">
        <v>56</v>
      </c>
      <c r="H104" t="e">
        <v>#N/A</v>
      </c>
      <c r="I104" t="s">
        <v>58</v>
      </c>
      <c r="J104" t="e">
        <v>#N/A</v>
      </c>
      <c r="K104" s="4" t="s">
        <v>1341</v>
      </c>
      <c r="L104" s="4" t="s">
        <v>1341</v>
      </c>
      <c r="M104" t="s">
        <v>7165</v>
      </c>
      <c r="N104" t="s">
        <v>7169</v>
      </c>
      <c r="O104" s="1" t="s">
        <v>603</v>
      </c>
      <c r="P104" t="e">
        <v>#N/A</v>
      </c>
      <c r="Q104" s="1" t="e">
        <v>#N/A</v>
      </c>
      <c r="R104" s="1" t="e">
        <v>#N/A</v>
      </c>
      <c r="S104" s="1" t="e">
        <v>#N/A</v>
      </c>
      <c r="T104" s="1" t="e">
        <v>#N/A</v>
      </c>
      <c r="U104" s="1" t="e">
        <v>#N/A</v>
      </c>
      <c r="V104" s="1" t="e">
        <v>#N/A</v>
      </c>
      <c r="W104" s="1" t="e">
        <v>#N/A</v>
      </c>
      <c r="X104" t="s">
        <v>1444</v>
      </c>
      <c r="Y104" t="s">
        <v>1443</v>
      </c>
      <c r="AA104" t="s">
        <v>68</v>
      </c>
      <c r="AB104" t="s">
        <v>1445</v>
      </c>
      <c r="AC104" t="s">
        <v>1446</v>
      </c>
      <c r="AD104" t="s">
        <v>1447</v>
      </c>
      <c r="AE104" t="s">
        <v>1448</v>
      </c>
      <c r="AF104" t="s">
        <v>73</v>
      </c>
      <c r="AG104" t="s">
        <v>1449</v>
      </c>
      <c r="AH104" t="s">
        <v>75</v>
      </c>
      <c r="AI104" t="s">
        <v>76</v>
      </c>
      <c r="AJ104" t="s">
        <v>77</v>
      </c>
      <c r="AK104" t="s">
        <v>1335</v>
      </c>
      <c r="AL104" t="s">
        <v>615</v>
      </c>
      <c r="AM104" t="s">
        <v>616</v>
      </c>
      <c r="AN104" t="s">
        <v>81</v>
      </c>
      <c r="AO104" t="s">
        <v>82</v>
      </c>
      <c r="AP104" t="s">
        <v>83</v>
      </c>
      <c r="AQ104" s="3">
        <v>40964</v>
      </c>
      <c r="AR104">
        <v>145290</v>
      </c>
      <c r="AS104">
        <v>5185480</v>
      </c>
      <c r="AT104">
        <v>180</v>
      </c>
      <c r="AU104" t="s">
        <v>84</v>
      </c>
      <c r="AV104">
        <v>562</v>
      </c>
      <c r="AW104" t="s">
        <v>85</v>
      </c>
      <c r="AX104" t="s">
        <v>86</v>
      </c>
      <c r="AY104">
        <v>562</v>
      </c>
      <c r="AZ104" t="s">
        <v>1450</v>
      </c>
      <c r="BA104" t="s">
        <v>88</v>
      </c>
      <c r="BC104" t="s">
        <v>918</v>
      </c>
      <c r="BD104">
        <v>1</v>
      </c>
      <c r="BE104">
        <v>3</v>
      </c>
    </row>
    <row r="105" spans="1:57" hidden="1" x14ac:dyDescent="0.2">
      <c r="A105" t="s">
        <v>1451</v>
      </c>
      <c r="B105" t="s">
        <v>1452</v>
      </c>
      <c r="C105" t="s">
        <v>1453</v>
      </c>
      <c r="D105" t="s">
        <v>1454</v>
      </c>
      <c r="E105" t="s">
        <v>1454</v>
      </c>
      <c r="G105" t="s">
        <v>56</v>
      </c>
      <c r="H105" t="e">
        <v>#N/A</v>
      </c>
      <c r="I105" t="s">
        <v>58</v>
      </c>
      <c r="J105" t="e">
        <v>#N/A</v>
      </c>
      <c r="K105" s="4" t="s">
        <v>1341</v>
      </c>
      <c r="L105" s="4" t="s">
        <v>1341</v>
      </c>
      <c r="M105" t="s">
        <v>7165</v>
      </c>
      <c r="N105" t="s">
        <v>7169</v>
      </c>
      <c r="O105" s="1" t="s">
        <v>603</v>
      </c>
      <c r="P105" t="e">
        <v>#N/A</v>
      </c>
      <c r="Q105" s="1" t="e">
        <v>#N/A</v>
      </c>
      <c r="R105" s="1" t="e">
        <v>#N/A</v>
      </c>
      <c r="S105" s="1" t="e">
        <v>#N/A</v>
      </c>
      <c r="T105" s="1" t="e">
        <v>#N/A</v>
      </c>
      <c r="U105" s="1" t="e">
        <v>#N/A</v>
      </c>
      <c r="V105" s="1" t="e">
        <v>#N/A</v>
      </c>
      <c r="W105" s="1" t="e">
        <v>#N/A</v>
      </c>
      <c r="X105" t="s">
        <v>1455</v>
      </c>
      <c r="Y105" t="s">
        <v>1454</v>
      </c>
      <c r="AA105" t="s">
        <v>68</v>
      </c>
      <c r="AB105" t="s">
        <v>1456</v>
      </c>
      <c r="AC105" t="s">
        <v>1457</v>
      </c>
      <c r="AD105" t="s">
        <v>1458</v>
      </c>
      <c r="AE105" t="s">
        <v>1448</v>
      </c>
      <c r="AF105" t="s">
        <v>73</v>
      </c>
      <c r="AG105" t="s">
        <v>1459</v>
      </c>
      <c r="AH105" t="s">
        <v>75</v>
      </c>
      <c r="AI105" t="s">
        <v>76</v>
      </c>
      <c r="AJ105" t="s">
        <v>77</v>
      </c>
      <c r="AK105" t="s">
        <v>1335</v>
      </c>
      <c r="AL105" t="s">
        <v>615</v>
      </c>
      <c r="AM105" t="s">
        <v>616</v>
      </c>
      <c r="AN105" t="s">
        <v>81</v>
      </c>
      <c r="AO105" t="s">
        <v>82</v>
      </c>
      <c r="AP105" t="s">
        <v>83</v>
      </c>
      <c r="AQ105" s="3">
        <v>40964</v>
      </c>
      <c r="AR105">
        <v>115775</v>
      </c>
      <c r="AS105">
        <v>5400275</v>
      </c>
      <c r="AT105">
        <v>211</v>
      </c>
      <c r="AU105" t="s">
        <v>84</v>
      </c>
      <c r="AV105">
        <v>562</v>
      </c>
      <c r="AW105" t="s">
        <v>85</v>
      </c>
      <c r="AX105" t="s">
        <v>86</v>
      </c>
      <c r="AY105">
        <v>562</v>
      </c>
      <c r="AZ105" t="s">
        <v>1460</v>
      </c>
      <c r="BA105" t="s">
        <v>88</v>
      </c>
      <c r="BC105" t="s">
        <v>918</v>
      </c>
      <c r="BD105">
        <v>1</v>
      </c>
      <c r="BE105">
        <v>3</v>
      </c>
    </row>
    <row r="106" spans="1:57" hidden="1" x14ac:dyDescent="0.2">
      <c r="A106" t="s">
        <v>1461</v>
      </c>
      <c r="B106" t="s">
        <v>1462</v>
      </c>
      <c r="C106" t="s">
        <v>1463</v>
      </c>
      <c r="D106" t="s">
        <v>1464</v>
      </c>
      <c r="E106" t="s">
        <v>1464</v>
      </c>
      <c r="G106" t="s">
        <v>56</v>
      </c>
      <c r="H106" t="s">
        <v>57</v>
      </c>
      <c r="I106" t="s">
        <v>58</v>
      </c>
      <c r="J106" t="e">
        <v>#N/A</v>
      </c>
      <c r="K106" t="s">
        <v>1465</v>
      </c>
      <c r="L106" t="s">
        <v>648</v>
      </c>
      <c r="M106" t="s">
        <v>7165</v>
      </c>
      <c r="N106" t="s">
        <v>7165</v>
      </c>
      <c r="O106" s="1" t="s">
        <v>603</v>
      </c>
      <c r="P106" t="s">
        <v>649</v>
      </c>
      <c r="Q106" s="1" t="s">
        <v>674</v>
      </c>
      <c r="R106" s="1" t="s">
        <v>64</v>
      </c>
      <c r="S106" s="1" t="s">
        <v>713</v>
      </c>
      <c r="T106" s="1">
        <v>11</v>
      </c>
      <c r="U106" s="1">
        <v>2131</v>
      </c>
      <c r="V106" s="1" t="s">
        <v>651</v>
      </c>
      <c r="W106" s="1">
        <v>0</v>
      </c>
      <c r="X106" t="s">
        <v>1466</v>
      </c>
      <c r="Y106" t="s">
        <v>1467</v>
      </c>
      <c r="AA106" t="s">
        <v>68</v>
      </c>
      <c r="AB106" t="s">
        <v>1468</v>
      </c>
      <c r="AC106" t="s">
        <v>1469</v>
      </c>
      <c r="AD106" t="s">
        <v>1470</v>
      </c>
      <c r="AE106" t="s">
        <v>1317</v>
      </c>
      <c r="AF106" t="s">
        <v>73</v>
      </c>
      <c r="AG106" t="s">
        <v>1471</v>
      </c>
      <c r="AI106" t="s">
        <v>76</v>
      </c>
      <c r="AJ106" t="s">
        <v>77</v>
      </c>
      <c r="AK106" t="s">
        <v>1472</v>
      </c>
      <c r="AL106" t="s">
        <v>615</v>
      </c>
      <c r="AM106" t="s">
        <v>721</v>
      </c>
      <c r="AN106" t="s">
        <v>532</v>
      </c>
      <c r="AO106" t="s">
        <v>533</v>
      </c>
      <c r="AP106" t="s">
        <v>83</v>
      </c>
      <c r="AQ106">
        <v>2012</v>
      </c>
      <c r="AR106">
        <v>188305</v>
      </c>
      <c r="AS106">
        <v>5373078</v>
      </c>
      <c r="AT106">
        <v>173</v>
      </c>
      <c r="AU106" t="s">
        <v>84</v>
      </c>
      <c r="AV106">
        <v>562</v>
      </c>
      <c r="AW106" t="s">
        <v>85</v>
      </c>
      <c r="AX106" t="s">
        <v>86</v>
      </c>
      <c r="AY106">
        <v>562</v>
      </c>
      <c r="AZ106" t="s">
        <v>1473</v>
      </c>
      <c r="BA106" t="s">
        <v>88</v>
      </c>
      <c r="BC106" t="s">
        <v>710</v>
      </c>
      <c r="BD106">
        <v>10</v>
      </c>
      <c r="BE106">
        <v>9</v>
      </c>
    </row>
    <row r="107" spans="1:57" hidden="1" x14ac:dyDescent="0.2">
      <c r="A107" t="s">
        <v>1474</v>
      </c>
      <c r="B107" t="s">
        <v>1475</v>
      </c>
      <c r="C107" t="s">
        <v>1476</v>
      </c>
      <c r="D107" t="s">
        <v>1477</v>
      </c>
      <c r="E107" t="s">
        <v>1477</v>
      </c>
      <c r="G107" t="s">
        <v>56</v>
      </c>
      <c r="H107" t="e">
        <v>#N/A</v>
      </c>
      <c r="I107" t="s">
        <v>58</v>
      </c>
      <c r="J107" t="e">
        <v>#N/A</v>
      </c>
      <c r="K107" s="4" t="s">
        <v>1341</v>
      </c>
      <c r="L107" s="4" t="s">
        <v>1341</v>
      </c>
      <c r="M107" t="s">
        <v>7165</v>
      </c>
      <c r="N107" t="s">
        <v>7165</v>
      </c>
      <c r="O107" s="1" t="s">
        <v>603</v>
      </c>
      <c r="P107" t="e">
        <v>#N/A</v>
      </c>
      <c r="Q107" s="1" t="e">
        <v>#N/A</v>
      </c>
      <c r="R107" s="1" t="e">
        <v>#N/A</v>
      </c>
      <c r="S107" s="1" t="e">
        <v>#N/A</v>
      </c>
      <c r="T107" s="1" t="e">
        <v>#N/A</v>
      </c>
      <c r="U107" s="1" t="e">
        <v>#N/A</v>
      </c>
      <c r="V107" s="1" t="e">
        <v>#N/A</v>
      </c>
      <c r="W107" s="1" t="e">
        <v>#N/A</v>
      </c>
      <c r="X107" t="s">
        <v>1478</v>
      </c>
      <c r="Y107" t="s">
        <v>1477</v>
      </c>
      <c r="AA107" t="s">
        <v>68</v>
      </c>
      <c r="AB107" t="s">
        <v>1479</v>
      </c>
      <c r="AC107" t="s">
        <v>1480</v>
      </c>
      <c r="AD107" t="s">
        <v>1481</v>
      </c>
      <c r="AE107" t="s">
        <v>1482</v>
      </c>
      <c r="AF107" t="s">
        <v>73</v>
      </c>
      <c r="AG107" t="s">
        <v>1483</v>
      </c>
      <c r="AH107" t="s">
        <v>75</v>
      </c>
      <c r="AI107" t="s">
        <v>76</v>
      </c>
      <c r="AJ107" t="s">
        <v>77</v>
      </c>
      <c r="AK107" t="s">
        <v>1335</v>
      </c>
      <c r="AL107" t="s">
        <v>615</v>
      </c>
      <c r="AM107" t="s">
        <v>616</v>
      </c>
      <c r="AN107" t="s">
        <v>81</v>
      </c>
      <c r="AO107" t="s">
        <v>82</v>
      </c>
      <c r="AP107" t="s">
        <v>83</v>
      </c>
      <c r="AQ107" s="3">
        <v>40989</v>
      </c>
      <c r="AR107">
        <v>126619</v>
      </c>
      <c r="AS107">
        <v>5363721</v>
      </c>
      <c r="AT107">
        <v>209</v>
      </c>
      <c r="AU107" t="s">
        <v>84</v>
      </c>
      <c r="AV107">
        <v>562</v>
      </c>
      <c r="AW107" t="s">
        <v>85</v>
      </c>
      <c r="AX107" t="s">
        <v>86</v>
      </c>
      <c r="AY107">
        <v>562</v>
      </c>
      <c r="AZ107" t="s">
        <v>1484</v>
      </c>
      <c r="BA107" t="s">
        <v>88</v>
      </c>
      <c r="BC107" t="s">
        <v>841</v>
      </c>
      <c r="BD107">
        <v>0</v>
      </c>
      <c r="BE107">
        <v>0</v>
      </c>
    </row>
    <row r="108" spans="1:57" hidden="1" x14ac:dyDescent="0.2">
      <c r="A108" t="s">
        <v>1485</v>
      </c>
      <c r="B108" t="s">
        <v>1486</v>
      </c>
      <c r="C108" t="s">
        <v>1476</v>
      </c>
      <c r="D108" t="s">
        <v>1487</v>
      </c>
      <c r="E108" t="s">
        <v>1487</v>
      </c>
      <c r="G108" t="s">
        <v>56</v>
      </c>
      <c r="H108" t="s">
        <v>57</v>
      </c>
      <c r="I108" t="s">
        <v>58</v>
      </c>
      <c r="J108" t="e">
        <v>#N/A</v>
      </c>
      <c r="K108" t="s">
        <v>1488</v>
      </c>
      <c r="L108" t="s">
        <v>1488</v>
      </c>
      <c r="M108" t="s">
        <v>7165</v>
      </c>
      <c r="N108" t="s">
        <v>7165</v>
      </c>
      <c r="O108" s="1" t="s">
        <v>603</v>
      </c>
      <c r="P108" t="s">
        <v>649</v>
      </c>
      <c r="Q108" s="1" t="s">
        <v>605</v>
      </c>
      <c r="R108" s="1" t="s">
        <v>127</v>
      </c>
      <c r="S108" s="1" t="s">
        <v>606</v>
      </c>
      <c r="T108" s="1">
        <v>11</v>
      </c>
      <c r="U108" s="1">
        <v>2124</v>
      </c>
      <c r="V108" s="1" t="s">
        <v>169</v>
      </c>
      <c r="W108" s="1" t="s">
        <v>170</v>
      </c>
      <c r="X108" t="s">
        <v>1489</v>
      </c>
      <c r="Y108" t="s">
        <v>1490</v>
      </c>
      <c r="AA108" t="s">
        <v>68</v>
      </c>
      <c r="AB108" t="s">
        <v>1491</v>
      </c>
      <c r="AC108" t="s">
        <v>1492</v>
      </c>
      <c r="AD108" t="s">
        <v>1493</v>
      </c>
      <c r="AE108" t="s">
        <v>1333</v>
      </c>
      <c r="AF108" t="s">
        <v>73</v>
      </c>
      <c r="AG108" t="s">
        <v>1494</v>
      </c>
      <c r="AH108" t="s">
        <v>75</v>
      </c>
      <c r="AI108" t="s">
        <v>76</v>
      </c>
      <c r="AJ108" t="s">
        <v>77</v>
      </c>
      <c r="AK108" t="s">
        <v>669</v>
      </c>
      <c r="AL108" t="s">
        <v>615</v>
      </c>
      <c r="AM108" t="s">
        <v>616</v>
      </c>
      <c r="AN108" t="s">
        <v>81</v>
      </c>
      <c r="AO108" t="s">
        <v>82</v>
      </c>
      <c r="AP108" t="s">
        <v>83</v>
      </c>
      <c r="AQ108" s="3">
        <v>40980</v>
      </c>
      <c r="AR108">
        <v>120775</v>
      </c>
      <c r="AS108">
        <v>5358534</v>
      </c>
      <c r="AT108">
        <v>233</v>
      </c>
      <c r="AU108" t="s">
        <v>84</v>
      </c>
      <c r="AV108">
        <v>562</v>
      </c>
      <c r="AW108" t="s">
        <v>85</v>
      </c>
      <c r="AX108" t="s">
        <v>86</v>
      </c>
      <c r="AY108">
        <v>562</v>
      </c>
      <c r="AZ108" t="s">
        <v>1495</v>
      </c>
      <c r="BA108" t="s">
        <v>88</v>
      </c>
      <c r="BC108" t="s">
        <v>841</v>
      </c>
      <c r="BD108">
        <v>0</v>
      </c>
      <c r="BE108">
        <v>0</v>
      </c>
    </row>
    <row r="109" spans="1:57" hidden="1" x14ac:dyDescent="0.2">
      <c r="A109" t="s">
        <v>1496</v>
      </c>
      <c r="B109" t="s">
        <v>1497</v>
      </c>
      <c r="C109" t="s">
        <v>1498</v>
      </c>
      <c r="D109" t="s">
        <v>1499</v>
      </c>
      <c r="E109" t="s">
        <v>1499</v>
      </c>
      <c r="G109" t="s">
        <v>56</v>
      </c>
      <c r="H109" t="s">
        <v>57</v>
      </c>
      <c r="I109" t="s">
        <v>58</v>
      </c>
      <c r="J109" t="e">
        <v>#N/A</v>
      </c>
      <c r="K109" t="s">
        <v>1094</v>
      </c>
      <c r="L109" t="s">
        <v>1094</v>
      </c>
      <c r="M109" t="s">
        <v>7165</v>
      </c>
      <c r="N109" t="s">
        <v>7165</v>
      </c>
      <c r="O109" s="1" t="s">
        <v>603</v>
      </c>
      <c r="P109" t="s">
        <v>604</v>
      </c>
      <c r="Q109" s="1" t="s">
        <v>875</v>
      </c>
      <c r="R109" s="1" t="s">
        <v>270</v>
      </c>
      <c r="S109" s="1" t="s">
        <v>701</v>
      </c>
      <c r="T109" s="1">
        <v>11</v>
      </c>
      <c r="U109" s="1">
        <v>2117</v>
      </c>
      <c r="V109" s="1" t="s">
        <v>169</v>
      </c>
      <c r="W109" s="1" t="s">
        <v>170</v>
      </c>
      <c r="X109" t="s">
        <v>1500</v>
      </c>
      <c r="Y109" t="s">
        <v>1501</v>
      </c>
      <c r="AA109" t="s">
        <v>68</v>
      </c>
      <c r="AB109" t="s">
        <v>1502</v>
      </c>
      <c r="AC109" t="s">
        <v>1503</v>
      </c>
      <c r="AD109" t="s">
        <v>1504</v>
      </c>
      <c r="AE109" t="s">
        <v>1317</v>
      </c>
      <c r="AF109" t="s">
        <v>73</v>
      </c>
      <c r="AG109" t="s">
        <v>1505</v>
      </c>
      <c r="AH109" t="s">
        <v>75</v>
      </c>
      <c r="AI109" t="s">
        <v>76</v>
      </c>
      <c r="AJ109" t="s">
        <v>77</v>
      </c>
      <c r="AK109" t="s">
        <v>1506</v>
      </c>
      <c r="AL109" t="s">
        <v>1253</v>
      </c>
      <c r="AM109" t="s">
        <v>616</v>
      </c>
      <c r="AN109" t="s">
        <v>81</v>
      </c>
      <c r="AO109" t="s">
        <v>82</v>
      </c>
      <c r="AP109" t="s">
        <v>83</v>
      </c>
      <c r="AQ109">
        <v>2012</v>
      </c>
      <c r="AR109">
        <v>92431</v>
      </c>
      <c r="AS109">
        <v>5347905</v>
      </c>
      <c r="AT109">
        <v>228</v>
      </c>
      <c r="AU109" t="s">
        <v>84</v>
      </c>
      <c r="AV109">
        <v>562</v>
      </c>
      <c r="AW109" t="s">
        <v>85</v>
      </c>
      <c r="AX109" t="s">
        <v>86</v>
      </c>
      <c r="AY109">
        <v>562</v>
      </c>
      <c r="AZ109" t="s">
        <v>1507</v>
      </c>
      <c r="BA109" t="s">
        <v>88</v>
      </c>
      <c r="BC109" t="s">
        <v>1508</v>
      </c>
      <c r="BD109">
        <v>40</v>
      </c>
    </row>
    <row r="110" spans="1:57" hidden="1" x14ac:dyDescent="0.2">
      <c r="A110" t="s">
        <v>1509</v>
      </c>
      <c r="B110" t="s">
        <v>1510</v>
      </c>
      <c r="C110" t="s">
        <v>1511</v>
      </c>
      <c r="D110" t="s">
        <v>1512</v>
      </c>
      <c r="E110" t="s">
        <v>1512</v>
      </c>
      <c r="G110" t="s">
        <v>56</v>
      </c>
      <c r="H110" t="s">
        <v>57</v>
      </c>
      <c r="I110" t="s">
        <v>58</v>
      </c>
      <c r="J110" t="e">
        <v>#N/A</v>
      </c>
      <c r="K110" t="s">
        <v>648</v>
      </c>
      <c r="L110" t="s">
        <v>648</v>
      </c>
      <c r="M110" t="s">
        <v>7165</v>
      </c>
      <c r="N110" t="s">
        <v>7165</v>
      </c>
      <c r="O110" s="1" t="s">
        <v>603</v>
      </c>
      <c r="P110" t="s">
        <v>604</v>
      </c>
      <c r="Q110" s="1" t="s">
        <v>875</v>
      </c>
      <c r="R110" s="1" t="s">
        <v>64</v>
      </c>
      <c r="S110" s="1" t="s">
        <v>675</v>
      </c>
      <c r="T110" s="1">
        <v>11</v>
      </c>
      <c r="U110" s="1">
        <v>2124</v>
      </c>
      <c r="V110" s="1" t="s">
        <v>169</v>
      </c>
      <c r="W110" s="1" t="s">
        <v>170</v>
      </c>
      <c r="X110" t="s">
        <v>1513</v>
      </c>
      <c r="Y110" t="s">
        <v>1514</v>
      </c>
      <c r="AA110" t="s">
        <v>68</v>
      </c>
      <c r="AB110" t="s">
        <v>1515</v>
      </c>
      <c r="AC110" t="s">
        <v>1516</v>
      </c>
      <c r="AD110" t="s">
        <v>1517</v>
      </c>
      <c r="AE110" t="s">
        <v>1317</v>
      </c>
      <c r="AF110" t="s">
        <v>73</v>
      </c>
      <c r="AG110" t="s">
        <v>1518</v>
      </c>
      <c r="AH110" t="s">
        <v>75</v>
      </c>
      <c r="AI110" t="s">
        <v>76</v>
      </c>
      <c r="AJ110" t="s">
        <v>77</v>
      </c>
      <c r="AK110" t="s">
        <v>792</v>
      </c>
      <c r="AL110" t="s">
        <v>615</v>
      </c>
      <c r="AM110" t="s">
        <v>616</v>
      </c>
      <c r="AN110" t="s">
        <v>81</v>
      </c>
      <c r="AO110" t="s">
        <v>82</v>
      </c>
      <c r="AP110" t="s">
        <v>83</v>
      </c>
      <c r="AQ110">
        <v>2012</v>
      </c>
      <c r="AR110">
        <v>150380</v>
      </c>
      <c r="AS110">
        <v>5370052</v>
      </c>
      <c r="AT110">
        <v>175</v>
      </c>
      <c r="AU110" t="s">
        <v>84</v>
      </c>
      <c r="AV110">
        <v>562</v>
      </c>
      <c r="AW110" t="s">
        <v>85</v>
      </c>
      <c r="AX110" t="s">
        <v>86</v>
      </c>
      <c r="AY110">
        <v>562</v>
      </c>
      <c r="AZ110" t="s">
        <v>1519</v>
      </c>
      <c r="BA110" t="s">
        <v>88</v>
      </c>
      <c r="BC110" t="s">
        <v>632</v>
      </c>
      <c r="BD110">
        <v>49</v>
      </c>
      <c r="BE110">
        <v>17</v>
      </c>
    </row>
    <row r="111" spans="1:57" hidden="1" x14ac:dyDescent="0.2">
      <c r="A111" t="s">
        <v>1520</v>
      </c>
      <c r="B111" t="s">
        <v>1521</v>
      </c>
      <c r="C111" t="s">
        <v>1522</v>
      </c>
      <c r="D111" t="s">
        <v>1523</v>
      </c>
      <c r="E111" t="s">
        <v>1523</v>
      </c>
      <c r="G111" t="s">
        <v>56</v>
      </c>
      <c r="H111" t="s">
        <v>57</v>
      </c>
      <c r="I111" t="s">
        <v>58</v>
      </c>
      <c r="J111" t="e">
        <v>#N/A</v>
      </c>
      <c r="K111" t="s">
        <v>1094</v>
      </c>
      <c r="L111" t="s">
        <v>1094</v>
      </c>
      <c r="M111" t="s">
        <v>7165</v>
      </c>
      <c r="N111" t="s">
        <v>7165</v>
      </c>
      <c r="O111" s="1" t="s">
        <v>603</v>
      </c>
      <c r="P111" t="s">
        <v>604</v>
      </c>
      <c r="Q111" s="1" t="s">
        <v>875</v>
      </c>
      <c r="R111" s="1" t="s">
        <v>270</v>
      </c>
      <c r="S111" s="1" t="s">
        <v>701</v>
      </c>
      <c r="T111" s="1">
        <v>11</v>
      </c>
      <c r="U111" s="1">
        <v>2124</v>
      </c>
      <c r="V111" s="1" t="s">
        <v>858</v>
      </c>
      <c r="W111" s="1" t="s">
        <v>170</v>
      </c>
      <c r="X111" t="s">
        <v>1524</v>
      </c>
      <c r="Y111" t="s">
        <v>1525</v>
      </c>
      <c r="AA111" t="s">
        <v>68</v>
      </c>
      <c r="AB111" t="s">
        <v>1526</v>
      </c>
      <c r="AC111" t="s">
        <v>1527</v>
      </c>
      <c r="AD111" t="s">
        <v>1528</v>
      </c>
      <c r="AE111" t="s">
        <v>1317</v>
      </c>
      <c r="AF111" t="s">
        <v>73</v>
      </c>
      <c r="AG111" t="s">
        <v>1529</v>
      </c>
      <c r="AH111" t="s">
        <v>154</v>
      </c>
      <c r="AI111" t="s">
        <v>76</v>
      </c>
      <c r="AJ111" t="s">
        <v>77</v>
      </c>
      <c r="AK111" t="s">
        <v>1530</v>
      </c>
      <c r="AL111" t="s">
        <v>1531</v>
      </c>
      <c r="AM111" t="s">
        <v>867</v>
      </c>
      <c r="AN111" t="s">
        <v>158</v>
      </c>
      <c r="AO111" t="s">
        <v>159</v>
      </c>
      <c r="AP111" t="s">
        <v>83</v>
      </c>
      <c r="AQ111">
        <v>2012</v>
      </c>
      <c r="AR111">
        <v>108889</v>
      </c>
      <c r="AS111">
        <v>5476830</v>
      </c>
      <c r="AT111">
        <v>217</v>
      </c>
      <c r="AU111" t="s">
        <v>84</v>
      </c>
      <c r="AV111">
        <v>562</v>
      </c>
      <c r="AW111" t="s">
        <v>85</v>
      </c>
      <c r="AX111" t="s">
        <v>86</v>
      </c>
      <c r="AY111">
        <v>562</v>
      </c>
      <c r="AZ111" t="s">
        <v>1532</v>
      </c>
      <c r="BA111" t="s">
        <v>88</v>
      </c>
      <c r="BC111" t="s">
        <v>1533</v>
      </c>
      <c r="BD111">
        <v>8</v>
      </c>
    </row>
    <row r="112" spans="1:57" hidden="1" x14ac:dyDescent="0.2">
      <c r="A112" t="s">
        <v>1534</v>
      </c>
      <c r="B112" t="s">
        <v>1535</v>
      </c>
      <c r="C112" t="s">
        <v>1536</v>
      </c>
      <c r="D112" t="s">
        <v>1537</v>
      </c>
      <c r="E112" t="s">
        <v>1537</v>
      </c>
      <c r="G112" t="s">
        <v>56</v>
      </c>
      <c r="H112" t="s">
        <v>57</v>
      </c>
      <c r="I112" t="s">
        <v>58</v>
      </c>
      <c r="J112" t="e">
        <v>#N/A</v>
      </c>
      <c r="K112" t="s">
        <v>1094</v>
      </c>
      <c r="L112" t="s">
        <v>1094</v>
      </c>
      <c r="M112" t="s">
        <v>7165</v>
      </c>
      <c r="N112" t="s">
        <v>7165</v>
      </c>
      <c r="O112" s="1" t="s">
        <v>603</v>
      </c>
      <c r="P112" t="s">
        <v>604</v>
      </c>
      <c r="Q112" s="1" t="s">
        <v>875</v>
      </c>
      <c r="R112" s="1" t="s">
        <v>270</v>
      </c>
      <c r="S112" s="1" t="s">
        <v>701</v>
      </c>
      <c r="T112" s="1">
        <v>11</v>
      </c>
      <c r="U112" s="1">
        <v>2124</v>
      </c>
      <c r="V112" s="1" t="s">
        <v>858</v>
      </c>
      <c r="W112" s="1" t="s">
        <v>170</v>
      </c>
      <c r="X112" t="s">
        <v>1538</v>
      </c>
      <c r="Y112" t="s">
        <v>1539</v>
      </c>
      <c r="AA112" t="s">
        <v>68</v>
      </c>
      <c r="AB112" t="s">
        <v>1540</v>
      </c>
      <c r="AC112" t="s">
        <v>1541</v>
      </c>
      <c r="AD112" t="s">
        <v>1542</v>
      </c>
      <c r="AE112" t="s">
        <v>1543</v>
      </c>
      <c r="AF112" t="s">
        <v>73</v>
      </c>
      <c r="AG112" t="s">
        <v>1544</v>
      </c>
      <c r="AH112" t="s">
        <v>154</v>
      </c>
      <c r="AI112" t="s">
        <v>76</v>
      </c>
      <c r="AJ112" t="s">
        <v>77</v>
      </c>
      <c r="AK112" t="s">
        <v>1545</v>
      </c>
      <c r="AL112" t="s">
        <v>1531</v>
      </c>
      <c r="AM112" t="s">
        <v>867</v>
      </c>
      <c r="AN112" t="s">
        <v>81</v>
      </c>
      <c r="AO112" t="s">
        <v>82</v>
      </c>
      <c r="AP112" t="s">
        <v>83</v>
      </c>
      <c r="AQ112">
        <v>2012</v>
      </c>
      <c r="AR112">
        <v>98217</v>
      </c>
      <c r="AS112">
        <v>5395889</v>
      </c>
      <c r="AT112">
        <v>232</v>
      </c>
      <c r="AU112" t="s">
        <v>84</v>
      </c>
      <c r="AV112">
        <v>562</v>
      </c>
      <c r="AW112" t="s">
        <v>85</v>
      </c>
      <c r="AX112" t="s">
        <v>86</v>
      </c>
      <c r="AY112">
        <v>562</v>
      </c>
      <c r="AZ112" t="s">
        <v>1546</v>
      </c>
      <c r="BA112" t="s">
        <v>88</v>
      </c>
      <c r="BC112" t="s">
        <v>1533</v>
      </c>
      <c r="BD112">
        <v>8</v>
      </c>
    </row>
    <row r="113" spans="1:57" hidden="1" x14ac:dyDescent="0.2">
      <c r="A113" t="s">
        <v>1547</v>
      </c>
      <c r="B113" t="s">
        <v>1548</v>
      </c>
      <c r="C113" t="s">
        <v>1549</v>
      </c>
      <c r="D113" t="s">
        <v>1550</v>
      </c>
      <c r="E113" t="s">
        <v>1550</v>
      </c>
      <c r="G113" t="s">
        <v>56</v>
      </c>
      <c r="H113" t="s">
        <v>57</v>
      </c>
      <c r="I113" t="s">
        <v>58</v>
      </c>
      <c r="J113" t="e">
        <v>#N/A</v>
      </c>
      <c r="K113" t="s">
        <v>1551</v>
      </c>
      <c r="L113" t="s">
        <v>1551</v>
      </c>
      <c r="M113" t="s">
        <v>7168</v>
      </c>
      <c r="N113" t="s">
        <v>7165</v>
      </c>
      <c r="O113" s="1" t="s">
        <v>603</v>
      </c>
      <c r="P113" t="s">
        <v>649</v>
      </c>
      <c r="Q113" s="1" t="s">
        <v>605</v>
      </c>
      <c r="R113" s="1" t="s">
        <v>127</v>
      </c>
      <c r="S113" s="1" t="s">
        <v>1552</v>
      </c>
      <c r="T113" s="1">
        <v>11</v>
      </c>
      <c r="U113" s="1">
        <v>2124</v>
      </c>
      <c r="V113" s="1" t="s">
        <v>169</v>
      </c>
      <c r="W113" s="1" t="s">
        <v>170</v>
      </c>
      <c r="X113" t="s">
        <v>1553</v>
      </c>
      <c r="Y113" t="s">
        <v>1554</v>
      </c>
      <c r="AA113" t="s">
        <v>68</v>
      </c>
      <c r="AB113" t="s">
        <v>1555</v>
      </c>
      <c r="AC113" t="s">
        <v>1556</v>
      </c>
      <c r="AD113" t="s">
        <v>1557</v>
      </c>
      <c r="AE113" t="s">
        <v>1543</v>
      </c>
      <c r="AF113" t="s">
        <v>73</v>
      </c>
      <c r="AG113" t="s">
        <v>1558</v>
      </c>
      <c r="AH113" t="s">
        <v>75</v>
      </c>
      <c r="AI113" t="s">
        <v>76</v>
      </c>
      <c r="AJ113" t="s">
        <v>77</v>
      </c>
      <c r="AK113" t="s">
        <v>630</v>
      </c>
      <c r="AL113" t="s">
        <v>615</v>
      </c>
      <c r="AM113" t="s">
        <v>616</v>
      </c>
      <c r="AN113" t="s">
        <v>81</v>
      </c>
      <c r="AO113" t="s">
        <v>82</v>
      </c>
      <c r="AP113" t="s">
        <v>83</v>
      </c>
      <c r="AQ113">
        <v>2012</v>
      </c>
      <c r="AR113">
        <v>163107</v>
      </c>
      <c r="AS113">
        <v>5344622</v>
      </c>
      <c r="AT113">
        <v>151</v>
      </c>
      <c r="AU113" t="s">
        <v>84</v>
      </c>
      <c r="AV113">
        <v>562</v>
      </c>
      <c r="AW113" t="s">
        <v>85</v>
      </c>
      <c r="AX113" t="s">
        <v>86</v>
      </c>
      <c r="AY113">
        <v>562</v>
      </c>
      <c r="AZ113" t="s">
        <v>1559</v>
      </c>
      <c r="BA113" t="s">
        <v>88</v>
      </c>
      <c r="BC113" t="s">
        <v>1560</v>
      </c>
      <c r="BD113">
        <v>0</v>
      </c>
      <c r="BE113">
        <v>3</v>
      </c>
    </row>
    <row r="114" spans="1:57" hidden="1" x14ac:dyDescent="0.2">
      <c r="A114" t="s">
        <v>1561</v>
      </c>
      <c r="B114" t="s">
        <v>1562</v>
      </c>
      <c r="C114" t="s">
        <v>1563</v>
      </c>
      <c r="D114" t="s">
        <v>1564</v>
      </c>
      <c r="E114" t="s">
        <v>1564</v>
      </c>
      <c r="G114" t="s">
        <v>56</v>
      </c>
      <c r="H114" t="s">
        <v>57</v>
      </c>
      <c r="I114" t="s">
        <v>58</v>
      </c>
      <c r="J114" t="e">
        <v>#N/A</v>
      </c>
      <c r="K114" t="s">
        <v>1039</v>
      </c>
      <c r="L114" t="s">
        <v>1039</v>
      </c>
      <c r="M114" t="s">
        <v>7165</v>
      </c>
      <c r="N114" t="s">
        <v>7165</v>
      </c>
      <c r="O114" s="1" t="s">
        <v>603</v>
      </c>
      <c r="P114" t="s">
        <v>649</v>
      </c>
      <c r="Q114" s="1" t="s">
        <v>605</v>
      </c>
      <c r="R114" s="1" t="s">
        <v>127</v>
      </c>
      <c r="S114" s="1" t="s">
        <v>606</v>
      </c>
      <c r="T114" s="1">
        <v>11</v>
      </c>
      <c r="U114" s="1">
        <v>30512</v>
      </c>
      <c r="V114" s="1" t="s">
        <v>169</v>
      </c>
      <c r="W114" s="1" t="s">
        <v>170</v>
      </c>
      <c r="X114" t="s">
        <v>1565</v>
      </c>
      <c r="Y114" t="s">
        <v>1566</v>
      </c>
      <c r="AA114" t="s">
        <v>68</v>
      </c>
      <c r="AB114" t="s">
        <v>1567</v>
      </c>
      <c r="AC114" t="s">
        <v>1568</v>
      </c>
      <c r="AD114" t="s">
        <v>1569</v>
      </c>
      <c r="AE114" t="s">
        <v>1437</v>
      </c>
      <c r="AF114" t="s">
        <v>73</v>
      </c>
      <c r="AG114" t="s">
        <v>1570</v>
      </c>
      <c r="AH114" t="s">
        <v>75</v>
      </c>
      <c r="AI114" t="s">
        <v>76</v>
      </c>
      <c r="AJ114" t="s">
        <v>77</v>
      </c>
      <c r="AK114" t="s">
        <v>669</v>
      </c>
      <c r="AL114" t="s">
        <v>615</v>
      </c>
      <c r="AM114" t="s">
        <v>616</v>
      </c>
      <c r="AN114" t="s">
        <v>81</v>
      </c>
      <c r="AO114" t="s">
        <v>82</v>
      </c>
      <c r="AP114" t="s">
        <v>83</v>
      </c>
      <c r="AQ114" s="3">
        <v>41154</v>
      </c>
      <c r="AR114">
        <v>150182</v>
      </c>
      <c r="AS114">
        <v>5326034</v>
      </c>
      <c r="AT114">
        <v>194</v>
      </c>
      <c r="AU114" t="s">
        <v>84</v>
      </c>
      <c r="AV114">
        <v>562</v>
      </c>
      <c r="AW114" t="s">
        <v>85</v>
      </c>
      <c r="AX114" t="s">
        <v>86</v>
      </c>
      <c r="AY114">
        <v>562</v>
      </c>
      <c r="AZ114" t="s">
        <v>1571</v>
      </c>
      <c r="BA114" t="s">
        <v>88</v>
      </c>
      <c r="BC114" t="s">
        <v>1572</v>
      </c>
      <c r="BD114">
        <v>0</v>
      </c>
      <c r="BE114">
        <v>0</v>
      </c>
    </row>
    <row r="115" spans="1:57" hidden="1" x14ac:dyDescent="0.2">
      <c r="A115" t="s">
        <v>1573</v>
      </c>
      <c r="B115" t="s">
        <v>1574</v>
      </c>
      <c r="C115" t="s">
        <v>1575</v>
      </c>
      <c r="D115" t="s">
        <v>1576</v>
      </c>
      <c r="E115" t="s">
        <v>1576</v>
      </c>
      <c r="G115" t="s">
        <v>56</v>
      </c>
      <c r="H115" t="s">
        <v>57</v>
      </c>
      <c r="I115" t="s">
        <v>58</v>
      </c>
      <c r="J115" t="e">
        <v>#N/A</v>
      </c>
      <c r="K115" t="s">
        <v>1094</v>
      </c>
      <c r="L115" t="s">
        <v>1094</v>
      </c>
      <c r="M115" t="s">
        <v>7165</v>
      </c>
      <c r="N115" t="s">
        <v>7165</v>
      </c>
      <c r="O115" s="1" t="s">
        <v>603</v>
      </c>
      <c r="P115" t="s">
        <v>604</v>
      </c>
      <c r="Q115" s="1" t="s">
        <v>605</v>
      </c>
      <c r="R115" s="1" t="s">
        <v>127</v>
      </c>
      <c r="S115" s="1" t="s">
        <v>606</v>
      </c>
      <c r="T115" s="1">
        <v>11</v>
      </c>
      <c r="U115" s="1">
        <v>2124</v>
      </c>
      <c r="V115" s="1" t="s">
        <v>169</v>
      </c>
      <c r="W115" s="1" t="s">
        <v>170</v>
      </c>
      <c r="X115" t="s">
        <v>1577</v>
      </c>
      <c r="Y115" t="s">
        <v>1578</v>
      </c>
      <c r="AA115" t="s">
        <v>68</v>
      </c>
      <c r="AB115" t="s">
        <v>1579</v>
      </c>
      <c r="AC115" t="s">
        <v>1580</v>
      </c>
      <c r="AD115" t="s">
        <v>1581</v>
      </c>
      <c r="AE115" t="s">
        <v>612</v>
      </c>
      <c r="AF115" t="s">
        <v>73</v>
      </c>
      <c r="AG115" t="s">
        <v>1582</v>
      </c>
      <c r="AH115" t="s">
        <v>75</v>
      </c>
      <c r="AI115" t="s">
        <v>76</v>
      </c>
      <c r="AJ115" t="s">
        <v>77</v>
      </c>
      <c r="AK115" t="s">
        <v>1583</v>
      </c>
      <c r="AL115" t="s">
        <v>615</v>
      </c>
      <c r="AM115" t="s">
        <v>616</v>
      </c>
      <c r="AN115" t="s">
        <v>81</v>
      </c>
      <c r="AO115" t="s">
        <v>82</v>
      </c>
      <c r="AP115" t="s">
        <v>83</v>
      </c>
      <c r="AQ115">
        <v>2012</v>
      </c>
      <c r="AR115">
        <v>58656</v>
      </c>
      <c r="AS115">
        <v>5383579</v>
      </c>
      <c r="AT115">
        <v>298</v>
      </c>
      <c r="AU115" t="s">
        <v>84</v>
      </c>
      <c r="AV115">
        <v>562</v>
      </c>
      <c r="AW115" t="s">
        <v>85</v>
      </c>
      <c r="AX115" t="s">
        <v>86</v>
      </c>
      <c r="AY115">
        <v>562</v>
      </c>
      <c r="AZ115" t="s">
        <v>1584</v>
      </c>
      <c r="BA115" t="s">
        <v>88</v>
      </c>
    </row>
    <row r="116" spans="1:57" hidden="1" x14ac:dyDescent="0.2">
      <c r="A116" t="s">
        <v>1585</v>
      </c>
      <c r="B116" t="s">
        <v>1586</v>
      </c>
      <c r="C116" t="s">
        <v>1587</v>
      </c>
      <c r="D116" t="s">
        <v>1588</v>
      </c>
      <c r="E116" t="s">
        <v>1588</v>
      </c>
      <c r="G116" t="s">
        <v>56</v>
      </c>
      <c r="H116" t="e">
        <v>#N/A</v>
      </c>
      <c r="I116" t="s">
        <v>58</v>
      </c>
      <c r="J116" t="e">
        <v>#N/A</v>
      </c>
      <c r="K116" s="5" t="s">
        <v>1589</v>
      </c>
      <c r="L116" s="5" t="s">
        <v>1589</v>
      </c>
      <c r="M116" t="s">
        <v>7165</v>
      </c>
      <c r="N116" t="s">
        <v>7165</v>
      </c>
      <c r="O116" s="1" t="s">
        <v>603</v>
      </c>
      <c r="P116" t="e">
        <v>#N/A</v>
      </c>
      <c r="Q116" s="1" t="e">
        <v>#N/A</v>
      </c>
      <c r="R116" s="1" t="e">
        <v>#N/A</v>
      </c>
      <c r="S116" s="1" t="e">
        <v>#N/A</v>
      </c>
      <c r="T116" s="1" t="e">
        <v>#N/A</v>
      </c>
      <c r="U116" s="1" t="e">
        <v>#N/A</v>
      </c>
      <c r="V116" s="1" t="e">
        <v>#N/A</v>
      </c>
      <c r="W116" s="1" t="e">
        <v>#N/A</v>
      </c>
      <c r="X116" t="s">
        <v>1590</v>
      </c>
      <c r="Y116" t="s">
        <v>1588</v>
      </c>
      <c r="AA116" t="s">
        <v>68</v>
      </c>
      <c r="AB116" t="s">
        <v>1591</v>
      </c>
      <c r="AC116" t="s">
        <v>1592</v>
      </c>
      <c r="AD116" t="s">
        <v>1593</v>
      </c>
      <c r="AE116" t="s">
        <v>1346</v>
      </c>
      <c r="AF116" t="s">
        <v>73</v>
      </c>
      <c r="AG116" t="s">
        <v>1594</v>
      </c>
      <c r="AH116" t="s">
        <v>75</v>
      </c>
      <c r="AI116" t="s">
        <v>76</v>
      </c>
      <c r="AJ116" t="s">
        <v>77</v>
      </c>
      <c r="AK116" t="s">
        <v>630</v>
      </c>
      <c r="AL116" t="s">
        <v>615</v>
      </c>
      <c r="AM116" t="s">
        <v>616</v>
      </c>
      <c r="AN116" t="s">
        <v>81</v>
      </c>
      <c r="AO116" t="s">
        <v>82</v>
      </c>
      <c r="AP116" t="s">
        <v>83</v>
      </c>
      <c r="AQ116" s="3">
        <v>41160</v>
      </c>
      <c r="AR116">
        <v>123950</v>
      </c>
      <c r="AS116">
        <v>5297297</v>
      </c>
      <c r="AT116">
        <v>244</v>
      </c>
      <c r="AU116" t="s">
        <v>84</v>
      </c>
      <c r="AV116">
        <v>562</v>
      </c>
      <c r="AW116" t="s">
        <v>85</v>
      </c>
      <c r="AX116" t="s">
        <v>86</v>
      </c>
      <c r="AY116">
        <v>562</v>
      </c>
      <c r="AZ116" t="s">
        <v>1595</v>
      </c>
      <c r="BA116" t="s">
        <v>88</v>
      </c>
      <c r="BC116" t="s">
        <v>1572</v>
      </c>
      <c r="BD116">
        <v>0</v>
      </c>
      <c r="BE116">
        <v>0</v>
      </c>
    </row>
    <row r="117" spans="1:57" hidden="1" x14ac:dyDescent="0.2">
      <c r="A117" t="s">
        <v>1596</v>
      </c>
      <c r="B117" t="s">
        <v>1597</v>
      </c>
      <c r="C117" t="s">
        <v>1598</v>
      </c>
      <c r="D117" t="s">
        <v>1599</v>
      </c>
      <c r="E117" t="s">
        <v>1599</v>
      </c>
      <c r="G117" t="s">
        <v>56</v>
      </c>
      <c r="H117" t="e">
        <v>#N/A</v>
      </c>
      <c r="I117" t="s">
        <v>58</v>
      </c>
      <c r="J117" t="e">
        <v>#N/A</v>
      </c>
      <c r="K117" s="5" t="s">
        <v>1589</v>
      </c>
      <c r="L117" s="5" t="s">
        <v>1589</v>
      </c>
      <c r="M117" t="s">
        <v>7165</v>
      </c>
      <c r="N117" t="s">
        <v>7165</v>
      </c>
      <c r="O117" s="1" t="s">
        <v>603</v>
      </c>
      <c r="P117" t="e">
        <v>#N/A</v>
      </c>
      <c r="Q117" s="1" t="e">
        <v>#N/A</v>
      </c>
      <c r="R117" s="1" t="e">
        <v>#N/A</v>
      </c>
      <c r="S117" s="1" t="e">
        <v>#N/A</v>
      </c>
      <c r="T117" s="1" t="e">
        <v>#N/A</v>
      </c>
      <c r="U117" s="1" t="e">
        <v>#N/A</v>
      </c>
      <c r="V117" s="1" t="e">
        <v>#N/A</v>
      </c>
      <c r="W117" s="1" t="e">
        <v>#N/A</v>
      </c>
      <c r="X117" t="s">
        <v>1600</v>
      </c>
      <c r="Y117" t="s">
        <v>1599</v>
      </c>
      <c r="AA117" t="s">
        <v>68</v>
      </c>
      <c r="AB117" t="s">
        <v>1601</v>
      </c>
      <c r="AC117" t="s">
        <v>1602</v>
      </c>
      <c r="AD117" t="s">
        <v>1603</v>
      </c>
      <c r="AE117" t="s">
        <v>1482</v>
      </c>
      <c r="AF117" t="s">
        <v>73</v>
      </c>
      <c r="AG117" t="s">
        <v>1604</v>
      </c>
      <c r="AH117" t="s">
        <v>75</v>
      </c>
      <c r="AI117" t="s">
        <v>76</v>
      </c>
      <c r="AJ117" t="s">
        <v>77</v>
      </c>
      <c r="AK117" t="s">
        <v>669</v>
      </c>
      <c r="AL117" t="s">
        <v>615</v>
      </c>
      <c r="AM117" t="s">
        <v>616</v>
      </c>
      <c r="AN117" t="s">
        <v>81</v>
      </c>
      <c r="AO117" t="s">
        <v>82</v>
      </c>
      <c r="AP117" t="s">
        <v>83</v>
      </c>
      <c r="AQ117" s="3">
        <v>41166</v>
      </c>
      <c r="AR117">
        <v>110805</v>
      </c>
      <c r="AS117">
        <v>5304244</v>
      </c>
      <c r="AT117">
        <v>259</v>
      </c>
      <c r="AU117" t="s">
        <v>84</v>
      </c>
      <c r="AV117">
        <v>562</v>
      </c>
      <c r="AW117" t="s">
        <v>85</v>
      </c>
      <c r="AX117" t="s">
        <v>86</v>
      </c>
      <c r="AY117">
        <v>562</v>
      </c>
      <c r="AZ117" t="s">
        <v>1605</v>
      </c>
      <c r="BA117" t="s">
        <v>88</v>
      </c>
      <c r="BC117" t="s">
        <v>1572</v>
      </c>
      <c r="BD117">
        <v>2</v>
      </c>
      <c r="BE117">
        <v>2</v>
      </c>
    </row>
    <row r="118" spans="1:57" hidden="1" x14ac:dyDescent="0.2">
      <c r="A118" t="s">
        <v>1606</v>
      </c>
      <c r="B118" t="s">
        <v>1607</v>
      </c>
      <c r="C118" t="s">
        <v>1608</v>
      </c>
      <c r="D118" t="s">
        <v>1609</v>
      </c>
      <c r="E118" t="s">
        <v>1609</v>
      </c>
      <c r="G118" t="s">
        <v>56</v>
      </c>
      <c r="H118" t="s">
        <v>57</v>
      </c>
      <c r="I118" t="s">
        <v>58</v>
      </c>
      <c r="J118" t="e">
        <v>#N/A</v>
      </c>
      <c r="K118" t="s">
        <v>1610</v>
      </c>
      <c r="L118" t="s">
        <v>1610</v>
      </c>
      <c r="M118" t="s">
        <v>7165</v>
      </c>
      <c r="N118" t="s">
        <v>7165</v>
      </c>
      <c r="O118" s="1" t="s">
        <v>603</v>
      </c>
      <c r="P118" t="s">
        <v>649</v>
      </c>
      <c r="Q118" s="1" t="s">
        <v>875</v>
      </c>
      <c r="R118" s="1" t="s">
        <v>64</v>
      </c>
      <c r="S118" s="1" t="s">
        <v>675</v>
      </c>
      <c r="T118" s="1">
        <v>11</v>
      </c>
      <c r="U118" s="1">
        <v>2124</v>
      </c>
      <c r="V118" s="1" t="s">
        <v>169</v>
      </c>
      <c r="W118" s="1" t="s">
        <v>170</v>
      </c>
      <c r="X118" t="s">
        <v>1611</v>
      </c>
      <c r="Y118" t="s">
        <v>1612</v>
      </c>
      <c r="AA118" t="s">
        <v>68</v>
      </c>
      <c r="AB118" t="s">
        <v>1613</v>
      </c>
      <c r="AC118" t="s">
        <v>1614</v>
      </c>
      <c r="AD118" t="s">
        <v>1615</v>
      </c>
      <c r="AE118" t="s">
        <v>1448</v>
      </c>
      <c r="AF118" t="s">
        <v>73</v>
      </c>
      <c r="AG118" t="s">
        <v>1616</v>
      </c>
      <c r="AH118" t="s">
        <v>75</v>
      </c>
      <c r="AI118" t="s">
        <v>76</v>
      </c>
      <c r="AJ118" t="s">
        <v>77</v>
      </c>
      <c r="AK118" t="s">
        <v>780</v>
      </c>
      <c r="AL118" t="s">
        <v>615</v>
      </c>
      <c r="AM118" t="s">
        <v>616</v>
      </c>
      <c r="AN118" t="s">
        <v>81</v>
      </c>
      <c r="AO118" t="s">
        <v>82</v>
      </c>
      <c r="AP118" t="s">
        <v>83</v>
      </c>
      <c r="AQ118" s="3">
        <v>41197</v>
      </c>
      <c r="AR118">
        <v>201432</v>
      </c>
      <c r="AS118">
        <v>5325463</v>
      </c>
      <c r="AT118">
        <v>223</v>
      </c>
      <c r="AU118" t="s">
        <v>84</v>
      </c>
      <c r="AV118">
        <v>562</v>
      </c>
      <c r="AW118" t="s">
        <v>85</v>
      </c>
      <c r="AX118" t="s">
        <v>86</v>
      </c>
      <c r="AY118">
        <v>562</v>
      </c>
      <c r="AZ118" t="s">
        <v>1617</v>
      </c>
      <c r="BA118" t="s">
        <v>88</v>
      </c>
      <c r="BC118" t="s">
        <v>841</v>
      </c>
      <c r="BD118">
        <v>26</v>
      </c>
      <c r="BE118">
        <v>18</v>
      </c>
    </row>
    <row r="119" spans="1:57" hidden="1" x14ac:dyDescent="0.2">
      <c r="A119" t="s">
        <v>1618</v>
      </c>
      <c r="B119" t="s">
        <v>1619</v>
      </c>
      <c r="C119" t="s">
        <v>1620</v>
      </c>
      <c r="D119" t="s">
        <v>1621</v>
      </c>
      <c r="E119" t="s">
        <v>1621</v>
      </c>
      <c r="G119" t="s">
        <v>56</v>
      </c>
      <c r="H119" t="s">
        <v>57</v>
      </c>
      <c r="I119" t="s">
        <v>58</v>
      </c>
      <c r="J119" t="e">
        <v>#N/A</v>
      </c>
      <c r="K119" t="s">
        <v>1622</v>
      </c>
      <c r="L119" t="s">
        <v>1622</v>
      </c>
      <c r="M119" t="s">
        <v>7165</v>
      </c>
      <c r="N119" t="s">
        <v>7165</v>
      </c>
      <c r="O119" s="1" t="s">
        <v>603</v>
      </c>
      <c r="P119" t="s">
        <v>649</v>
      </c>
      <c r="Q119" s="1" t="s">
        <v>605</v>
      </c>
      <c r="R119" s="1" t="s">
        <v>127</v>
      </c>
      <c r="S119" s="1" t="s">
        <v>606</v>
      </c>
      <c r="T119" s="1">
        <v>11</v>
      </c>
      <c r="U119" s="1">
        <v>2124</v>
      </c>
      <c r="V119" s="1" t="s">
        <v>169</v>
      </c>
      <c r="W119" s="1" t="s">
        <v>170</v>
      </c>
      <c r="X119" t="s">
        <v>1623</v>
      </c>
      <c r="Y119" t="s">
        <v>1624</v>
      </c>
      <c r="AA119" t="s">
        <v>68</v>
      </c>
      <c r="AB119" t="s">
        <v>1625</v>
      </c>
      <c r="AC119" t="s">
        <v>1626</v>
      </c>
      <c r="AD119" t="s">
        <v>1627</v>
      </c>
      <c r="AE119" t="s">
        <v>1346</v>
      </c>
      <c r="AF119" t="s">
        <v>73</v>
      </c>
      <c r="AG119" t="s">
        <v>1628</v>
      </c>
      <c r="AH119" t="s">
        <v>75</v>
      </c>
      <c r="AI119" t="s">
        <v>76</v>
      </c>
      <c r="AJ119" t="s">
        <v>77</v>
      </c>
      <c r="AK119" t="s">
        <v>669</v>
      </c>
      <c r="AL119" t="s">
        <v>615</v>
      </c>
      <c r="AM119" t="s">
        <v>616</v>
      </c>
      <c r="AN119" t="s">
        <v>81</v>
      </c>
      <c r="AO119" t="s">
        <v>82</v>
      </c>
      <c r="AP119" t="s">
        <v>83</v>
      </c>
      <c r="AQ119" s="3">
        <v>41197</v>
      </c>
      <c r="AR119">
        <v>145290</v>
      </c>
      <c r="AS119">
        <v>5363462</v>
      </c>
      <c r="AT119">
        <v>249</v>
      </c>
      <c r="AU119" t="s">
        <v>84</v>
      </c>
      <c r="AV119">
        <v>562</v>
      </c>
      <c r="AW119" t="s">
        <v>85</v>
      </c>
      <c r="AX119" t="s">
        <v>86</v>
      </c>
      <c r="AY119">
        <v>562</v>
      </c>
      <c r="AZ119" t="s">
        <v>1629</v>
      </c>
      <c r="BA119" t="s">
        <v>88</v>
      </c>
      <c r="BC119" t="s">
        <v>918</v>
      </c>
      <c r="BD119">
        <v>0</v>
      </c>
      <c r="BE119">
        <v>0</v>
      </c>
    </row>
    <row r="120" spans="1:57" hidden="1" x14ac:dyDescent="0.2">
      <c r="A120" t="s">
        <v>1630</v>
      </c>
      <c r="B120" t="s">
        <v>1631</v>
      </c>
      <c r="C120" t="s">
        <v>1632</v>
      </c>
      <c r="D120" t="s">
        <v>1633</v>
      </c>
      <c r="E120" t="s">
        <v>1633</v>
      </c>
      <c r="G120" t="s">
        <v>56</v>
      </c>
      <c r="H120" t="e">
        <v>#N/A</v>
      </c>
      <c r="I120" t="s">
        <v>58</v>
      </c>
      <c r="J120" t="e">
        <v>#N/A</v>
      </c>
      <c r="K120" t="s">
        <v>1622</v>
      </c>
      <c r="L120" t="s">
        <v>1622</v>
      </c>
      <c r="M120" t="s">
        <v>7165</v>
      </c>
      <c r="N120" t="s">
        <v>7165</v>
      </c>
      <c r="O120" s="1" t="s">
        <v>603</v>
      </c>
      <c r="P120" t="e">
        <v>#N/A</v>
      </c>
      <c r="Q120" s="1" t="e">
        <v>#N/A</v>
      </c>
      <c r="R120" s="1" t="e">
        <v>#N/A</v>
      </c>
      <c r="S120" s="1" t="e">
        <v>#N/A</v>
      </c>
      <c r="T120" s="1" t="e">
        <v>#N/A</v>
      </c>
      <c r="U120" s="1" t="e">
        <v>#N/A</v>
      </c>
      <c r="V120" s="1" t="e">
        <v>#N/A</v>
      </c>
      <c r="W120" s="1" t="e">
        <v>#N/A</v>
      </c>
      <c r="X120" t="s">
        <v>1634</v>
      </c>
      <c r="Y120" t="s">
        <v>1633</v>
      </c>
      <c r="AA120" t="s">
        <v>68</v>
      </c>
      <c r="AB120" t="s">
        <v>1635</v>
      </c>
      <c r="AC120" t="s">
        <v>1636</v>
      </c>
      <c r="AD120" t="s">
        <v>1637</v>
      </c>
      <c r="AE120" t="s">
        <v>1357</v>
      </c>
      <c r="AF120" t="s">
        <v>73</v>
      </c>
      <c r="AG120" t="s">
        <v>1638</v>
      </c>
      <c r="AH120" t="s">
        <v>75</v>
      </c>
      <c r="AI120" t="s">
        <v>76</v>
      </c>
      <c r="AJ120" t="s">
        <v>77</v>
      </c>
      <c r="AK120" t="s">
        <v>669</v>
      </c>
      <c r="AL120" t="s">
        <v>615</v>
      </c>
      <c r="AM120" t="s">
        <v>616</v>
      </c>
      <c r="AN120" t="s">
        <v>81</v>
      </c>
      <c r="AO120" t="s">
        <v>82</v>
      </c>
      <c r="AP120" t="s">
        <v>83</v>
      </c>
      <c r="AQ120" s="3">
        <v>41197</v>
      </c>
      <c r="AR120">
        <v>148116</v>
      </c>
      <c r="AS120">
        <v>5366873</v>
      </c>
      <c r="AT120">
        <v>267</v>
      </c>
      <c r="AU120" t="s">
        <v>84</v>
      </c>
      <c r="AV120">
        <v>562</v>
      </c>
      <c r="AW120" t="s">
        <v>85</v>
      </c>
      <c r="AX120" t="s">
        <v>86</v>
      </c>
      <c r="AY120">
        <v>562</v>
      </c>
      <c r="AZ120" t="s">
        <v>1639</v>
      </c>
      <c r="BA120" t="s">
        <v>88</v>
      </c>
      <c r="BC120" t="s">
        <v>918</v>
      </c>
      <c r="BD120">
        <v>0</v>
      </c>
      <c r="BE120">
        <v>0</v>
      </c>
    </row>
    <row r="121" spans="1:57" ht="15.75" hidden="1" customHeight="1" x14ac:dyDescent="0.2">
      <c r="A121" t="s">
        <v>1640</v>
      </c>
      <c r="B121" t="s">
        <v>1641</v>
      </c>
      <c r="C121" t="s">
        <v>1642</v>
      </c>
      <c r="D121" t="s">
        <v>1643</v>
      </c>
      <c r="E121" t="s">
        <v>1643</v>
      </c>
      <c r="G121" t="s">
        <v>56</v>
      </c>
      <c r="H121" t="e">
        <v>#N/A</v>
      </c>
      <c r="I121" t="s">
        <v>58</v>
      </c>
      <c r="J121" t="e">
        <v>#N/A</v>
      </c>
      <c r="K121" t="s">
        <v>1622</v>
      </c>
      <c r="L121" t="s">
        <v>1622</v>
      </c>
      <c r="M121" t="s">
        <v>7165</v>
      </c>
      <c r="N121" t="s">
        <v>7165</v>
      </c>
      <c r="O121" s="1" t="s">
        <v>603</v>
      </c>
      <c r="P121" t="e">
        <v>#N/A</v>
      </c>
      <c r="Q121" s="1" t="e">
        <v>#N/A</v>
      </c>
      <c r="R121" s="1" t="e">
        <v>#N/A</v>
      </c>
      <c r="S121" s="1" t="e">
        <v>#N/A</v>
      </c>
      <c r="T121" s="1" t="e">
        <v>#N/A</v>
      </c>
      <c r="U121" s="1" t="e">
        <v>#N/A</v>
      </c>
      <c r="V121" s="1" t="e">
        <v>#N/A</v>
      </c>
      <c r="W121" s="1" t="e">
        <v>#N/A</v>
      </c>
      <c r="X121" t="s">
        <v>1644</v>
      </c>
      <c r="Y121" t="s">
        <v>1643</v>
      </c>
      <c r="AA121" t="s">
        <v>68</v>
      </c>
      <c r="AB121" t="s">
        <v>1645</v>
      </c>
      <c r="AC121" t="s">
        <v>1646</v>
      </c>
      <c r="AD121" t="s">
        <v>1647</v>
      </c>
      <c r="AE121" t="s">
        <v>1448</v>
      </c>
      <c r="AF121" t="s">
        <v>73</v>
      </c>
      <c r="AG121" t="s">
        <v>1648</v>
      </c>
      <c r="AH121" t="s">
        <v>75</v>
      </c>
      <c r="AI121" t="s">
        <v>76</v>
      </c>
      <c r="AJ121" t="s">
        <v>77</v>
      </c>
      <c r="AK121" t="s">
        <v>630</v>
      </c>
      <c r="AL121" t="s">
        <v>615</v>
      </c>
      <c r="AM121" t="s">
        <v>616</v>
      </c>
      <c r="AN121" t="s">
        <v>81</v>
      </c>
      <c r="AO121" t="s">
        <v>82</v>
      </c>
      <c r="AP121" t="s">
        <v>83</v>
      </c>
      <c r="AQ121" s="3">
        <v>41197</v>
      </c>
      <c r="AR121">
        <v>144781</v>
      </c>
      <c r="AS121">
        <v>5372441</v>
      </c>
      <c r="AT121">
        <v>266</v>
      </c>
      <c r="AU121" t="s">
        <v>84</v>
      </c>
      <c r="AV121">
        <v>562</v>
      </c>
      <c r="AW121" t="s">
        <v>85</v>
      </c>
      <c r="AX121" t="s">
        <v>86</v>
      </c>
      <c r="AY121">
        <v>562</v>
      </c>
      <c r="AZ121" t="s">
        <v>1649</v>
      </c>
      <c r="BA121" t="s">
        <v>88</v>
      </c>
      <c r="BC121" t="s">
        <v>918</v>
      </c>
      <c r="BD121">
        <v>0</v>
      </c>
      <c r="BE121">
        <v>0</v>
      </c>
    </row>
    <row r="122" spans="1:57" hidden="1" x14ac:dyDescent="0.2">
      <c r="A122" t="s">
        <v>1650</v>
      </c>
      <c r="B122" t="s">
        <v>1651</v>
      </c>
      <c r="C122" t="s">
        <v>1652</v>
      </c>
      <c r="D122" t="s">
        <v>1653</v>
      </c>
      <c r="E122" t="s">
        <v>1653</v>
      </c>
      <c r="G122" t="s">
        <v>56</v>
      </c>
      <c r="H122" t="s">
        <v>57</v>
      </c>
      <c r="I122" t="s">
        <v>58</v>
      </c>
      <c r="J122" t="e">
        <v>#N/A</v>
      </c>
      <c r="K122" t="s">
        <v>1654</v>
      </c>
      <c r="L122" t="s">
        <v>1654</v>
      </c>
      <c r="M122" t="s">
        <v>7165</v>
      </c>
      <c r="N122" t="s">
        <v>7165</v>
      </c>
      <c r="O122" s="1" t="s">
        <v>603</v>
      </c>
      <c r="P122" t="s">
        <v>649</v>
      </c>
      <c r="Q122" s="1" t="s">
        <v>605</v>
      </c>
      <c r="R122" s="1" t="s">
        <v>127</v>
      </c>
      <c r="S122" s="1" t="s">
        <v>606</v>
      </c>
      <c r="T122" s="1">
        <v>11</v>
      </c>
      <c r="U122" s="1">
        <v>2124</v>
      </c>
      <c r="V122" s="1" t="s">
        <v>169</v>
      </c>
      <c r="W122" s="1" t="s">
        <v>170</v>
      </c>
      <c r="X122" t="s">
        <v>1655</v>
      </c>
      <c r="Y122" t="s">
        <v>1656</v>
      </c>
      <c r="AA122" t="s">
        <v>68</v>
      </c>
      <c r="AB122" t="s">
        <v>1657</v>
      </c>
      <c r="AC122" t="s">
        <v>1658</v>
      </c>
      <c r="AD122" t="s">
        <v>1659</v>
      </c>
      <c r="AE122" t="s">
        <v>1380</v>
      </c>
      <c r="AF122" t="s">
        <v>73</v>
      </c>
      <c r="AG122" t="s">
        <v>1660</v>
      </c>
      <c r="AH122" t="s">
        <v>75</v>
      </c>
      <c r="AI122" t="s">
        <v>76</v>
      </c>
      <c r="AJ122" t="s">
        <v>77</v>
      </c>
      <c r="AK122" t="s">
        <v>669</v>
      </c>
      <c r="AL122" t="s">
        <v>615</v>
      </c>
      <c r="AM122" t="s">
        <v>616</v>
      </c>
      <c r="AN122" t="s">
        <v>81</v>
      </c>
      <c r="AO122" t="s">
        <v>82</v>
      </c>
      <c r="AP122" t="s">
        <v>83</v>
      </c>
      <c r="AQ122" s="3">
        <v>41255</v>
      </c>
      <c r="AR122">
        <v>141466</v>
      </c>
      <c r="AS122">
        <v>5368919</v>
      </c>
      <c r="AT122">
        <v>275</v>
      </c>
      <c r="AU122" t="s">
        <v>84</v>
      </c>
      <c r="AV122">
        <v>562</v>
      </c>
      <c r="AW122" t="s">
        <v>85</v>
      </c>
      <c r="AX122" t="s">
        <v>86</v>
      </c>
      <c r="AY122">
        <v>562</v>
      </c>
      <c r="AZ122" t="s">
        <v>1661</v>
      </c>
      <c r="BA122" t="s">
        <v>88</v>
      </c>
      <c r="BC122" t="s">
        <v>918</v>
      </c>
      <c r="BD122">
        <v>0</v>
      </c>
      <c r="BE122">
        <v>0</v>
      </c>
    </row>
    <row r="123" spans="1:57" hidden="1" x14ac:dyDescent="0.2">
      <c r="A123" t="s">
        <v>1662</v>
      </c>
      <c r="B123" t="s">
        <v>1663</v>
      </c>
      <c r="C123" t="s">
        <v>1664</v>
      </c>
      <c r="D123" t="s">
        <v>1665</v>
      </c>
      <c r="E123" t="s">
        <v>1665</v>
      </c>
      <c r="G123" t="s">
        <v>56</v>
      </c>
      <c r="H123" t="e">
        <v>#N/A</v>
      </c>
      <c r="I123" t="s">
        <v>58</v>
      </c>
      <c r="J123" t="e">
        <v>#N/A</v>
      </c>
      <c r="K123" t="s">
        <v>1654</v>
      </c>
      <c r="L123" t="s">
        <v>1654</v>
      </c>
      <c r="M123" t="s">
        <v>7165</v>
      </c>
      <c r="N123" t="s">
        <v>7165</v>
      </c>
      <c r="O123" s="1" t="s">
        <v>603</v>
      </c>
      <c r="P123" t="e">
        <v>#N/A</v>
      </c>
      <c r="Q123" s="1" t="e">
        <v>#N/A</v>
      </c>
      <c r="R123" s="1" t="e">
        <v>#N/A</v>
      </c>
      <c r="S123" s="1" t="e">
        <v>#N/A</v>
      </c>
      <c r="T123" s="1" t="e">
        <v>#N/A</v>
      </c>
      <c r="U123" s="1" t="e">
        <v>#N/A</v>
      </c>
      <c r="V123" s="1" t="e">
        <v>#N/A</v>
      </c>
      <c r="W123" s="1" t="e">
        <v>#N/A</v>
      </c>
      <c r="X123" t="s">
        <v>1666</v>
      </c>
      <c r="Y123" t="s">
        <v>1665</v>
      </c>
      <c r="AA123" t="s">
        <v>68</v>
      </c>
      <c r="AB123" t="s">
        <v>1667</v>
      </c>
      <c r="AC123" t="s">
        <v>1668</v>
      </c>
      <c r="AD123" t="s">
        <v>1669</v>
      </c>
      <c r="AE123" t="s">
        <v>1482</v>
      </c>
      <c r="AF123" t="s">
        <v>73</v>
      </c>
      <c r="AG123" t="s">
        <v>1670</v>
      </c>
      <c r="AH123" t="s">
        <v>75</v>
      </c>
      <c r="AI123" t="s">
        <v>76</v>
      </c>
      <c r="AJ123" t="s">
        <v>77</v>
      </c>
      <c r="AK123" t="s">
        <v>1335</v>
      </c>
      <c r="AL123" t="s">
        <v>615</v>
      </c>
      <c r="AM123" t="s">
        <v>616</v>
      </c>
      <c r="AN123" t="s">
        <v>81</v>
      </c>
      <c r="AO123" t="s">
        <v>82</v>
      </c>
      <c r="AP123" t="s">
        <v>83</v>
      </c>
      <c r="AQ123" s="3">
        <v>41255</v>
      </c>
      <c r="AR123">
        <v>114765</v>
      </c>
      <c r="AS123">
        <v>5343251</v>
      </c>
      <c r="AT123">
        <v>292</v>
      </c>
      <c r="AU123" t="s">
        <v>84</v>
      </c>
      <c r="AV123">
        <v>562</v>
      </c>
      <c r="AW123" t="s">
        <v>85</v>
      </c>
      <c r="AX123" t="s">
        <v>86</v>
      </c>
      <c r="AY123">
        <v>562</v>
      </c>
      <c r="AZ123" t="s">
        <v>1671</v>
      </c>
      <c r="BA123" t="s">
        <v>88</v>
      </c>
      <c r="BC123" t="s">
        <v>918</v>
      </c>
      <c r="BD123">
        <v>0</v>
      </c>
      <c r="BE123">
        <v>0</v>
      </c>
    </row>
    <row r="124" spans="1:57" hidden="1" x14ac:dyDescent="0.2">
      <c r="A124" t="s">
        <v>1672</v>
      </c>
      <c r="B124" t="s">
        <v>1673</v>
      </c>
      <c r="C124" t="s">
        <v>1674</v>
      </c>
      <c r="D124" t="s">
        <v>1675</v>
      </c>
      <c r="E124" t="s">
        <v>1675</v>
      </c>
      <c r="G124" t="s">
        <v>56</v>
      </c>
      <c r="H124" t="e">
        <v>#N/A</v>
      </c>
      <c r="I124" t="s">
        <v>58</v>
      </c>
      <c r="J124" t="e">
        <v>#N/A</v>
      </c>
      <c r="K124" t="s">
        <v>1654</v>
      </c>
      <c r="L124" t="s">
        <v>1654</v>
      </c>
      <c r="M124" t="s">
        <v>7165</v>
      </c>
      <c r="N124" t="s">
        <v>7165</v>
      </c>
      <c r="O124" s="1" t="s">
        <v>603</v>
      </c>
      <c r="P124" t="e">
        <v>#N/A</v>
      </c>
      <c r="Q124" s="1" t="e">
        <v>#N/A</v>
      </c>
      <c r="R124" s="1" t="e">
        <v>#N/A</v>
      </c>
      <c r="S124" s="1" t="e">
        <v>#N/A</v>
      </c>
      <c r="T124" s="1" t="e">
        <v>#N/A</v>
      </c>
      <c r="U124" s="1" t="e">
        <v>#N/A</v>
      </c>
      <c r="V124" s="1" t="e">
        <v>#N/A</v>
      </c>
      <c r="W124" s="1" t="e">
        <v>#N/A</v>
      </c>
      <c r="X124" t="s">
        <v>1676</v>
      </c>
      <c r="Y124" t="s">
        <v>1675</v>
      </c>
      <c r="AA124" t="s">
        <v>68</v>
      </c>
      <c r="AB124" t="s">
        <v>1677</v>
      </c>
      <c r="AC124" t="s">
        <v>1678</v>
      </c>
      <c r="AD124" t="s">
        <v>1679</v>
      </c>
      <c r="AE124" t="s">
        <v>1369</v>
      </c>
      <c r="AF124" t="s">
        <v>73</v>
      </c>
      <c r="AG124" t="s">
        <v>1680</v>
      </c>
      <c r="AH124" t="s">
        <v>75</v>
      </c>
      <c r="AI124" t="s">
        <v>76</v>
      </c>
      <c r="AJ124" t="s">
        <v>77</v>
      </c>
      <c r="AK124" t="s">
        <v>929</v>
      </c>
      <c r="AL124" t="s">
        <v>615</v>
      </c>
      <c r="AM124" t="s">
        <v>616</v>
      </c>
      <c r="AN124" t="s">
        <v>81</v>
      </c>
      <c r="AO124" t="s">
        <v>82</v>
      </c>
      <c r="AP124" t="s">
        <v>83</v>
      </c>
      <c r="AQ124" s="3">
        <v>41255</v>
      </c>
      <c r="AR124">
        <v>145406</v>
      </c>
      <c r="AS124">
        <v>5371451</v>
      </c>
      <c r="AT124">
        <v>255</v>
      </c>
      <c r="AU124" t="s">
        <v>84</v>
      </c>
      <c r="AV124">
        <v>562</v>
      </c>
      <c r="AW124" t="s">
        <v>85</v>
      </c>
      <c r="AX124" t="s">
        <v>86</v>
      </c>
      <c r="AY124">
        <v>562</v>
      </c>
      <c r="AZ124" t="s">
        <v>1681</v>
      </c>
      <c r="BA124" t="s">
        <v>88</v>
      </c>
      <c r="BC124" t="s">
        <v>918</v>
      </c>
      <c r="BD124">
        <v>0</v>
      </c>
      <c r="BE124">
        <v>0</v>
      </c>
    </row>
    <row r="125" spans="1:57" hidden="1" x14ac:dyDescent="0.2">
      <c r="A125" t="s">
        <v>1682</v>
      </c>
      <c r="B125" t="s">
        <v>1683</v>
      </c>
      <c r="C125" t="s">
        <v>1684</v>
      </c>
      <c r="D125" t="s">
        <v>1685</v>
      </c>
      <c r="E125" t="s">
        <v>1685</v>
      </c>
      <c r="G125" t="s">
        <v>56</v>
      </c>
      <c r="H125" t="e">
        <v>#N/A</v>
      </c>
      <c r="I125" t="s">
        <v>58</v>
      </c>
      <c r="J125" t="e">
        <v>#N/A</v>
      </c>
      <c r="K125" t="s">
        <v>1654</v>
      </c>
      <c r="L125" t="s">
        <v>1654</v>
      </c>
      <c r="M125" t="s">
        <v>7165</v>
      </c>
      <c r="N125" t="s">
        <v>7165</v>
      </c>
      <c r="O125" s="1" t="s">
        <v>603</v>
      </c>
      <c r="P125" t="e">
        <v>#N/A</v>
      </c>
      <c r="Q125" s="1" t="e">
        <v>#N/A</v>
      </c>
      <c r="R125" s="1" t="e">
        <v>#N/A</v>
      </c>
      <c r="S125" s="1" t="e">
        <v>#N/A</v>
      </c>
      <c r="T125" s="1" t="e">
        <v>#N/A</v>
      </c>
      <c r="U125" s="1" t="e">
        <v>#N/A</v>
      </c>
      <c r="V125" s="1" t="e">
        <v>#N/A</v>
      </c>
      <c r="W125" s="1" t="e">
        <v>#N/A</v>
      </c>
      <c r="X125" t="s">
        <v>1686</v>
      </c>
      <c r="Y125" t="s">
        <v>1685</v>
      </c>
      <c r="AA125" t="s">
        <v>68</v>
      </c>
      <c r="AB125" t="s">
        <v>1687</v>
      </c>
      <c r="AC125" t="s">
        <v>1688</v>
      </c>
      <c r="AD125" t="s">
        <v>1689</v>
      </c>
      <c r="AE125" t="s">
        <v>1357</v>
      </c>
      <c r="AF125" t="s">
        <v>73</v>
      </c>
      <c r="AG125" t="s">
        <v>1690</v>
      </c>
      <c r="AH125" t="s">
        <v>75</v>
      </c>
      <c r="AI125" t="s">
        <v>76</v>
      </c>
      <c r="AJ125" t="s">
        <v>77</v>
      </c>
      <c r="AK125" t="s">
        <v>630</v>
      </c>
      <c r="AL125" t="s">
        <v>615</v>
      </c>
      <c r="AM125" t="s">
        <v>616</v>
      </c>
      <c r="AN125" t="s">
        <v>81</v>
      </c>
      <c r="AO125" t="s">
        <v>82</v>
      </c>
      <c r="AP125" t="s">
        <v>83</v>
      </c>
      <c r="AQ125" s="3">
        <v>41255</v>
      </c>
      <c r="AR125">
        <v>147538</v>
      </c>
      <c r="AS125">
        <v>5357967</v>
      </c>
      <c r="AT125">
        <v>259</v>
      </c>
      <c r="AU125" t="s">
        <v>84</v>
      </c>
      <c r="AV125">
        <v>562</v>
      </c>
      <c r="AW125" t="s">
        <v>85</v>
      </c>
      <c r="AX125" t="s">
        <v>86</v>
      </c>
      <c r="AY125">
        <v>562</v>
      </c>
      <c r="AZ125" t="s">
        <v>1691</v>
      </c>
      <c r="BA125" t="s">
        <v>88</v>
      </c>
      <c r="BC125" t="s">
        <v>918</v>
      </c>
      <c r="BD125">
        <v>1</v>
      </c>
      <c r="BE125">
        <v>1</v>
      </c>
    </row>
    <row r="126" spans="1:57" hidden="1" x14ac:dyDescent="0.2">
      <c r="A126" t="s">
        <v>1692</v>
      </c>
      <c r="B126" t="s">
        <v>1693</v>
      </c>
      <c r="C126" t="s">
        <v>1694</v>
      </c>
      <c r="D126" t="s">
        <v>1695</v>
      </c>
      <c r="E126" t="s">
        <v>1695</v>
      </c>
      <c r="G126" t="s">
        <v>56</v>
      </c>
      <c r="H126" t="e">
        <v>#N/A</v>
      </c>
      <c r="I126" t="s">
        <v>58</v>
      </c>
      <c r="J126" t="e">
        <v>#N/A</v>
      </c>
      <c r="K126" t="s">
        <v>1696</v>
      </c>
      <c r="L126" t="s">
        <v>1696</v>
      </c>
      <c r="M126" t="s">
        <v>7165</v>
      </c>
      <c r="N126" t="s">
        <v>7165</v>
      </c>
      <c r="O126" s="1" t="s">
        <v>603</v>
      </c>
      <c r="P126" t="e">
        <v>#N/A</v>
      </c>
      <c r="Q126" s="1" t="e">
        <v>#N/A</v>
      </c>
      <c r="R126" s="1" t="e">
        <v>#N/A</v>
      </c>
      <c r="S126" s="1" t="e">
        <v>#N/A</v>
      </c>
      <c r="T126" s="1" t="e">
        <v>#N/A</v>
      </c>
      <c r="U126" s="1" t="e">
        <v>#N/A</v>
      </c>
      <c r="V126" s="1" t="e">
        <v>#N/A</v>
      </c>
      <c r="W126" s="1" t="e">
        <v>#N/A</v>
      </c>
      <c r="X126" t="s">
        <v>1697</v>
      </c>
      <c r="Y126" t="s">
        <v>1695</v>
      </c>
      <c r="AA126" t="s">
        <v>68</v>
      </c>
      <c r="AB126" t="s">
        <v>1698</v>
      </c>
      <c r="AC126" t="s">
        <v>1699</v>
      </c>
      <c r="AD126" t="s">
        <v>1700</v>
      </c>
      <c r="AE126" t="s">
        <v>1346</v>
      </c>
      <c r="AF126" t="s">
        <v>73</v>
      </c>
      <c r="AG126" t="s">
        <v>1701</v>
      </c>
      <c r="AH126" t="s">
        <v>75</v>
      </c>
      <c r="AI126" t="s">
        <v>76</v>
      </c>
      <c r="AJ126" t="s">
        <v>77</v>
      </c>
      <c r="AK126" t="s">
        <v>780</v>
      </c>
      <c r="AL126" t="s">
        <v>615</v>
      </c>
      <c r="AM126" t="s">
        <v>616</v>
      </c>
      <c r="AN126" t="s">
        <v>81</v>
      </c>
      <c r="AO126" t="s">
        <v>82</v>
      </c>
      <c r="AP126" t="s">
        <v>83</v>
      </c>
      <c r="AQ126" s="3">
        <v>41323</v>
      </c>
      <c r="AR126">
        <v>148116</v>
      </c>
      <c r="AS126">
        <v>5385783</v>
      </c>
      <c r="AT126">
        <v>224</v>
      </c>
      <c r="AU126" t="s">
        <v>84</v>
      </c>
      <c r="AV126">
        <v>562</v>
      </c>
      <c r="AW126" t="s">
        <v>85</v>
      </c>
      <c r="AX126" t="s">
        <v>86</v>
      </c>
      <c r="AY126">
        <v>562</v>
      </c>
      <c r="AZ126" t="s">
        <v>1702</v>
      </c>
      <c r="BA126" t="s">
        <v>88</v>
      </c>
      <c r="BC126" t="s">
        <v>841</v>
      </c>
      <c r="BD126">
        <v>0</v>
      </c>
      <c r="BE126">
        <v>0</v>
      </c>
    </row>
    <row r="127" spans="1:57" hidden="1" x14ac:dyDescent="0.2">
      <c r="A127" t="s">
        <v>1703</v>
      </c>
      <c r="B127" t="s">
        <v>1704</v>
      </c>
      <c r="C127" t="s">
        <v>1705</v>
      </c>
      <c r="D127" t="s">
        <v>1706</v>
      </c>
      <c r="E127" t="s">
        <v>1706</v>
      </c>
      <c r="G127" t="s">
        <v>56</v>
      </c>
      <c r="H127" t="e">
        <v>#N/A</v>
      </c>
      <c r="I127" t="s">
        <v>58</v>
      </c>
      <c r="J127" t="e">
        <v>#N/A</v>
      </c>
      <c r="K127" t="s">
        <v>1696</v>
      </c>
      <c r="L127" t="s">
        <v>1696</v>
      </c>
      <c r="M127" t="s">
        <v>7165</v>
      </c>
      <c r="N127" t="s">
        <v>7165</v>
      </c>
      <c r="O127" s="1" t="s">
        <v>603</v>
      </c>
      <c r="P127" t="e">
        <v>#N/A</v>
      </c>
      <c r="Q127" s="1" t="e">
        <v>#N/A</v>
      </c>
      <c r="R127" s="1" t="e">
        <v>#N/A</v>
      </c>
      <c r="S127" s="1" t="e">
        <v>#N/A</v>
      </c>
      <c r="T127" s="1" t="e">
        <v>#N/A</v>
      </c>
      <c r="U127" s="1" t="e">
        <v>#N/A</v>
      </c>
      <c r="V127" s="1" t="e">
        <v>#N/A</v>
      </c>
      <c r="W127" s="1" t="e">
        <v>#N/A</v>
      </c>
      <c r="X127" t="s">
        <v>1707</v>
      </c>
      <c r="Y127" t="s">
        <v>1706</v>
      </c>
      <c r="AA127" t="s">
        <v>68</v>
      </c>
      <c r="AB127" t="s">
        <v>1708</v>
      </c>
      <c r="AC127" t="s">
        <v>1709</v>
      </c>
      <c r="AD127" t="s">
        <v>1710</v>
      </c>
      <c r="AE127" t="s">
        <v>1448</v>
      </c>
      <c r="AF127" t="s">
        <v>73</v>
      </c>
      <c r="AG127" t="s">
        <v>1711</v>
      </c>
      <c r="AH127" t="s">
        <v>75</v>
      </c>
      <c r="AI127" t="s">
        <v>76</v>
      </c>
      <c r="AJ127" t="s">
        <v>77</v>
      </c>
      <c r="AK127" t="s">
        <v>792</v>
      </c>
      <c r="AL127" t="s">
        <v>615</v>
      </c>
      <c r="AM127" t="s">
        <v>616</v>
      </c>
      <c r="AN127" t="s">
        <v>81</v>
      </c>
      <c r="AO127" t="s">
        <v>82</v>
      </c>
      <c r="AP127" t="s">
        <v>83</v>
      </c>
      <c r="AQ127" s="3">
        <v>41331</v>
      </c>
      <c r="AR127">
        <v>181511</v>
      </c>
      <c r="AS127">
        <v>5412491</v>
      </c>
      <c r="AT127">
        <v>184</v>
      </c>
      <c r="AU127" t="s">
        <v>84</v>
      </c>
      <c r="AV127">
        <v>562</v>
      </c>
      <c r="AW127" t="s">
        <v>85</v>
      </c>
      <c r="AX127" t="s">
        <v>86</v>
      </c>
      <c r="AY127">
        <v>562</v>
      </c>
      <c r="AZ127" t="s">
        <v>1712</v>
      </c>
      <c r="BA127" t="s">
        <v>88</v>
      </c>
      <c r="BC127" t="s">
        <v>841</v>
      </c>
      <c r="BD127">
        <v>0</v>
      </c>
      <c r="BE127">
        <v>0</v>
      </c>
    </row>
    <row r="128" spans="1:57" hidden="1" x14ac:dyDescent="0.2">
      <c r="A128" t="s">
        <v>1713</v>
      </c>
      <c r="B128" t="s">
        <v>1714</v>
      </c>
      <c r="C128" t="s">
        <v>1715</v>
      </c>
      <c r="D128" t="s">
        <v>1716</v>
      </c>
      <c r="E128" t="s">
        <v>1716</v>
      </c>
      <c r="G128" t="s">
        <v>56</v>
      </c>
      <c r="H128" t="e">
        <v>#N/A</v>
      </c>
      <c r="I128" t="s">
        <v>58</v>
      </c>
      <c r="J128" t="e">
        <v>#N/A</v>
      </c>
      <c r="K128" t="s">
        <v>1696</v>
      </c>
      <c r="L128" t="s">
        <v>1696</v>
      </c>
      <c r="M128" t="s">
        <v>7165</v>
      </c>
      <c r="N128" t="s">
        <v>7165</v>
      </c>
      <c r="O128" s="1" t="s">
        <v>603</v>
      </c>
      <c r="P128" t="e">
        <v>#N/A</v>
      </c>
      <c r="Q128" s="1" t="e">
        <v>#N/A</v>
      </c>
      <c r="R128" s="1" t="e">
        <v>#N/A</v>
      </c>
      <c r="S128" s="1" t="e">
        <v>#N/A</v>
      </c>
      <c r="T128" s="1" t="e">
        <v>#N/A</v>
      </c>
      <c r="U128" s="1" t="e">
        <v>#N/A</v>
      </c>
      <c r="V128" s="1" t="e">
        <v>#N/A</v>
      </c>
      <c r="W128" s="1" t="e">
        <v>#N/A</v>
      </c>
      <c r="X128" t="s">
        <v>1717</v>
      </c>
      <c r="Y128" t="s">
        <v>1716</v>
      </c>
      <c r="AA128" t="s">
        <v>68</v>
      </c>
      <c r="AB128" t="s">
        <v>1718</v>
      </c>
      <c r="AC128" t="s">
        <v>1719</v>
      </c>
      <c r="AD128" t="s">
        <v>1720</v>
      </c>
      <c r="AE128" t="s">
        <v>1369</v>
      </c>
      <c r="AF128" t="s">
        <v>73</v>
      </c>
      <c r="AG128" t="s">
        <v>1721</v>
      </c>
      <c r="AH128" t="s">
        <v>75</v>
      </c>
      <c r="AI128" t="s">
        <v>76</v>
      </c>
      <c r="AJ128" t="s">
        <v>77</v>
      </c>
      <c r="AK128" t="s">
        <v>929</v>
      </c>
      <c r="AL128" t="s">
        <v>615</v>
      </c>
      <c r="AM128" t="s">
        <v>616</v>
      </c>
      <c r="AN128" t="s">
        <v>81</v>
      </c>
      <c r="AO128" t="s">
        <v>82</v>
      </c>
      <c r="AP128" t="s">
        <v>83</v>
      </c>
      <c r="AQ128" s="3">
        <v>41259</v>
      </c>
      <c r="AR128">
        <v>149177</v>
      </c>
      <c r="AS128">
        <v>5347237</v>
      </c>
      <c r="AT128">
        <v>254</v>
      </c>
      <c r="AU128" t="s">
        <v>84</v>
      </c>
      <c r="AV128">
        <v>562</v>
      </c>
      <c r="AW128" t="s">
        <v>85</v>
      </c>
      <c r="AX128" t="s">
        <v>86</v>
      </c>
      <c r="AY128">
        <v>562</v>
      </c>
      <c r="AZ128" t="s">
        <v>1722</v>
      </c>
      <c r="BA128" t="s">
        <v>88</v>
      </c>
      <c r="BC128" t="s">
        <v>841</v>
      </c>
      <c r="BD128">
        <v>35</v>
      </c>
      <c r="BE128">
        <v>18</v>
      </c>
    </row>
    <row r="129" spans="1:57" hidden="1" x14ac:dyDescent="0.2">
      <c r="A129" t="s">
        <v>1723</v>
      </c>
      <c r="B129" t="s">
        <v>1724</v>
      </c>
      <c r="C129" t="s">
        <v>1725</v>
      </c>
      <c r="D129" t="s">
        <v>1726</v>
      </c>
      <c r="E129" t="s">
        <v>1726</v>
      </c>
      <c r="G129" t="s">
        <v>56</v>
      </c>
      <c r="H129" t="e">
        <v>#N/A</v>
      </c>
      <c r="I129" t="s">
        <v>58</v>
      </c>
      <c r="J129" t="e">
        <v>#N/A</v>
      </c>
      <c r="K129" t="s">
        <v>1696</v>
      </c>
      <c r="L129" t="s">
        <v>1696</v>
      </c>
      <c r="M129" t="s">
        <v>7165</v>
      </c>
      <c r="N129" t="s">
        <v>7165</v>
      </c>
      <c r="O129" s="1" t="s">
        <v>603</v>
      </c>
      <c r="P129" t="e">
        <v>#N/A</v>
      </c>
      <c r="Q129" s="1" t="e">
        <v>#N/A</v>
      </c>
      <c r="R129" s="1" t="e">
        <v>#N/A</v>
      </c>
      <c r="S129" s="1" t="e">
        <v>#N/A</v>
      </c>
      <c r="T129" s="1" t="e">
        <v>#N/A</v>
      </c>
      <c r="U129" s="1" t="e">
        <v>#N/A</v>
      </c>
      <c r="V129" s="1" t="e">
        <v>#N/A</v>
      </c>
      <c r="W129" s="1" t="e">
        <v>#N/A</v>
      </c>
      <c r="X129" t="s">
        <v>1727</v>
      </c>
      <c r="Y129" t="s">
        <v>1726</v>
      </c>
      <c r="AA129" t="s">
        <v>68</v>
      </c>
      <c r="AB129" t="s">
        <v>1728</v>
      </c>
      <c r="AC129" t="s">
        <v>1729</v>
      </c>
      <c r="AD129" t="s">
        <v>1730</v>
      </c>
      <c r="AE129" t="s">
        <v>1369</v>
      </c>
      <c r="AF129" t="s">
        <v>73</v>
      </c>
      <c r="AG129" t="s">
        <v>1731</v>
      </c>
      <c r="AH129" t="s">
        <v>75</v>
      </c>
      <c r="AI129" t="s">
        <v>76</v>
      </c>
      <c r="AJ129" t="s">
        <v>77</v>
      </c>
      <c r="AK129" t="s">
        <v>792</v>
      </c>
      <c r="AL129" t="s">
        <v>615</v>
      </c>
      <c r="AM129" t="s">
        <v>616</v>
      </c>
      <c r="AN129" t="s">
        <v>81</v>
      </c>
      <c r="AO129" t="s">
        <v>82</v>
      </c>
      <c r="AP129" t="s">
        <v>83</v>
      </c>
      <c r="AQ129" s="3">
        <v>41323</v>
      </c>
      <c r="AR129">
        <v>148116</v>
      </c>
      <c r="AS129">
        <v>5407805</v>
      </c>
      <c r="AT129">
        <v>210</v>
      </c>
      <c r="AU129" t="s">
        <v>84</v>
      </c>
      <c r="AV129">
        <v>562</v>
      </c>
      <c r="AW129" t="s">
        <v>85</v>
      </c>
      <c r="AX129" t="s">
        <v>86</v>
      </c>
      <c r="AY129">
        <v>562</v>
      </c>
      <c r="AZ129" t="s">
        <v>1732</v>
      </c>
      <c r="BA129" t="s">
        <v>88</v>
      </c>
      <c r="BC129" t="s">
        <v>841</v>
      </c>
      <c r="BD129">
        <v>0</v>
      </c>
      <c r="BE129">
        <v>0</v>
      </c>
    </row>
    <row r="130" spans="1:57" hidden="1" x14ac:dyDescent="0.2">
      <c r="A130" t="s">
        <v>1733</v>
      </c>
      <c r="B130" t="s">
        <v>1734</v>
      </c>
      <c r="C130" t="s">
        <v>1735</v>
      </c>
      <c r="D130" t="s">
        <v>1736</v>
      </c>
      <c r="E130" t="s">
        <v>1736</v>
      </c>
      <c r="G130" t="s">
        <v>56</v>
      </c>
      <c r="H130" t="s">
        <v>57</v>
      </c>
      <c r="I130" t="s">
        <v>58</v>
      </c>
      <c r="J130" t="e">
        <v>#N/A</v>
      </c>
      <c r="K130" t="s">
        <v>1737</v>
      </c>
      <c r="L130" t="s">
        <v>1737</v>
      </c>
      <c r="M130" t="s">
        <v>7165</v>
      </c>
      <c r="N130" t="s">
        <v>7165</v>
      </c>
      <c r="O130" s="1" t="s">
        <v>603</v>
      </c>
      <c r="P130" t="s">
        <v>649</v>
      </c>
      <c r="Q130" s="1" t="s">
        <v>605</v>
      </c>
      <c r="R130" s="1" t="s">
        <v>127</v>
      </c>
      <c r="S130" s="1" t="s">
        <v>606</v>
      </c>
      <c r="T130" s="1">
        <v>11</v>
      </c>
      <c r="U130" s="1">
        <v>2124</v>
      </c>
      <c r="V130" s="1" t="s">
        <v>169</v>
      </c>
      <c r="W130" s="1" t="s">
        <v>170</v>
      </c>
      <c r="X130" t="s">
        <v>1738</v>
      </c>
      <c r="Y130" t="s">
        <v>1739</v>
      </c>
      <c r="AA130" t="s">
        <v>68</v>
      </c>
      <c r="AB130" t="s">
        <v>1740</v>
      </c>
      <c r="AC130" t="s">
        <v>1741</v>
      </c>
      <c r="AD130" t="s">
        <v>1742</v>
      </c>
      <c r="AE130" t="s">
        <v>1333</v>
      </c>
      <c r="AF130" t="s">
        <v>73</v>
      </c>
      <c r="AG130" t="s">
        <v>1743</v>
      </c>
      <c r="AH130" t="s">
        <v>75</v>
      </c>
      <c r="AI130" t="s">
        <v>76</v>
      </c>
      <c r="AJ130" t="s">
        <v>77</v>
      </c>
      <c r="AK130" t="s">
        <v>669</v>
      </c>
      <c r="AL130" t="s">
        <v>615</v>
      </c>
      <c r="AM130" t="s">
        <v>616</v>
      </c>
      <c r="AN130" t="s">
        <v>81</v>
      </c>
      <c r="AO130" t="s">
        <v>82</v>
      </c>
      <c r="AP130" t="s">
        <v>83</v>
      </c>
      <c r="AQ130" s="3">
        <v>41259</v>
      </c>
      <c r="AR130">
        <v>131631</v>
      </c>
      <c r="AS130">
        <v>5297328</v>
      </c>
      <c r="AT130">
        <v>247</v>
      </c>
      <c r="AU130" t="s">
        <v>84</v>
      </c>
      <c r="AV130">
        <v>562</v>
      </c>
      <c r="AW130" t="s">
        <v>85</v>
      </c>
      <c r="AX130" t="s">
        <v>86</v>
      </c>
      <c r="AY130">
        <v>562</v>
      </c>
      <c r="AZ130" t="s">
        <v>1744</v>
      </c>
      <c r="BA130" t="s">
        <v>88</v>
      </c>
      <c r="BC130" t="s">
        <v>659</v>
      </c>
      <c r="BD130">
        <v>0</v>
      </c>
      <c r="BE130">
        <v>1</v>
      </c>
    </row>
    <row r="131" spans="1:57" hidden="1" x14ac:dyDescent="0.2">
      <c r="A131" t="s">
        <v>1745</v>
      </c>
      <c r="B131" t="s">
        <v>1746</v>
      </c>
      <c r="C131" t="s">
        <v>1747</v>
      </c>
      <c r="D131" t="s">
        <v>1748</v>
      </c>
      <c r="E131" t="s">
        <v>1748</v>
      </c>
      <c r="G131" t="s">
        <v>56</v>
      </c>
      <c r="H131" t="e">
        <v>#N/A</v>
      </c>
      <c r="I131" t="s">
        <v>58</v>
      </c>
      <c r="J131" t="e">
        <v>#N/A</v>
      </c>
      <c r="K131" t="s">
        <v>1696</v>
      </c>
      <c r="L131" t="s">
        <v>1696</v>
      </c>
      <c r="M131" t="s">
        <v>7165</v>
      </c>
      <c r="N131" t="s">
        <v>7165</v>
      </c>
      <c r="O131" s="1" t="s">
        <v>603</v>
      </c>
      <c r="P131" t="e">
        <v>#N/A</v>
      </c>
      <c r="Q131" s="1" t="e">
        <v>#N/A</v>
      </c>
      <c r="R131" s="1" t="e">
        <v>#N/A</v>
      </c>
      <c r="S131" s="1" t="e">
        <v>#N/A</v>
      </c>
      <c r="T131" s="1" t="e">
        <v>#N/A</v>
      </c>
      <c r="U131" s="1" t="e">
        <v>#N/A</v>
      </c>
      <c r="V131" s="1" t="e">
        <v>#N/A</v>
      </c>
      <c r="W131" s="1" t="e">
        <v>#N/A</v>
      </c>
      <c r="X131" t="s">
        <v>1749</v>
      </c>
      <c r="Y131" t="s">
        <v>1748</v>
      </c>
      <c r="AA131" t="s">
        <v>68</v>
      </c>
      <c r="AB131" t="s">
        <v>1750</v>
      </c>
      <c r="AC131" t="s">
        <v>1751</v>
      </c>
      <c r="AD131" t="s">
        <v>1752</v>
      </c>
      <c r="AE131" t="s">
        <v>1482</v>
      </c>
      <c r="AF131" t="s">
        <v>73</v>
      </c>
      <c r="AG131" t="s">
        <v>1753</v>
      </c>
      <c r="AH131" t="s">
        <v>75</v>
      </c>
      <c r="AI131" t="s">
        <v>76</v>
      </c>
      <c r="AJ131" t="s">
        <v>77</v>
      </c>
      <c r="AK131" t="s">
        <v>669</v>
      </c>
      <c r="AL131" t="s">
        <v>615</v>
      </c>
      <c r="AM131" t="s">
        <v>616</v>
      </c>
      <c r="AN131" t="s">
        <v>81</v>
      </c>
      <c r="AO131" t="s">
        <v>82</v>
      </c>
      <c r="AP131" t="s">
        <v>83</v>
      </c>
      <c r="AQ131" s="3">
        <v>41259</v>
      </c>
      <c r="AR131">
        <v>124172</v>
      </c>
      <c r="AS131">
        <v>5326282</v>
      </c>
      <c r="AT131">
        <v>205</v>
      </c>
      <c r="AU131" t="s">
        <v>84</v>
      </c>
      <c r="AV131">
        <v>562</v>
      </c>
      <c r="AW131" t="s">
        <v>85</v>
      </c>
      <c r="AX131" t="s">
        <v>86</v>
      </c>
      <c r="AY131">
        <v>562</v>
      </c>
      <c r="AZ131" t="s">
        <v>1754</v>
      </c>
      <c r="BA131" t="s">
        <v>88</v>
      </c>
      <c r="BC131" t="s">
        <v>659</v>
      </c>
      <c r="BD131">
        <v>0</v>
      </c>
      <c r="BE131">
        <v>1</v>
      </c>
    </row>
    <row r="132" spans="1:57" hidden="1" x14ac:dyDescent="0.2">
      <c r="A132" t="s">
        <v>1755</v>
      </c>
      <c r="B132" t="s">
        <v>1756</v>
      </c>
      <c r="C132" t="s">
        <v>1757</v>
      </c>
      <c r="D132" t="s">
        <v>1758</v>
      </c>
      <c r="E132" t="s">
        <v>1758</v>
      </c>
      <c r="G132" t="s">
        <v>56</v>
      </c>
      <c r="H132" t="e">
        <v>#N/A</v>
      </c>
      <c r="I132" t="s">
        <v>58</v>
      </c>
      <c r="J132" t="e">
        <v>#N/A</v>
      </c>
      <c r="K132" t="s">
        <v>1696</v>
      </c>
      <c r="L132" t="s">
        <v>1696</v>
      </c>
      <c r="M132" t="s">
        <v>7165</v>
      </c>
      <c r="N132" t="s">
        <v>7169</v>
      </c>
      <c r="O132" s="1" t="s">
        <v>603</v>
      </c>
      <c r="P132" t="e">
        <v>#N/A</v>
      </c>
      <c r="Q132" s="1" t="e">
        <v>#N/A</v>
      </c>
      <c r="R132" s="1" t="e">
        <v>#N/A</v>
      </c>
      <c r="S132" s="1" t="e">
        <v>#N/A</v>
      </c>
      <c r="T132" s="1" t="e">
        <v>#N/A</v>
      </c>
      <c r="U132" s="1" t="e">
        <v>#N/A</v>
      </c>
      <c r="V132" s="1" t="e">
        <v>#N/A</v>
      </c>
      <c r="W132" s="1" t="e">
        <v>#N/A</v>
      </c>
      <c r="X132" t="s">
        <v>1759</v>
      </c>
      <c r="Y132" t="s">
        <v>1758</v>
      </c>
      <c r="AA132" t="s">
        <v>68</v>
      </c>
      <c r="AB132" t="s">
        <v>1760</v>
      </c>
      <c r="AC132" t="s">
        <v>1761</v>
      </c>
      <c r="AD132" t="s">
        <v>1762</v>
      </c>
      <c r="AE132" t="s">
        <v>1357</v>
      </c>
      <c r="AF132" t="s">
        <v>73</v>
      </c>
      <c r="AG132" t="s">
        <v>1763</v>
      </c>
      <c r="AH132" t="s">
        <v>75</v>
      </c>
      <c r="AI132" t="s">
        <v>76</v>
      </c>
      <c r="AJ132" t="s">
        <v>77</v>
      </c>
      <c r="AK132" t="s">
        <v>1764</v>
      </c>
      <c r="AL132" t="s">
        <v>615</v>
      </c>
      <c r="AM132" t="s">
        <v>616</v>
      </c>
      <c r="AN132" t="s">
        <v>81</v>
      </c>
      <c r="AO132" t="s">
        <v>82</v>
      </c>
      <c r="AP132" t="s">
        <v>83</v>
      </c>
      <c r="AQ132" s="3">
        <v>41336</v>
      </c>
      <c r="AR132">
        <v>33824</v>
      </c>
      <c r="AS132">
        <v>5310625</v>
      </c>
      <c r="AT132">
        <v>479</v>
      </c>
      <c r="AU132" t="s">
        <v>84</v>
      </c>
      <c r="AV132">
        <v>562</v>
      </c>
      <c r="AW132" t="s">
        <v>85</v>
      </c>
      <c r="AX132" t="s">
        <v>86</v>
      </c>
      <c r="AY132">
        <v>562</v>
      </c>
      <c r="AZ132" t="s">
        <v>1765</v>
      </c>
      <c r="BA132" t="s">
        <v>88</v>
      </c>
      <c r="BC132" t="s">
        <v>841</v>
      </c>
      <c r="BD132">
        <v>5</v>
      </c>
      <c r="BE132">
        <v>5</v>
      </c>
    </row>
    <row r="133" spans="1:57" hidden="1" x14ac:dyDescent="0.2">
      <c r="A133" t="s">
        <v>1766</v>
      </c>
      <c r="B133" t="s">
        <v>1767</v>
      </c>
      <c r="C133" t="s">
        <v>1768</v>
      </c>
      <c r="D133" t="s">
        <v>1769</v>
      </c>
      <c r="E133" t="s">
        <v>1769</v>
      </c>
      <c r="G133" t="s">
        <v>56</v>
      </c>
      <c r="H133" t="e">
        <v>#N/A</v>
      </c>
      <c r="I133" t="s">
        <v>58</v>
      </c>
      <c r="J133" t="e">
        <v>#N/A</v>
      </c>
      <c r="K133" t="s">
        <v>1696</v>
      </c>
      <c r="L133" t="s">
        <v>1696</v>
      </c>
      <c r="M133" t="s">
        <v>7165</v>
      </c>
      <c r="N133" t="s">
        <v>7165</v>
      </c>
      <c r="O133" s="1" t="s">
        <v>603</v>
      </c>
      <c r="P133" t="e">
        <v>#N/A</v>
      </c>
      <c r="Q133" s="1" t="e">
        <v>#N/A</v>
      </c>
      <c r="R133" s="1" t="e">
        <v>#N/A</v>
      </c>
      <c r="S133" s="1" t="e">
        <v>#N/A</v>
      </c>
      <c r="T133" s="1" t="e">
        <v>#N/A</v>
      </c>
      <c r="U133" s="1" t="e">
        <v>#N/A</v>
      </c>
      <c r="V133" s="1" t="e">
        <v>#N/A</v>
      </c>
      <c r="W133" s="1" t="e">
        <v>#N/A</v>
      </c>
      <c r="X133" t="s">
        <v>1770</v>
      </c>
      <c r="Y133" t="s">
        <v>1769</v>
      </c>
      <c r="AA133" t="s">
        <v>68</v>
      </c>
      <c r="AB133" t="s">
        <v>1771</v>
      </c>
      <c r="AC133" t="s">
        <v>1772</v>
      </c>
      <c r="AD133" t="s">
        <v>1773</v>
      </c>
      <c r="AE133" t="s">
        <v>1346</v>
      </c>
      <c r="AF133" t="s">
        <v>73</v>
      </c>
      <c r="AG133" t="s">
        <v>1774</v>
      </c>
      <c r="AH133" t="s">
        <v>75</v>
      </c>
      <c r="AI133" t="s">
        <v>76</v>
      </c>
      <c r="AJ133" t="s">
        <v>77</v>
      </c>
      <c r="AK133" t="s">
        <v>1775</v>
      </c>
      <c r="AL133" t="s">
        <v>615</v>
      </c>
      <c r="AM133" t="s">
        <v>616</v>
      </c>
      <c r="AN133" t="s">
        <v>81</v>
      </c>
      <c r="AO133" t="s">
        <v>82</v>
      </c>
      <c r="AP133" t="s">
        <v>83</v>
      </c>
      <c r="AQ133" s="3">
        <v>41336</v>
      </c>
      <c r="AR133">
        <v>30229</v>
      </c>
      <c r="AS133">
        <v>5220233</v>
      </c>
      <c r="AT133">
        <v>461</v>
      </c>
      <c r="AU133" t="s">
        <v>84</v>
      </c>
      <c r="AV133">
        <v>562</v>
      </c>
      <c r="AW133" t="s">
        <v>85</v>
      </c>
      <c r="AX133" t="s">
        <v>86</v>
      </c>
      <c r="AY133">
        <v>562</v>
      </c>
      <c r="AZ133" t="s">
        <v>1776</v>
      </c>
      <c r="BA133" t="s">
        <v>88</v>
      </c>
      <c r="BC133" t="s">
        <v>841</v>
      </c>
      <c r="BD133">
        <v>5</v>
      </c>
      <c r="BE133">
        <v>5</v>
      </c>
    </row>
    <row r="134" spans="1:57" hidden="1" x14ac:dyDescent="0.2">
      <c r="A134" t="s">
        <v>1777</v>
      </c>
      <c r="B134" t="s">
        <v>1778</v>
      </c>
      <c r="C134" t="s">
        <v>1779</v>
      </c>
      <c r="D134" t="s">
        <v>1780</v>
      </c>
      <c r="E134" t="s">
        <v>1780</v>
      </c>
      <c r="G134" t="s">
        <v>56</v>
      </c>
      <c r="H134" t="e">
        <v>#N/A</v>
      </c>
      <c r="I134" t="s">
        <v>58</v>
      </c>
      <c r="J134" t="e">
        <v>#N/A</v>
      </c>
      <c r="K134" s="4" t="s">
        <v>1341</v>
      </c>
      <c r="L134" s="4" t="s">
        <v>1341</v>
      </c>
      <c r="M134" t="s">
        <v>7165</v>
      </c>
      <c r="N134" t="s">
        <v>7165</v>
      </c>
      <c r="O134" s="1" t="s">
        <v>603</v>
      </c>
      <c r="P134" t="e">
        <v>#N/A</v>
      </c>
      <c r="Q134" s="1" t="e">
        <v>#N/A</v>
      </c>
      <c r="R134" s="1" t="e">
        <v>#N/A</v>
      </c>
      <c r="S134" s="1" t="e">
        <v>#N/A</v>
      </c>
      <c r="T134" s="1" t="e">
        <v>#N/A</v>
      </c>
      <c r="U134" s="1" t="e">
        <v>#N/A</v>
      </c>
      <c r="V134" s="1" t="e">
        <v>#N/A</v>
      </c>
      <c r="W134" s="1" t="e">
        <v>#N/A</v>
      </c>
      <c r="X134" t="s">
        <v>1781</v>
      </c>
      <c r="Y134" t="s">
        <v>1780</v>
      </c>
      <c r="AA134" t="s">
        <v>68</v>
      </c>
      <c r="AB134" t="s">
        <v>1782</v>
      </c>
      <c r="AC134" t="s">
        <v>1783</v>
      </c>
      <c r="AD134" t="s">
        <v>1784</v>
      </c>
      <c r="AE134" t="s">
        <v>1482</v>
      </c>
      <c r="AF134" t="s">
        <v>73</v>
      </c>
      <c r="AG134" t="s">
        <v>1785</v>
      </c>
      <c r="AH134" t="s">
        <v>75</v>
      </c>
      <c r="AI134" t="s">
        <v>76</v>
      </c>
      <c r="AJ134" t="s">
        <v>77</v>
      </c>
      <c r="AK134" t="s">
        <v>1335</v>
      </c>
      <c r="AL134" t="s">
        <v>615</v>
      </c>
      <c r="AM134" t="s">
        <v>616</v>
      </c>
      <c r="AN134" t="s">
        <v>81</v>
      </c>
      <c r="AO134" t="s">
        <v>82</v>
      </c>
      <c r="AP134" t="s">
        <v>83</v>
      </c>
      <c r="AQ134" s="3">
        <v>40981</v>
      </c>
      <c r="AR134">
        <v>124148</v>
      </c>
      <c r="AS134">
        <v>5327965</v>
      </c>
      <c r="AT134">
        <v>205</v>
      </c>
      <c r="AU134" t="s">
        <v>84</v>
      </c>
      <c r="AV134">
        <v>562</v>
      </c>
      <c r="AW134" t="s">
        <v>85</v>
      </c>
      <c r="AX134" t="s">
        <v>86</v>
      </c>
      <c r="AY134">
        <v>562</v>
      </c>
      <c r="AZ134" t="s">
        <v>1786</v>
      </c>
      <c r="BA134" t="s">
        <v>88</v>
      </c>
      <c r="BC134" t="s">
        <v>918</v>
      </c>
      <c r="BD134">
        <v>0</v>
      </c>
      <c r="BE134">
        <v>16</v>
      </c>
    </row>
    <row r="135" spans="1:57" hidden="1" x14ac:dyDescent="0.2">
      <c r="A135" t="s">
        <v>1787</v>
      </c>
      <c r="B135" t="s">
        <v>1788</v>
      </c>
      <c r="C135" t="s">
        <v>1789</v>
      </c>
      <c r="D135" t="s">
        <v>1790</v>
      </c>
      <c r="E135" t="s">
        <v>1790</v>
      </c>
      <c r="G135" t="s">
        <v>56</v>
      </c>
      <c r="H135" t="e">
        <v>#N/A</v>
      </c>
      <c r="I135" t="s">
        <v>58</v>
      </c>
      <c r="J135" t="e">
        <v>#N/A</v>
      </c>
      <c r="K135" s="4" t="s">
        <v>1341</v>
      </c>
      <c r="L135" s="4" t="s">
        <v>1341</v>
      </c>
      <c r="M135" t="s">
        <v>7165</v>
      </c>
      <c r="N135" t="s">
        <v>7169</v>
      </c>
      <c r="O135" s="1" t="s">
        <v>603</v>
      </c>
      <c r="P135" t="e">
        <v>#N/A</v>
      </c>
      <c r="Q135" s="1" t="e">
        <v>#N/A</v>
      </c>
      <c r="R135" s="1" t="e">
        <v>#N/A</v>
      </c>
      <c r="S135" s="1" t="e">
        <v>#N/A</v>
      </c>
      <c r="T135" s="1" t="e">
        <v>#N/A</v>
      </c>
      <c r="U135" s="1" t="e">
        <v>#N/A</v>
      </c>
      <c r="V135" s="1" t="e">
        <v>#N/A</v>
      </c>
      <c r="W135" s="1" t="e">
        <v>#N/A</v>
      </c>
      <c r="X135" t="s">
        <v>1791</v>
      </c>
      <c r="Y135" t="s">
        <v>1790</v>
      </c>
      <c r="AA135" t="s">
        <v>68</v>
      </c>
      <c r="AB135" t="s">
        <v>1792</v>
      </c>
      <c r="AC135" t="s">
        <v>1793</v>
      </c>
      <c r="AD135" t="s">
        <v>1794</v>
      </c>
      <c r="AE135" t="s">
        <v>1437</v>
      </c>
      <c r="AF135" t="s">
        <v>73</v>
      </c>
      <c r="AG135" t="s">
        <v>1795</v>
      </c>
      <c r="AH135" t="s">
        <v>75</v>
      </c>
      <c r="AI135" t="s">
        <v>76</v>
      </c>
      <c r="AJ135" t="s">
        <v>77</v>
      </c>
      <c r="AK135" t="s">
        <v>1335</v>
      </c>
      <c r="AL135" t="s">
        <v>615</v>
      </c>
      <c r="AM135" t="s">
        <v>616</v>
      </c>
      <c r="AN135" t="s">
        <v>81</v>
      </c>
      <c r="AO135" t="s">
        <v>82</v>
      </c>
      <c r="AP135" t="s">
        <v>83</v>
      </c>
      <c r="AQ135" s="3">
        <v>40981</v>
      </c>
      <c r="AR135">
        <v>145339</v>
      </c>
      <c r="AS135">
        <v>5329642</v>
      </c>
      <c r="AT135">
        <v>211</v>
      </c>
      <c r="AU135" t="s">
        <v>84</v>
      </c>
      <c r="AV135">
        <v>562</v>
      </c>
      <c r="AW135" t="s">
        <v>85</v>
      </c>
      <c r="AX135" t="s">
        <v>86</v>
      </c>
      <c r="AY135">
        <v>562</v>
      </c>
      <c r="AZ135" t="s">
        <v>1796</v>
      </c>
      <c r="BA135" t="s">
        <v>88</v>
      </c>
      <c r="BC135" t="s">
        <v>918</v>
      </c>
      <c r="BD135">
        <v>0</v>
      </c>
      <c r="BE135">
        <v>16</v>
      </c>
    </row>
    <row r="136" spans="1:57" hidden="1" x14ac:dyDescent="0.2">
      <c r="A136" t="s">
        <v>1797</v>
      </c>
      <c r="B136" t="s">
        <v>1798</v>
      </c>
      <c r="C136" t="s">
        <v>1799</v>
      </c>
      <c r="D136" t="s">
        <v>1800</v>
      </c>
      <c r="E136" t="s">
        <v>1800</v>
      </c>
      <c r="G136" t="s">
        <v>56</v>
      </c>
      <c r="H136" t="e">
        <v>#N/A</v>
      </c>
      <c r="I136" t="s">
        <v>58</v>
      </c>
      <c r="J136" t="e">
        <v>#N/A</v>
      </c>
      <c r="K136" s="4" t="s">
        <v>1341</v>
      </c>
      <c r="L136" s="4" t="s">
        <v>1341</v>
      </c>
      <c r="M136" t="s">
        <v>7165</v>
      </c>
      <c r="N136" t="s">
        <v>7165</v>
      </c>
      <c r="O136" s="1" t="s">
        <v>603</v>
      </c>
      <c r="P136" t="e">
        <v>#N/A</v>
      </c>
      <c r="Q136" s="1" t="e">
        <v>#N/A</v>
      </c>
      <c r="R136" s="1" t="e">
        <v>#N/A</v>
      </c>
      <c r="S136" s="1" t="e">
        <v>#N/A</v>
      </c>
      <c r="T136" s="1" t="e">
        <v>#N/A</v>
      </c>
      <c r="U136" s="1" t="e">
        <v>#N/A</v>
      </c>
      <c r="V136" s="1" t="e">
        <v>#N/A</v>
      </c>
      <c r="W136" s="1" t="e">
        <v>#N/A</v>
      </c>
      <c r="X136" t="s">
        <v>1801</v>
      </c>
      <c r="Y136" t="s">
        <v>1800</v>
      </c>
      <c r="AA136" t="s">
        <v>68</v>
      </c>
      <c r="AB136" t="s">
        <v>1802</v>
      </c>
      <c r="AC136" t="s">
        <v>1803</v>
      </c>
      <c r="AD136" t="s">
        <v>1804</v>
      </c>
      <c r="AE136" t="s">
        <v>1448</v>
      </c>
      <c r="AF136" t="s">
        <v>73</v>
      </c>
      <c r="AG136" t="s">
        <v>1805</v>
      </c>
      <c r="AH136" t="s">
        <v>75</v>
      </c>
      <c r="AI136" t="s">
        <v>76</v>
      </c>
      <c r="AJ136" t="s">
        <v>77</v>
      </c>
      <c r="AK136" t="s">
        <v>1335</v>
      </c>
      <c r="AL136" t="s">
        <v>615</v>
      </c>
      <c r="AM136" t="s">
        <v>616</v>
      </c>
      <c r="AN136" t="s">
        <v>81</v>
      </c>
      <c r="AO136" t="s">
        <v>82</v>
      </c>
      <c r="AP136" t="s">
        <v>83</v>
      </c>
      <c r="AQ136" s="3">
        <v>40981</v>
      </c>
      <c r="AR136">
        <v>127746</v>
      </c>
      <c r="AS136">
        <v>5361534</v>
      </c>
      <c r="AT136">
        <v>208</v>
      </c>
      <c r="AU136" t="s">
        <v>84</v>
      </c>
      <c r="AV136">
        <v>562</v>
      </c>
      <c r="AW136" t="s">
        <v>85</v>
      </c>
      <c r="AX136" t="s">
        <v>86</v>
      </c>
      <c r="AY136">
        <v>562</v>
      </c>
      <c r="AZ136" t="s">
        <v>1806</v>
      </c>
      <c r="BA136" t="s">
        <v>88</v>
      </c>
      <c r="BC136" t="s">
        <v>1407</v>
      </c>
      <c r="BD136">
        <v>0</v>
      </c>
      <c r="BE136">
        <v>9</v>
      </c>
    </row>
    <row r="137" spans="1:57" hidden="1" x14ac:dyDescent="0.2">
      <c r="A137" t="s">
        <v>1807</v>
      </c>
      <c r="B137" t="s">
        <v>1808</v>
      </c>
      <c r="C137" t="s">
        <v>1809</v>
      </c>
      <c r="D137" t="s">
        <v>1810</v>
      </c>
      <c r="E137" t="s">
        <v>1810</v>
      </c>
      <c r="G137" t="s">
        <v>56</v>
      </c>
      <c r="H137" t="e">
        <v>#N/A</v>
      </c>
      <c r="I137" t="s">
        <v>58</v>
      </c>
      <c r="J137" t="e">
        <v>#N/A</v>
      </c>
      <c r="K137" s="4" t="s">
        <v>1341</v>
      </c>
      <c r="L137" s="4" t="s">
        <v>1341</v>
      </c>
      <c r="M137" t="s">
        <v>7165</v>
      </c>
      <c r="N137" t="s">
        <v>7165</v>
      </c>
      <c r="O137" s="1" t="s">
        <v>603</v>
      </c>
      <c r="P137" t="e">
        <v>#N/A</v>
      </c>
      <c r="Q137" s="1" t="e">
        <v>#N/A</v>
      </c>
      <c r="R137" s="1" t="e">
        <v>#N/A</v>
      </c>
      <c r="S137" s="1" t="e">
        <v>#N/A</v>
      </c>
      <c r="T137" s="1" t="e">
        <v>#N/A</v>
      </c>
      <c r="U137" s="1" t="e">
        <v>#N/A</v>
      </c>
      <c r="V137" s="1" t="e">
        <v>#N/A</v>
      </c>
      <c r="W137" s="1" t="e">
        <v>#N/A</v>
      </c>
      <c r="X137" t="s">
        <v>1811</v>
      </c>
      <c r="Y137" t="s">
        <v>1810</v>
      </c>
      <c r="AA137" t="s">
        <v>68</v>
      </c>
      <c r="AB137" t="s">
        <v>1812</v>
      </c>
      <c r="AC137" t="s">
        <v>1813</v>
      </c>
      <c r="AD137" t="s">
        <v>1814</v>
      </c>
      <c r="AE137" t="s">
        <v>1448</v>
      </c>
      <c r="AF137" t="s">
        <v>73</v>
      </c>
      <c r="AG137" t="s">
        <v>1815</v>
      </c>
      <c r="AH137" t="s">
        <v>75</v>
      </c>
      <c r="AI137" t="s">
        <v>76</v>
      </c>
      <c r="AJ137" t="s">
        <v>77</v>
      </c>
      <c r="AK137" t="s">
        <v>694</v>
      </c>
      <c r="AL137" t="s">
        <v>615</v>
      </c>
      <c r="AM137" t="s">
        <v>616</v>
      </c>
      <c r="AN137" t="s">
        <v>81</v>
      </c>
      <c r="AO137" t="s">
        <v>82</v>
      </c>
      <c r="AP137" t="s">
        <v>83</v>
      </c>
      <c r="AQ137" s="3">
        <v>40981</v>
      </c>
      <c r="AR137">
        <v>168781</v>
      </c>
      <c r="AS137">
        <v>5364338</v>
      </c>
      <c r="AT137">
        <v>193</v>
      </c>
      <c r="AU137" t="s">
        <v>84</v>
      </c>
      <c r="AV137">
        <v>562</v>
      </c>
      <c r="AW137" t="s">
        <v>85</v>
      </c>
      <c r="AX137" t="s">
        <v>86</v>
      </c>
      <c r="AY137">
        <v>562</v>
      </c>
      <c r="AZ137" t="s">
        <v>1816</v>
      </c>
      <c r="BA137" t="s">
        <v>88</v>
      </c>
      <c r="BC137" t="s">
        <v>1407</v>
      </c>
      <c r="BD137">
        <v>0</v>
      </c>
      <c r="BE137">
        <v>9</v>
      </c>
    </row>
    <row r="138" spans="1:57" hidden="1" x14ac:dyDescent="0.2">
      <c r="A138" t="s">
        <v>1817</v>
      </c>
      <c r="B138" t="s">
        <v>1818</v>
      </c>
      <c r="C138" t="s">
        <v>1819</v>
      </c>
      <c r="D138" t="s">
        <v>1820</v>
      </c>
      <c r="E138" t="s">
        <v>1820</v>
      </c>
      <c r="G138" t="s">
        <v>56</v>
      </c>
      <c r="H138" t="s">
        <v>57</v>
      </c>
      <c r="I138" t="s">
        <v>58</v>
      </c>
      <c r="J138" t="e">
        <v>#N/A</v>
      </c>
      <c r="K138" t="s">
        <v>1821</v>
      </c>
      <c r="L138" t="s">
        <v>1821</v>
      </c>
      <c r="M138" t="s">
        <v>7165</v>
      </c>
      <c r="N138" t="s">
        <v>7165</v>
      </c>
      <c r="O138" s="1" t="s">
        <v>603</v>
      </c>
      <c r="P138" t="s">
        <v>649</v>
      </c>
      <c r="Q138" s="1" t="s">
        <v>875</v>
      </c>
      <c r="R138" s="1" t="s">
        <v>64</v>
      </c>
      <c r="S138" s="1" t="s">
        <v>675</v>
      </c>
      <c r="T138" s="1">
        <v>11</v>
      </c>
      <c r="U138" s="1">
        <v>2124</v>
      </c>
      <c r="V138" s="1" t="s">
        <v>169</v>
      </c>
      <c r="W138" s="1" t="s">
        <v>170</v>
      </c>
      <c r="X138" t="s">
        <v>1822</v>
      </c>
      <c r="Y138" t="s">
        <v>1823</v>
      </c>
      <c r="AA138" t="s">
        <v>68</v>
      </c>
      <c r="AB138" t="s">
        <v>1824</v>
      </c>
      <c r="AC138" t="s">
        <v>1825</v>
      </c>
      <c r="AD138" t="s">
        <v>1826</v>
      </c>
      <c r="AE138" t="s">
        <v>1333</v>
      </c>
      <c r="AF138" t="s">
        <v>73</v>
      </c>
      <c r="AG138" t="s">
        <v>1827</v>
      </c>
      <c r="AH138" t="s">
        <v>75</v>
      </c>
      <c r="AI138" t="s">
        <v>76</v>
      </c>
      <c r="AJ138" t="s">
        <v>77</v>
      </c>
      <c r="AK138" t="s">
        <v>780</v>
      </c>
      <c r="AL138" t="s">
        <v>615</v>
      </c>
      <c r="AM138" t="s">
        <v>616</v>
      </c>
      <c r="AN138" t="s">
        <v>81</v>
      </c>
      <c r="AO138" t="s">
        <v>82</v>
      </c>
      <c r="AP138" t="s">
        <v>83</v>
      </c>
      <c r="AQ138" s="3">
        <v>41259</v>
      </c>
      <c r="AR138">
        <v>156119</v>
      </c>
      <c r="AS138">
        <v>5352821</v>
      </c>
      <c r="AT138">
        <v>231</v>
      </c>
      <c r="AU138" t="s">
        <v>84</v>
      </c>
      <c r="AV138">
        <v>562</v>
      </c>
      <c r="AW138" t="s">
        <v>85</v>
      </c>
      <c r="AX138" t="s">
        <v>86</v>
      </c>
      <c r="AY138">
        <v>562</v>
      </c>
      <c r="AZ138" t="s">
        <v>1828</v>
      </c>
      <c r="BA138" t="s">
        <v>88</v>
      </c>
      <c r="BC138" t="s">
        <v>659</v>
      </c>
      <c r="BD138">
        <v>17</v>
      </c>
      <c r="BE138">
        <v>20</v>
      </c>
    </row>
    <row r="139" spans="1:57" hidden="1" x14ac:dyDescent="0.2">
      <c r="A139" t="s">
        <v>1829</v>
      </c>
      <c r="B139" t="s">
        <v>1830</v>
      </c>
      <c r="C139" t="s">
        <v>1831</v>
      </c>
      <c r="D139" t="s">
        <v>1832</v>
      </c>
      <c r="E139" t="s">
        <v>1832</v>
      </c>
      <c r="G139" t="s">
        <v>56</v>
      </c>
      <c r="H139" t="e">
        <v>#N/A</v>
      </c>
      <c r="I139" t="s">
        <v>58</v>
      </c>
      <c r="J139" t="e">
        <v>#N/A</v>
      </c>
      <c r="K139" t="s">
        <v>1821</v>
      </c>
      <c r="L139" t="s">
        <v>1821</v>
      </c>
      <c r="M139" t="s">
        <v>7165</v>
      </c>
      <c r="N139" t="s">
        <v>7165</v>
      </c>
      <c r="O139" s="1" t="s">
        <v>603</v>
      </c>
      <c r="P139" t="e">
        <v>#N/A</v>
      </c>
      <c r="Q139" s="1" t="e">
        <v>#N/A</v>
      </c>
      <c r="R139" s="1" t="e">
        <v>#N/A</v>
      </c>
      <c r="S139" s="1" t="e">
        <v>#N/A</v>
      </c>
      <c r="T139" s="1" t="e">
        <v>#N/A</v>
      </c>
      <c r="U139" s="1" t="e">
        <v>#N/A</v>
      </c>
      <c r="V139" s="1" t="e">
        <v>#N/A</v>
      </c>
      <c r="W139" s="1" t="e">
        <v>#N/A</v>
      </c>
      <c r="X139" t="s">
        <v>1833</v>
      </c>
      <c r="Y139" t="s">
        <v>1832</v>
      </c>
      <c r="AA139" t="s">
        <v>68</v>
      </c>
      <c r="AB139" t="s">
        <v>1834</v>
      </c>
      <c r="AC139" t="s">
        <v>1835</v>
      </c>
      <c r="AD139" t="s">
        <v>1836</v>
      </c>
      <c r="AE139" t="s">
        <v>1333</v>
      </c>
      <c r="AF139" t="s">
        <v>73</v>
      </c>
      <c r="AG139" t="s">
        <v>1837</v>
      </c>
      <c r="AH139" t="s">
        <v>75</v>
      </c>
      <c r="AI139" t="s">
        <v>76</v>
      </c>
      <c r="AJ139" t="s">
        <v>77</v>
      </c>
      <c r="AK139" t="s">
        <v>905</v>
      </c>
      <c r="AL139" t="s">
        <v>615</v>
      </c>
      <c r="AM139" t="s">
        <v>616</v>
      </c>
      <c r="AN139" t="s">
        <v>81</v>
      </c>
      <c r="AO139" t="s">
        <v>82</v>
      </c>
      <c r="AP139" t="s">
        <v>83</v>
      </c>
      <c r="AQ139" s="3">
        <v>41257</v>
      </c>
      <c r="AR139">
        <v>146675</v>
      </c>
      <c r="AS139">
        <v>5355600</v>
      </c>
      <c r="AT139">
        <v>229</v>
      </c>
      <c r="AU139" t="s">
        <v>84</v>
      </c>
      <c r="AV139">
        <v>562</v>
      </c>
      <c r="AW139" t="s">
        <v>85</v>
      </c>
      <c r="AX139" t="s">
        <v>86</v>
      </c>
      <c r="AY139">
        <v>562</v>
      </c>
      <c r="AZ139" t="s">
        <v>1838</v>
      </c>
      <c r="BA139" t="s">
        <v>88</v>
      </c>
      <c r="BC139" t="s">
        <v>918</v>
      </c>
      <c r="BD139">
        <v>20</v>
      </c>
      <c r="BE139">
        <v>5</v>
      </c>
    </row>
    <row r="140" spans="1:57" hidden="1" x14ac:dyDescent="0.2">
      <c r="A140" t="s">
        <v>1839</v>
      </c>
      <c r="B140" t="s">
        <v>1840</v>
      </c>
      <c r="C140" t="s">
        <v>1841</v>
      </c>
      <c r="D140" t="s">
        <v>1842</v>
      </c>
      <c r="E140" t="s">
        <v>1842</v>
      </c>
      <c r="G140" t="s">
        <v>56</v>
      </c>
      <c r="H140" t="e">
        <v>#N/A</v>
      </c>
      <c r="I140" t="s">
        <v>58</v>
      </c>
      <c r="J140" t="e">
        <v>#N/A</v>
      </c>
      <c r="K140" t="s">
        <v>1821</v>
      </c>
      <c r="L140" t="s">
        <v>1821</v>
      </c>
      <c r="M140" t="s">
        <v>7165</v>
      </c>
      <c r="N140" t="s">
        <v>7165</v>
      </c>
      <c r="O140" s="1" t="s">
        <v>603</v>
      </c>
      <c r="P140" t="e">
        <v>#N/A</v>
      </c>
      <c r="Q140" s="1" t="e">
        <v>#N/A</v>
      </c>
      <c r="R140" s="1" t="e">
        <v>#N/A</v>
      </c>
      <c r="S140" s="1" t="e">
        <v>#N/A</v>
      </c>
      <c r="T140" s="1" t="e">
        <v>#N/A</v>
      </c>
      <c r="U140" s="1" t="e">
        <v>#N/A</v>
      </c>
      <c r="V140" s="1" t="e">
        <v>#N/A</v>
      </c>
      <c r="W140" s="1" t="e">
        <v>#N/A</v>
      </c>
      <c r="X140" t="s">
        <v>1843</v>
      </c>
      <c r="Y140" t="s">
        <v>1842</v>
      </c>
      <c r="AA140" t="s">
        <v>68</v>
      </c>
      <c r="AB140" t="s">
        <v>1844</v>
      </c>
      <c r="AC140" t="s">
        <v>1845</v>
      </c>
      <c r="AD140" t="s">
        <v>1846</v>
      </c>
      <c r="AE140" t="s">
        <v>1346</v>
      </c>
      <c r="AF140" t="s">
        <v>73</v>
      </c>
      <c r="AG140" t="s">
        <v>1847</v>
      </c>
      <c r="AH140" t="s">
        <v>75</v>
      </c>
      <c r="AI140" t="s">
        <v>76</v>
      </c>
      <c r="AJ140" t="s">
        <v>77</v>
      </c>
      <c r="AK140" t="s">
        <v>1848</v>
      </c>
      <c r="AL140" t="s">
        <v>615</v>
      </c>
      <c r="AM140" t="s">
        <v>616</v>
      </c>
      <c r="AN140" t="s">
        <v>81</v>
      </c>
      <c r="AO140" t="s">
        <v>82</v>
      </c>
      <c r="AP140" t="s">
        <v>83</v>
      </c>
      <c r="AQ140" s="3">
        <v>41260</v>
      </c>
      <c r="AR140">
        <v>49405</v>
      </c>
      <c r="AS140">
        <v>5247351</v>
      </c>
      <c r="AT140">
        <v>319</v>
      </c>
      <c r="AU140" t="s">
        <v>84</v>
      </c>
      <c r="AV140">
        <v>562</v>
      </c>
      <c r="AW140" t="s">
        <v>85</v>
      </c>
      <c r="AX140" t="s">
        <v>86</v>
      </c>
      <c r="AY140">
        <v>562</v>
      </c>
      <c r="AZ140" t="s">
        <v>1849</v>
      </c>
      <c r="BA140" t="s">
        <v>88</v>
      </c>
      <c r="BC140" t="s">
        <v>918</v>
      </c>
      <c r="BD140">
        <v>10</v>
      </c>
      <c r="BE140">
        <v>10</v>
      </c>
    </row>
    <row r="141" spans="1:57" hidden="1" x14ac:dyDescent="0.2">
      <c r="A141" t="s">
        <v>1850</v>
      </c>
      <c r="B141" t="s">
        <v>1851</v>
      </c>
      <c r="C141" t="s">
        <v>1852</v>
      </c>
      <c r="D141" t="s">
        <v>1853</v>
      </c>
      <c r="E141" t="s">
        <v>1853</v>
      </c>
      <c r="G141" t="s">
        <v>56</v>
      </c>
      <c r="H141" t="e">
        <v>#N/A</v>
      </c>
      <c r="I141" t="s">
        <v>58</v>
      </c>
      <c r="J141" t="e">
        <v>#N/A</v>
      </c>
      <c r="K141" t="s">
        <v>1821</v>
      </c>
      <c r="L141" t="s">
        <v>1821</v>
      </c>
      <c r="M141" t="s">
        <v>7165</v>
      </c>
      <c r="N141" t="s">
        <v>7165</v>
      </c>
      <c r="O141" s="1" t="s">
        <v>603</v>
      </c>
      <c r="P141" t="e">
        <v>#N/A</v>
      </c>
      <c r="Q141" s="1" t="e">
        <v>#N/A</v>
      </c>
      <c r="R141" s="1" t="e">
        <v>#N/A</v>
      </c>
      <c r="S141" s="1" t="e">
        <v>#N/A</v>
      </c>
      <c r="T141" s="1" t="e">
        <v>#N/A</v>
      </c>
      <c r="U141" s="1" t="e">
        <v>#N/A</v>
      </c>
      <c r="V141" s="1" t="e">
        <v>#N/A</v>
      </c>
      <c r="W141" s="1" t="e">
        <v>#N/A</v>
      </c>
      <c r="X141" t="s">
        <v>1854</v>
      </c>
      <c r="Y141" t="s">
        <v>1853</v>
      </c>
      <c r="AA141" t="s">
        <v>68</v>
      </c>
      <c r="AB141" t="s">
        <v>1855</v>
      </c>
      <c r="AC141" t="s">
        <v>1856</v>
      </c>
      <c r="AD141" t="s">
        <v>1857</v>
      </c>
      <c r="AE141" t="s">
        <v>1346</v>
      </c>
      <c r="AF141" t="s">
        <v>73</v>
      </c>
      <c r="AG141" t="s">
        <v>1858</v>
      </c>
      <c r="AH141" t="s">
        <v>75</v>
      </c>
      <c r="AI141" t="s">
        <v>76</v>
      </c>
      <c r="AJ141" t="s">
        <v>77</v>
      </c>
      <c r="AK141" t="s">
        <v>1335</v>
      </c>
      <c r="AL141" t="s">
        <v>615</v>
      </c>
      <c r="AM141" t="s">
        <v>616</v>
      </c>
      <c r="AN141" t="s">
        <v>81</v>
      </c>
      <c r="AO141" t="s">
        <v>82</v>
      </c>
      <c r="AP141" t="s">
        <v>83</v>
      </c>
      <c r="AQ141" s="3">
        <v>41261</v>
      </c>
      <c r="AR141">
        <v>124172</v>
      </c>
      <c r="AS141">
        <v>5311011</v>
      </c>
      <c r="AT141">
        <v>243</v>
      </c>
      <c r="AU141" t="s">
        <v>84</v>
      </c>
      <c r="AV141">
        <v>562</v>
      </c>
      <c r="AW141" t="s">
        <v>85</v>
      </c>
      <c r="AX141" t="s">
        <v>86</v>
      </c>
      <c r="AY141">
        <v>562</v>
      </c>
      <c r="AZ141" t="s">
        <v>1859</v>
      </c>
      <c r="BA141" t="s">
        <v>88</v>
      </c>
      <c r="BC141" t="s">
        <v>659</v>
      </c>
      <c r="BD141">
        <v>0</v>
      </c>
      <c r="BE141">
        <v>1</v>
      </c>
    </row>
    <row r="142" spans="1:57" hidden="1" x14ac:dyDescent="0.2">
      <c r="A142" t="s">
        <v>1860</v>
      </c>
      <c r="B142" t="s">
        <v>1861</v>
      </c>
      <c r="C142" t="s">
        <v>1862</v>
      </c>
      <c r="D142" t="s">
        <v>1863</v>
      </c>
      <c r="E142" t="s">
        <v>1863</v>
      </c>
      <c r="G142" t="s">
        <v>56</v>
      </c>
      <c r="H142" t="e">
        <v>#N/A</v>
      </c>
      <c r="I142" t="s">
        <v>58</v>
      </c>
      <c r="J142" t="e">
        <v>#N/A</v>
      </c>
      <c r="K142" t="s">
        <v>1864</v>
      </c>
      <c r="L142" t="s">
        <v>1864</v>
      </c>
      <c r="M142" t="s">
        <v>7165</v>
      </c>
      <c r="N142" t="s">
        <v>7165</v>
      </c>
      <c r="O142" s="1" t="s">
        <v>603</v>
      </c>
      <c r="P142" t="e">
        <v>#N/A</v>
      </c>
      <c r="Q142" s="1" t="e">
        <v>#N/A</v>
      </c>
      <c r="R142" s="1" t="e">
        <v>#N/A</v>
      </c>
      <c r="S142" s="1" t="e">
        <v>#N/A</v>
      </c>
      <c r="T142" s="1" t="e">
        <v>#N/A</v>
      </c>
      <c r="U142" s="1" t="e">
        <v>#N/A</v>
      </c>
      <c r="V142" s="1" t="e">
        <v>#N/A</v>
      </c>
      <c r="W142" s="1" t="e">
        <v>#N/A</v>
      </c>
      <c r="X142" t="s">
        <v>1865</v>
      </c>
      <c r="Y142" t="s">
        <v>1863</v>
      </c>
      <c r="AA142" t="s">
        <v>68</v>
      </c>
      <c r="AB142" t="s">
        <v>1866</v>
      </c>
      <c r="AC142" t="s">
        <v>1867</v>
      </c>
      <c r="AD142" t="s">
        <v>1868</v>
      </c>
      <c r="AE142" t="s">
        <v>1380</v>
      </c>
      <c r="AF142" t="s">
        <v>73</v>
      </c>
      <c r="AG142" t="s">
        <v>1869</v>
      </c>
      <c r="AH142" t="s">
        <v>75</v>
      </c>
      <c r="AI142" t="s">
        <v>76</v>
      </c>
      <c r="AJ142" t="s">
        <v>77</v>
      </c>
      <c r="AK142" t="s">
        <v>792</v>
      </c>
      <c r="AL142" t="s">
        <v>615</v>
      </c>
      <c r="AM142" t="s">
        <v>616</v>
      </c>
      <c r="AN142" t="s">
        <v>81</v>
      </c>
      <c r="AO142" t="s">
        <v>82</v>
      </c>
      <c r="AP142" t="s">
        <v>83</v>
      </c>
      <c r="AQ142" s="3">
        <v>41324</v>
      </c>
      <c r="AR142">
        <v>148116</v>
      </c>
      <c r="AS142">
        <v>5414470</v>
      </c>
      <c r="AT142">
        <v>195</v>
      </c>
      <c r="AU142" t="s">
        <v>84</v>
      </c>
      <c r="AV142">
        <v>562</v>
      </c>
      <c r="AW142" t="s">
        <v>85</v>
      </c>
      <c r="AX142" t="s">
        <v>86</v>
      </c>
      <c r="AY142">
        <v>562</v>
      </c>
      <c r="AZ142" t="s">
        <v>1870</v>
      </c>
      <c r="BA142" t="s">
        <v>88</v>
      </c>
      <c r="BC142" t="s">
        <v>841</v>
      </c>
      <c r="BD142">
        <v>0</v>
      </c>
      <c r="BE142">
        <v>0</v>
      </c>
    </row>
    <row r="143" spans="1:57" hidden="1" x14ac:dyDescent="0.2">
      <c r="A143" t="s">
        <v>1871</v>
      </c>
      <c r="B143" t="s">
        <v>1872</v>
      </c>
      <c r="C143" t="s">
        <v>1873</v>
      </c>
      <c r="D143" t="s">
        <v>1874</v>
      </c>
      <c r="E143" t="s">
        <v>1874</v>
      </c>
      <c r="G143" t="s">
        <v>56</v>
      </c>
      <c r="H143" t="e">
        <v>#N/A</v>
      </c>
      <c r="I143" t="s">
        <v>58</v>
      </c>
      <c r="J143" t="e">
        <v>#N/A</v>
      </c>
      <c r="K143" t="s">
        <v>1864</v>
      </c>
      <c r="L143" t="s">
        <v>1864</v>
      </c>
      <c r="M143" t="s">
        <v>7165</v>
      </c>
      <c r="N143" t="s">
        <v>7165</v>
      </c>
      <c r="O143" s="1" t="s">
        <v>603</v>
      </c>
      <c r="P143" t="e">
        <v>#N/A</v>
      </c>
      <c r="Q143" s="1" t="e">
        <v>#N/A</v>
      </c>
      <c r="R143" s="1" t="e">
        <v>#N/A</v>
      </c>
      <c r="S143" s="1" t="e">
        <v>#N/A</v>
      </c>
      <c r="T143" s="1" t="e">
        <v>#N/A</v>
      </c>
      <c r="U143" s="1" t="e">
        <v>#N/A</v>
      </c>
      <c r="V143" s="1" t="e">
        <v>#N/A</v>
      </c>
      <c r="W143" s="1" t="e">
        <v>#N/A</v>
      </c>
      <c r="X143" t="s">
        <v>1875</v>
      </c>
      <c r="Y143" t="s">
        <v>1874</v>
      </c>
      <c r="AA143" t="s">
        <v>68</v>
      </c>
      <c r="AB143" t="s">
        <v>1876</v>
      </c>
      <c r="AC143" t="s">
        <v>1877</v>
      </c>
      <c r="AD143" t="s">
        <v>1878</v>
      </c>
      <c r="AE143" t="s">
        <v>1482</v>
      </c>
      <c r="AF143" t="s">
        <v>73</v>
      </c>
      <c r="AG143" t="s">
        <v>1879</v>
      </c>
      <c r="AH143" t="s">
        <v>75</v>
      </c>
      <c r="AI143" t="s">
        <v>76</v>
      </c>
      <c r="AJ143" t="s">
        <v>77</v>
      </c>
      <c r="AK143" t="s">
        <v>669</v>
      </c>
      <c r="AL143" t="s">
        <v>615</v>
      </c>
      <c r="AM143" t="s">
        <v>616</v>
      </c>
      <c r="AN143" t="s">
        <v>81</v>
      </c>
      <c r="AO143" t="s">
        <v>82</v>
      </c>
      <c r="AP143" t="s">
        <v>83</v>
      </c>
      <c r="AQ143" s="3">
        <v>41261</v>
      </c>
      <c r="AR143">
        <v>148116</v>
      </c>
      <c r="AS143">
        <v>5331691</v>
      </c>
      <c r="AT143">
        <v>241</v>
      </c>
      <c r="AU143" t="s">
        <v>84</v>
      </c>
      <c r="AV143">
        <v>562</v>
      </c>
      <c r="AW143" t="s">
        <v>85</v>
      </c>
      <c r="AX143" t="s">
        <v>86</v>
      </c>
      <c r="AY143">
        <v>562</v>
      </c>
      <c r="AZ143" t="s">
        <v>1880</v>
      </c>
      <c r="BA143" t="s">
        <v>88</v>
      </c>
      <c r="BC143" t="s">
        <v>659</v>
      </c>
      <c r="BD143">
        <v>0</v>
      </c>
      <c r="BE143">
        <v>1</v>
      </c>
    </row>
    <row r="144" spans="1:57" hidden="1" x14ac:dyDescent="0.2">
      <c r="A144" t="s">
        <v>1881</v>
      </c>
      <c r="B144" t="s">
        <v>1882</v>
      </c>
      <c r="C144" t="s">
        <v>1883</v>
      </c>
      <c r="D144" t="s">
        <v>1884</v>
      </c>
      <c r="E144" t="s">
        <v>1884</v>
      </c>
      <c r="G144" t="s">
        <v>56</v>
      </c>
      <c r="H144" t="e">
        <v>#N/A</v>
      </c>
      <c r="I144" t="s">
        <v>58</v>
      </c>
      <c r="J144" t="e">
        <v>#N/A</v>
      </c>
      <c r="K144" t="s">
        <v>1696</v>
      </c>
      <c r="L144" t="s">
        <v>1696</v>
      </c>
      <c r="M144" t="s">
        <v>7165</v>
      </c>
      <c r="N144" t="s">
        <v>60</v>
      </c>
      <c r="O144" s="1" t="s">
        <v>603</v>
      </c>
      <c r="P144" t="e">
        <v>#N/A</v>
      </c>
      <c r="Q144" s="1" t="e">
        <v>#N/A</v>
      </c>
      <c r="R144" s="1" t="e">
        <v>#N/A</v>
      </c>
      <c r="S144" s="1" t="e">
        <v>#N/A</v>
      </c>
      <c r="T144" s="1" t="e">
        <v>#N/A</v>
      </c>
      <c r="U144" s="1" t="e">
        <v>#N/A</v>
      </c>
      <c r="V144" s="1" t="e">
        <v>#N/A</v>
      </c>
      <c r="W144" s="1" t="e">
        <v>#N/A</v>
      </c>
      <c r="X144" t="s">
        <v>1885</v>
      </c>
      <c r="Y144" t="s">
        <v>1884</v>
      </c>
      <c r="AA144" t="s">
        <v>68</v>
      </c>
      <c r="AB144" t="s">
        <v>1886</v>
      </c>
      <c r="AC144" t="s">
        <v>1887</v>
      </c>
      <c r="AD144" t="s">
        <v>1888</v>
      </c>
      <c r="AE144" t="s">
        <v>1369</v>
      </c>
      <c r="AF144" t="s">
        <v>73</v>
      </c>
      <c r="AG144" t="s">
        <v>1889</v>
      </c>
      <c r="AH144" t="s">
        <v>75</v>
      </c>
      <c r="AI144" t="s">
        <v>76</v>
      </c>
      <c r="AJ144" t="s">
        <v>77</v>
      </c>
      <c r="AK144" t="s">
        <v>792</v>
      </c>
      <c r="AL144" t="s">
        <v>615</v>
      </c>
      <c r="AM144" t="s">
        <v>616</v>
      </c>
      <c r="AN144" t="s">
        <v>81</v>
      </c>
      <c r="AO144" t="s">
        <v>82</v>
      </c>
      <c r="AP144" t="s">
        <v>83</v>
      </c>
      <c r="AQ144" s="3">
        <v>41324</v>
      </c>
      <c r="AR144">
        <v>148116</v>
      </c>
      <c r="AS144">
        <v>5410141</v>
      </c>
      <c r="AT144">
        <v>213</v>
      </c>
      <c r="AU144" t="s">
        <v>84</v>
      </c>
      <c r="AV144">
        <v>562</v>
      </c>
      <c r="AW144" t="s">
        <v>85</v>
      </c>
      <c r="AX144" t="s">
        <v>86</v>
      </c>
      <c r="AY144">
        <v>562</v>
      </c>
      <c r="AZ144" t="s">
        <v>1890</v>
      </c>
      <c r="BA144" t="s">
        <v>88</v>
      </c>
      <c r="BC144" t="s">
        <v>841</v>
      </c>
      <c r="BD144">
        <v>0</v>
      </c>
      <c r="BE144">
        <v>0</v>
      </c>
    </row>
    <row r="145" spans="1:57" hidden="1" x14ac:dyDescent="0.2">
      <c r="A145" t="s">
        <v>1891</v>
      </c>
      <c r="B145" t="s">
        <v>1892</v>
      </c>
      <c r="C145" t="s">
        <v>1893</v>
      </c>
      <c r="D145" t="s">
        <v>1894</v>
      </c>
      <c r="E145" t="s">
        <v>1894</v>
      </c>
      <c r="G145" t="s">
        <v>56</v>
      </c>
      <c r="H145" t="s">
        <v>57</v>
      </c>
      <c r="I145" t="s">
        <v>58</v>
      </c>
      <c r="J145" t="e">
        <v>#N/A</v>
      </c>
      <c r="K145" t="s">
        <v>1895</v>
      </c>
      <c r="L145" t="s">
        <v>1895</v>
      </c>
      <c r="M145" t="s">
        <v>7165</v>
      </c>
      <c r="N145" t="s">
        <v>7165</v>
      </c>
      <c r="O145" s="1" t="s">
        <v>603</v>
      </c>
      <c r="P145" t="s">
        <v>649</v>
      </c>
      <c r="Q145" s="1" t="s">
        <v>875</v>
      </c>
      <c r="R145" s="1" t="s">
        <v>64</v>
      </c>
      <c r="S145" s="1" t="s">
        <v>675</v>
      </c>
      <c r="T145" s="1">
        <v>11</v>
      </c>
      <c r="U145" s="1">
        <v>2124</v>
      </c>
      <c r="V145" s="1" t="s">
        <v>169</v>
      </c>
      <c r="W145" s="1" t="s">
        <v>170</v>
      </c>
      <c r="X145" t="s">
        <v>1896</v>
      </c>
      <c r="Y145" t="s">
        <v>1897</v>
      </c>
      <c r="AA145" t="s">
        <v>68</v>
      </c>
      <c r="AB145" t="s">
        <v>1898</v>
      </c>
      <c r="AC145" t="s">
        <v>1899</v>
      </c>
      <c r="AD145" t="s">
        <v>1900</v>
      </c>
      <c r="AE145" t="s">
        <v>1357</v>
      </c>
      <c r="AF145" t="s">
        <v>73</v>
      </c>
      <c r="AG145" t="s">
        <v>1901</v>
      </c>
      <c r="AH145" t="s">
        <v>75</v>
      </c>
      <c r="AI145" t="s">
        <v>76</v>
      </c>
      <c r="AJ145" t="s">
        <v>77</v>
      </c>
      <c r="AK145" t="s">
        <v>1902</v>
      </c>
      <c r="AL145" t="s">
        <v>615</v>
      </c>
      <c r="AM145" t="s">
        <v>616</v>
      </c>
      <c r="AN145" t="s">
        <v>81</v>
      </c>
      <c r="AO145" t="s">
        <v>82</v>
      </c>
      <c r="AP145" t="s">
        <v>83</v>
      </c>
      <c r="AQ145" s="3">
        <v>41324</v>
      </c>
      <c r="AR145">
        <v>188217</v>
      </c>
      <c r="AS145">
        <v>5399797</v>
      </c>
      <c r="AT145">
        <v>189</v>
      </c>
      <c r="AU145" t="s">
        <v>84</v>
      </c>
      <c r="AV145">
        <v>562</v>
      </c>
      <c r="AW145" t="s">
        <v>85</v>
      </c>
      <c r="AX145" t="s">
        <v>86</v>
      </c>
      <c r="AY145">
        <v>562</v>
      </c>
      <c r="AZ145" t="s">
        <v>1903</v>
      </c>
      <c r="BA145" t="s">
        <v>88</v>
      </c>
      <c r="BC145" t="s">
        <v>841</v>
      </c>
      <c r="BD145">
        <v>0</v>
      </c>
      <c r="BE145">
        <v>0</v>
      </c>
    </row>
    <row r="146" spans="1:57" hidden="1" x14ac:dyDescent="0.2">
      <c r="A146" t="s">
        <v>1904</v>
      </c>
      <c r="B146" t="s">
        <v>1905</v>
      </c>
      <c r="C146" t="s">
        <v>1906</v>
      </c>
      <c r="D146" t="s">
        <v>1907</v>
      </c>
      <c r="E146" t="s">
        <v>1907</v>
      </c>
      <c r="G146" t="s">
        <v>56</v>
      </c>
      <c r="H146" t="e">
        <v>#N/A</v>
      </c>
      <c r="I146" t="s">
        <v>58</v>
      </c>
      <c r="J146" t="e">
        <v>#N/A</v>
      </c>
      <c r="K146" t="s">
        <v>1696</v>
      </c>
      <c r="L146" t="s">
        <v>1696</v>
      </c>
      <c r="M146" t="s">
        <v>7165</v>
      </c>
      <c r="N146" t="s">
        <v>7165</v>
      </c>
      <c r="O146" s="1" t="s">
        <v>603</v>
      </c>
      <c r="P146" t="e">
        <v>#N/A</v>
      </c>
      <c r="Q146" s="1" t="e">
        <v>#N/A</v>
      </c>
      <c r="R146" s="1" t="e">
        <v>#N/A</v>
      </c>
      <c r="S146" s="1" t="e">
        <v>#N/A</v>
      </c>
      <c r="T146" s="1" t="e">
        <v>#N/A</v>
      </c>
      <c r="U146" s="1" t="e">
        <v>#N/A</v>
      </c>
      <c r="V146" s="1" t="e">
        <v>#N/A</v>
      </c>
      <c r="W146" s="1" t="e">
        <v>#N/A</v>
      </c>
      <c r="X146" t="s">
        <v>1908</v>
      </c>
      <c r="Y146" t="s">
        <v>1907</v>
      </c>
      <c r="AA146" t="s">
        <v>68</v>
      </c>
      <c r="AB146" t="s">
        <v>1909</v>
      </c>
      <c r="AC146" t="s">
        <v>1910</v>
      </c>
      <c r="AD146" t="s">
        <v>1911</v>
      </c>
      <c r="AE146" t="s">
        <v>1482</v>
      </c>
      <c r="AF146" t="s">
        <v>73</v>
      </c>
      <c r="AG146" t="s">
        <v>1912</v>
      </c>
      <c r="AH146" t="s">
        <v>75</v>
      </c>
      <c r="AI146" t="s">
        <v>76</v>
      </c>
      <c r="AJ146" t="s">
        <v>77</v>
      </c>
      <c r="AK146" t="s">
        <v>792</v>
      </c>
      <c r="AL146" t="s">
        <v>615</v>
      </c>
      <c r="AM146" t="s">
        <v>616</v>
      </c>
      <c r="AN146" t="s">
        <v>81</v>
      </c>
      <c r="AO146" t="s">
        <v>82</v>
      </c>
      <c r="AP146" t="s">
        <v>83</v>
      </c>
      <c r="AQ146" s="3">
        <v>41324</v>
      </c>
      <c r="AR146">
        <v>148116</v>
      </c>
      <c r="AS146">
        <v>5396288</v>
      </c>
      <c r="AT146">
        <v>195</v>
      </c>
      <c r="AU146" t="s">
        <v>84</v>
      </c>
      <c r="AV146">
        <v>562</v>
      </c>
      <c r="AW146" t="s">
        <v>85</v>
      </c>
      <c r="AX146" t="s">
        <v>86</v>
      </c>
      <c r="AY146">
        <v>562</v>
      </c>
      <c r="AZ146" t="s">
        <v>1913</v>
      </c>
      <c r="BA146" t="s">
        <v>88</v>
      </c>
      <c r="BC146" t="s">
        <v>841</v>
      </c>
      <c r="BD146">
        <v>0</v>
      </c>
      <c r="BE146">
        <v>0</v>
      </c>
    </row>
    <row r="147" spans="1:57" hidden="1" x14ac:dyDescent="0.2">
      <c r="A147" t="s">
        <v>1914</v>
      </c>
      <c r="B147" t="s">
        <v>1915</v>
      </c>
      <c r="C147" t="s">
        <v>1916</v>
      </c>
      <c r="D147" t="s">
        <v>1917</v>
      </c>
      <c r="E147" t="s">
        <v>1917</v>
      </c>
      <c r="G147" t="s">
        <v>56</v>
      </c>
      <c r="H147" t="s">
        <v>57</v>
      </c>
      <c r="I147" t="s">
        <v>58</v>
      </c>
      <c r="J147" t="e">
        <v>#N/A</v>
      </c>
      <c r="K147" t="s">
        <v>1918</v>
      </c>
      <c r="L147" t="s">
        <v>1918</v>
      </c>
      <c r="M147" t="s">
        <v>7167</v>
      </c>
      <c r="N147" t="s">
        <v>7165</v>
      </c>
      <c r="O147" s="1" t="s">
        <v>603</v>
      </c>
      <c r="P147" t="s">
        <v>649</v>
      </c>
      <c r="Q147" s="1" t="s">
        <v>605</v>
      </c>
      <c r="R147" s="1" t="s">
        <v>127</v>
      </c>
      <c r="S147" s="1" t="s">
        <v>606</v>
      </c>
      <c r="T147" s="1">
        <v>11</v>
      </c>
      <c r="U147" s="1">
        <v>2124</v>
      </c>
      <c r="V147" s="1" t="s">
        <v>169</v>
      </c>
      <c r="W147" s="1" t="s">
        <v>170</v>
      </c>
      <c r="X147" t="s">
        <v>1919</v>
      </c>
      <c r="Y147" t="s">
        <v>1920</v>
      </c>
      <c r="AA147" t="s">
        <v>68</v>
      </c>
      <c r="AB147" t="s">
        <v>1921</v>
      </c>
      <c r="AC147" t="s">
        <v>1922</v>
      </c>
      <c r="AD147" t="s">
        <v>1923</v>
      </c>
      <c r="AE147" t="s">
        <v>1369</v>
      </c>
      <c r="AF147" t="s">
        <v>73</v>
      </c>
      <c r="AG147" t="s">
        <v>1924</v>
      </c>
      <c r="AH147" t="s">
        <v>75</v>
      </c>
      <c r="AI147" t="s">
        <v>76</v>
      </c>
      <c r="AJ147" t="s">
        <v>77</v>
      </c>
      <c r="AK147" t="s">
        <v>630</v>
      </c>
      <c r="AL147" t="s">
        <v>615</v>
      </c>
      <c r="AM147" t="s">
        <v>616</v>
      </c>
      <c r="AN147" t="s">
        <v>81</v>
      </c>
      <c r="AO147" t="s">
        <v>82</v>
      </c>
      <c r="AP147" t="s">
        <v>83</v>
      </c>
      <c r="AQ147" s="3">
        <v>41536</v>
      </c>
      <c r="AR147">
        <v>160336</v>
      </c>
      <c r="AS147">
        <v>5385942</v>
      </c>
      <c r="AT147">
        <v>159</v>
      </c>
      <c r="AU147" t="s">
        <v>84</v>
      </c>
      <c r="AV147">
        <v>562</v>
      </c>
      <c r="AW147" t="s">
        <v>85</v>
      </c>
      <c r="AX147" t="s">
        <v>86</v>
      </c>
      <c r="AY147">
        <v>562</v>
      </c>
      <c r="AZ147" t="s">
        <v>1925</v>
      </c>
      <c r="BA147" t="s">
        <v>88</v>
      </c>
      <c r="BC147" t="s">
        <v>659</v>
      </c>
      <c r="BD147">
        <v>0</v>
      </c>
      <c r="BE147">
        <v>0</v>
      </c>
    </row>
    <row r="148" spans="1:57" hidden="1" x14ac:dyDescent="0.2">
      <c r="A148" t="s">
        <v>1926</v>
      </c>
      <c r="B148" t="s">
        <v>1927</v>
      </c>
      <c r="C148" t="s">
        <v>1928</v>
      </c>
      <c r="D148" t="s">
        <v>1929</v>
      </c>
      <c r="E148" t="s">
        <v>1929</v>
      </c>
      <c r="G148" t="s">
        <v>56</v>
      </c>
      <c r="H148" t="s">
        <v>57</v>
      </c>
      <c r="I148" t="s">
        <v>58</v>
      </c>
      <c r="J148" t="e">
        <v>#N/A</v>
      </c>
      <c r="K148" t="s">
        <v>1918</v>
      </c>
      <c r="L148" t="s">
        <v>1918</v>
      </c>
      <c r="M148" t="s">
        <v>7167</v>
      </c>
      <c r="N148" t="s">
        <v>7165</v>
      </c>
      <c r="O148" s="1" t="s">
        <v>603</v>
      </c>
      <c r="P148" t="s">
        <v>649</v>
      </c>
      <c r="Q148" s="1" t="s">
        <v>605</v>
      </c>
      <c r="R148" s="1" t="s">
        <v>127</v>
      </c>
      <c r="S148" s="1" t="s">
        <v>606</v>
      </c>
      <c r="T148" s="1">
        <v>11</v>
      </c>
      <c r="U148" s="1">
        <v>2124</v>
      </c>
      <c r="V148" s="1" t="s">
        <v>169</v>
      </c>
      <c r="W148" s="1" t="s">
        <v>170</v>
      </c>
      <c r="X148" t="s">
        <v>1930</v>
      </c>
      <c r="Y148" t="s">
        <v>1931</v>
      </c>
      <c r="AA148" t="s">
        <v>68</v>
      </c>
      <c r="AB148" t="s">
        <v>1932</v>
      </c>
      <c r="AC148" t="s">
        <v>1933</v>
      </c>
      <c r="AD148" t="s">
        <v>1934</v>
      </c>
      <c r="AE148" t="s">
        <v>1333</v>
      </c>
      <c r="AF148" t="s">
        <v>73</v>
      </c>
      <c r="AG148" t="s">
        <v>1935</v>
      </c>
      <c r="AH148" t="s">
        <v>75</v>
      </c>
      <c r="AI148" t="s">
        <v>76</v>
      </c>
      <c r="AJ148" t="s">
        <v>77</v>
      </c>
      <c r="AK148" t="s">
        <v>669</v>
      </c>
      <c r="AL148" t="s">
        <v>615</v>
      </c>
      <c r="AM148" t="s">
        <v>616</v>
      </c>
      <c r="AN148" t="s">
        <v>81</v>
      </c>
      <c r="AO148" t="s">
        <v>82</v>
      </c>
      <c r="AP148" t="s">
        <v>83</v>
      </c>
      <c r="AQ148" s="3">
        <v>41536</v>
      </c>
      <c r="AR148">
        <v>160336</v>
      </c>
      <c r="AS148">
        <v>5402534</v>
      </c>
      <c r="AT148">
        <v>155</v>
      </c>
      <c r="AU148" t="s">
        <v>84</v>
      </c>
      <c r="AV148">
        <v>562</v>
      </c>
      <c r="AW148" t="s">
        <v>85</v>
      </c>
      <c r="AX148" t="s">
        <v>86</v>
      </c>
      <c r="AY148">
        <v>562</v>
      </c>
      <c r="AZ148" t="s">
        <v>1936</v>
      </c>
      <c r="BA148" t="s">
        <v>88</v>
      </c>
      <c r="BC148" t="s">
        <v>659</v>
      </c>
      <c r="BD148">
        <v>0</v>
      </c>
      <c r="BE148">
        <v>0</v>
      </c>
    </row>
    <row r="149" spans="1:57" hidden="1" x14ac:dyDescent="0.2">
      <c r="A149" t="s">
        <v>1937</v>
      </c>
      <c r="B149" t="s">
        <v>1938</v>
      </c>
      <c r="C149" t="s">
        <v>1939</v>
      </c>
      <c r="D149" t="s">
        <v>1940</v>
      </c>
      <c r="E149" t="s">
        <v>1940</v>
      </c>
      <c r="G149" t="s">
        <v>56</v>
      </c>
      <c r="H149" t="s">
        <v>57</v>
      </c>
      <c r="I149" t="s">
        <v>58</v>
      </c>
      <c r="J149" t="e">
        <v>#N/A</v>
      </c>
      <c r="K149" t="s">
        <v>1941</v>
      </c>
      <c r="L149" t="s">
        <v>1941</v>
      </c>
      <c r="M149" t="s">
        <v>7167</v>
      </c>
      <c r="N149" t="s">
        <v>7165</v>
      </c>
      <c r="O149" s="1" t="s">
        <v>603</v>
      </c>
      <c r="P149" t="s">
        <v>649</v>
      </c>
      <c r="Q149" s="1" t="s">
        <v>605</v>
      </c>
      <c r="R149" s="1" t="s">
        <v>127</v>
      </c>
      <c r="S149" s="1" t="s">
        <v>606</v>
      </c>
      <c r="T149" s="1">
        <v>11</v>
      </c>
      <c r="U149" s="1">
        <v>2124</v>
      </c>
      <c r="V149" s="1" t="s">
        <v>169</v>
      </c>
      <c r="W149" s="1" t="s">
        <v>170</v>
      </c>
      <c r="X149" t="s">
        <v>1942</v>
      </c>
      <c r="Y149" t="s">
        <v>1943</v>
      </c>
      <c r="AA149" t="s">
        <v>68</v>
      </c>
      <c r="AB149" t="s">
        <v>1944</v>
      </c>
      <c r="AC149" t="s">
        <v>1945</v>
      </c>
      <c r="AD149" t="s">
        <v>1946</v>
      </c>
      <c r="AE149" t="s">
        <v>1380</v>
      </c>
      <c r="AF149" t="s">
        <v>73</v>
      </c>
      <c r="AG149" t="s">
        <v>1947</v>
      </c>
      <c r="AH149" t="s">
        <v>75</v>
      </c>
      <c r="AI149" t="s">
        <v>76</v>
      </c>
      <c r="AJ149" t="s">
        <v>77</v>
      </c>
      <c r="AK149" t="s">
        <v>630</v>
      </c>
      <c r="AL149" t="s">
        <v>615</v>
      </c>
      <c r="AM149" t="s">
        <v>616</v>
      </c>
      <c r="AN149" t="s">
        <v>81</v>
      </c>
      <c r="AO149" t="s">
        <v>82</v>
      </c>
      <c r="AP149" t="s">
        <v>83</v>
      </c>
      <c r="AQ149" s="3">
        <v>41538</v>
      </c>
      <c r="AR149">
        <v>146706</v>
      </c>
      <c r="AS149">
        <v>5390274</v>
      </c>
      <c r="AT149">
        <v>157</v>
      </c>
      <c r="AU149" t="s">
        <v>84</v>
      </c>
      <c r="AV149">
        <v>562</v>
      </c>
      <c r="AW149" t="s">
        <v>85</v>
      </c>
      <c r="AX149" t="s">
        <v>86</v>
      </c>
      <c r="AY149">
        <v>562</v>
      </c>
      <c r="AZ149" t="s">
        <v>1948</v>
      </c>
      <c r="BA149" t="s">
        <v>88</v>
      </c>
      <c r="BC149" t="s">
        <v>659</v>
      </c>
      <c r="BD149">
        <v>0</v>
      </c>
      <c r="BE149">
        <v>0</v>
      </c>
    </row>
    <row r="150" spans="1:57" hidden="1" x14ac:dyDescent="0.2">
      <c r="A150" t="s">
        <v>1949</v>
      </c>
      <c r="B150" t="s">
        <v>1950</v>
      </c>
      <c r="C150" t="s">
        <v>1951</v>
      </c>
      <c r="D150" t="s">
        <v>1952</v>
      </c>
      <c r="E150" t="s">
        <v>1952</v>
      </c>
      <c r="G150" t="s">
        <v>56</v>
      </c>
      <c r="H150" t="s">
        <v>57</v>
      </c>
      <c r="I150" t="s">
        <v>58</v>
      </c>
      <c r="J150" t="e">
        <v>#N/A</v>
      </c>
      <c r="K150" t="s">
        <v>1953</v>
      </c>
      <c r="L150" t="s">
        <v>1953</v>
      </c>
      <c r="M150" t="s">
        <v>7167</v>
      </c>
      <c r="N150" t="s">
        <v>7165</v>
      </c>
      <c r="O150" s="1" t="s">
        <v>603</v>
      </c>
      <c r="P150" t="s">
        <v>649</v>
      </c>
      <c r="Q150" s="1" t="s">
        <v>605</v>
      </c>
      <c r="R150" s="1" t="s">
        <v>127</v>
      </c>
      <c r="S150" s="1" t="s">
        <v>606</v>
      </c>
      <c r="T150" s="1">
        <v>11</v>
      </c>
      <c r="U150" s="1">
        <v>2124</v>
      </c>
      <c r="V150" s="1" t="s">
        <v>169</v>
      </c>
      <c r="W150" s="1" t="s">
        <v>170</v>
      </c>
      <c r="X150" t="s">
        <v>1954</v>
      </c>
      <c r="Y150" t="s">
        <v>1955</v>
      </c>
      <c r="AA150" t="s">
        <v>68</v>
      </c>
      <c r="AB150" t="s">
        <v>1956</v>
      </c>
      <c r="AC150" t="s">
        <v>1957</v>
      </c>
      <c r="AD150" t="s">
        <v>1958</v>
      </c>
      <c r="AE150" t="s">
        <v>1380</v>
      </c>
      <c r="AF150" t="s">
        <v>73</v>
      </c>
      <c r="AG150" t="s">
        <v>1959</v>
      </c>
      <c r="AH150" t="s">
        <v>75</v>
      </c>
      <c r="AI150" t="s">
        <v>76</v>
      </c>
      <c r="AJ150" t="s">
        <v>77</v>
      </c>
      <c r="AK150" t="s">
        <v>630</v>
      </c>
      <c r="AL150" t="s">
        <v>615</v>
      </c>
      <c r="AM150" t="s">
        <v>616</v>
      </c>
      <c r="AN150" t="s">
        <v>81</v>
      </c>
      <c r="AO150" t="s">
        <v>82</v>
      </c>
      <c r="AP150" t="s">
        <v>83</v>
      </c>
      <c r="AQ150" s="3">
        <v>41540</v>
      </c>
      <c r="AR150">
        <v>148117</v>
      </c>
      <c r="AS150">
        <v>5386554</v>
      </c>
      <c r="AT150">
        <v>163</v>
      </c>
      <c r="AU150" t="s">
        <v>84</v>
      </c>
      <c r="AV150">
        <v>562</v>
      </c>
      <c r="AW150" t="s">
        <v>85</v>
      </c>
      <c r="AX150" t="s">
        <v>86</v>
      </c>
      <c r="AY150">
        <v>562</v>
      </c>
      <c r="AZ150" t="s">
        <v>1960</v>
      </c>
      <c r="BA150" t="s">
        <v>88</v>
      </c>
      <c r="BC150" t="s">
        <v>659</v>
      </c>
      <c r="BD150">
        <v>1</v>
      </c>
      <c r="BE150">
        <v>1</v>
      </c>
    </row>
    <row r="151" spans="1:57" hidden="1" x14ac:dyDescent="0.2">
      <c r="A151" t="s">
        <v>1961</v>
      </c>
      <c r="B151" t="s">
        <v>1962</v>
      </c>
      <c r="C151" t="s">
        <v>1963</v>
      </c>
      <c r="D151" t="s">
        <v>1964</v>
      </c>
      <c r="E151" t="s">
        <v>1964</v>
      </c>
      <c r="G151" t="s">
        <v>56</v>
      </c>
      <c r="H151" t="s">
        <v>57</v>
      </c>
      <c r="I151" t="s">
        <v>58</v>
      </c>
      <c r="J151" t="e">
        <v>#N/A</v>
      </c>
      <c r="K151" t="s">
        <v>1953</v>
      </c>
      <c r="L151" t="s">
        <v>1953</v>
      </c>
      <c r="M151" t="s">
        <v>7167</v>
      </c>
      <c r="N151" t="s">
        <v>7165</v>
      </c>
      <c r="O151" s="1" t="s">
        <v>603</v>
      </c>
      <c r="P151" t="s">
        <v>649</v>
      </c>
      <c r="Q151" s="1" t="s">
        <v>605</v>
      </c>
      <c r="R151" s="1" t="s">
        <v>127</v>
      </c>
      <c r="S151" s="1" t="s">
        <v>606</v>
      </c>
      <c r="T151" s="1">
        <v>11</v>
      </c>
      <c r="U151" s="1">
        <v>2124</v>
      </c>
      <c r="V151" s="1" t="s">
        <v>169</v>
      </c>
      <c r="W151" s="1" t="s">
        <v>170</v>
      </c>
      <c r="X151" t="s">
        <v>1965</v>
      </c>
      <c r="Y151" t="s">
        <v>1966</v>
      </c>
      <c r="AA151" t="s">
        <v>68</v>
      </c>
      <c r="AB151" t="s">
        <v>1967</v>
      </c>
      <c r="AC151" t="s">
        <v>1968</v>
      </c>
      <c r="AD151" t="s">
        <v>1969</v>
      </c>
      <c r="AE151" t="s">
        <v>1357</v>
      </c>
      <c r="AF151" t="s">
        <v>73</v>
      </c>
      <c r="AG151" t="s">
        <v>1970</v>
      </c>
      <c r="AH151" t="s">
        <v>75</v>
      </c>
      <c r="AI151" t="s">
        <v>76</v>
      </c>
      <c r="AJ151" t="s">
        <v>77</v>
      </c>
      <c r="AK151" t="s">
        <v>630</v>
      </c>
      <c r="AL151" t="s">
        <v>615</v>
      </c>
      <c r="AM151" t="s">
        <v>616</v>
      </c>
      <c r="AN151" t="s">
        <v>81</v>
      </c>
      <c r="AO151" t="s">
        <v>82</v>
      </c>
      <c r="AP151" t="s">
        <v>83</v>
      </c>
      <c r="AQ151" s="3">
        <v>41540</v>
      </c>
      <c r="AR151">
        <v>160339</v>
      </c>
      <c r="AS151">
        <v>5393603</v>
      </c>
      <c r="AT151">
        <v>161</v>
      </c>
      <c r="AU151" t="s">
        <v>84</v>
      </c>
      <c r="AV151">
        <v>562</v>
      </c>
      <c r="AW151" t="s">
        <v>85</v>
      </c>
      <c r="AX151" t="s">
        <v>86</v>
      </c>
      <c r="AY151">
        <v>562</v>
      </c>
      <c r="AZ151" t="s">
        <v>1971</v>
      </c>
      <c r="BA151" t="s">
        <v>88</v>
      </c>
      <c r="BC151" t="s">
        <v>659</v>
      </c>
      <c r="BD151">
        <v>0</v>
      </c>
      <c r="BE151">
        <v>0</v>
      </c>
    </row>
    <row r="152" spans="1:57" hidden="1" x14ac:dyDescent="0.2">
      <c r="A152" t="s">
        <v>1972</v>
      </c>
      <c r="B152" t="s">
        <v>1973</v>
      </c>
      <c r="C152" t="s">
        <v>1974</v>
      </c>
      <c r="D152" t="s">
        <v>1975</v>
      </c>
      <c r="E152" t="s">
        <v>1975</v>
      </c>
      <c r="G152" t="s">
        <v>56</v>
      </c>
      <c r="H152" t="s">
        <v>57</v>
      </c>
      <c r="I152" t="s">
        <v>58</v>
      </c>
      <c r="J152" t="e">
        <v>#N/A</v>
      </c>
      <c r="K152" t="s">
        <v>1941</v>
      </c>
      <c r="L152" t="s">
        <v>1941</v>
      </c>
      <c r="M152" t="s">
        <v>7167</v>
      </c>
      <c r="N152" t="s">
        <v>7165</v>
      </c>
      <c r="O152" s="1" t="s">
        <v>603</v>
      </c>
      <c r="P152">
        <v>0</v>
      </c>
      <c r="Q152" s="1" t="s">
        <v>605</v>
      </c>
      <c r="R152" s="1" t="s">
        <v>127</v>
      </c>
      <c r="S152" s="1" t="s">
        <v>606</v>
      </c>
      <c r="T152" s="1">
        <v>11</v>
      </c>
      <c r="U152" s="1">
        <v>2124</v>
      </c>
      <c r="V152" s="1" t="s">
        <v>169</v>
      </c>
      <c r="W152" s="1" t="s">
        <v>170</v>
      </c>
      <c r="X152" t="s">
        <v>1976</v>
      </c>
      <c r="Y152" t="s">
        <v>1977</v>
      </c>
      <c r="AA152" t="s">
        <v>68</v>
      </c>
      <c r="AB152" t="s">
        <v>1978</v>
      </c>
      <c r="AC152" t="s">
        <v>1979</v>
      </c>
      <c r="AD152" t="s">
        <v>1980</v>
      </c>
      <c r="AE152" t="s">
        <v>1369</v>
      </c>
      <c r="AF152" t="s">
        <v>73</v>
      </c>
      <c r="AG152" t="s">
        <v>1981</v>
      </c>
      <c r="AH152" t="s">
        <v>75</v>
      </c>
      <c r="AI152" t="s">
        <v>76</v>
      </c>
      <c r="AJ152" t="s">
        <v>77</v>
      </c>
      <c r="AK152" t="s">
        <v>669</v>
      </c>
      <c r="AL152" t="s">
        <v>615</v>
      </c>
      <c r="AM152" t="s">
        <v>616</v>
      </c>
      <c r="AN152" t="s">
        <v>81</v>
      </c>
      <c r="AO152" t="s">
        <v>82</v>
      </c>
      <c r="AP152" t="s">
        <v>83</v>
      </c>
      <c r="AQ152" s="3">
        <v>41541</v>
      </c>
      <c r="AR152">
        <v>155941</v>
      </c>
      <c r="AS152">
        <v>5404372</v>
      </c>
      <c r="AT152">
        <v>167</v>
      </c>
      <c r="AU152" t="s">
        <v>84</v>
      </c>
      <c r="AV152">
        <v>562</v>
      </c>
      <c r="AW152" t="s">
        <v>85</v>
      </c>
      <c r="AX152" t="s">
        <v>86</v>
      </c>
      <c r="AY152">
        <v>562</v>
      </c>
      <c r="AZ152" t="s">
        <v>1982</v>
      </c>
      <c r="BA152" t="s">
        <v>88</v>
      </c>
      <c r="BC152" t="s">
        <v>659</v>
      </c>
      <c r="BD152">
        <v>2</v>
      </c>
      <c r="BE152">
        <v>2</v>
      </c>
    </row>
    <row r="153" spans="1:57" hidden="1" x14ac:dyDescent="0.2">
      <c r="A153" t="s">
        <v>1983</v>
      </c>
      <c r="B153" t="s">
        <v>1984</v>
      </c>
      <c r="C153" t="s">
        <v>1985</v>
      </c>
      <c r="D153" t="s">
        <v>1986</v>
      </c>
      <c r="E153" t="s">
        <v>1986</v>
      </c>
      <c r="G153" t="s">
        <v>56</v>
      </c>
      <c r="H153" t="s">
        <v>57</v>
      </c>
      <c r="I153" t="s">
        <v>58</v>
      </c>
      <c r="J153" t="e">
        <v>#N/A</v>
      </c>
      <c r="K153" t="s">
        <v>1987</v>
      </c>
      <c r="L153" t="s">
        <v>1987</v>
      </c>
      <c r="M153" t="s">
        <v>7167</v>
      </c>
      <c r="N153" t="s">
        <v>7169</v>
      </c>
      <c r="O153" s="1" t="s">
        <v>603</v>
      </c>
      <c r="P153" t="s">
        <v>649</v>
      </c>
      <c r="Q153" s="1" t="s">
        <v>605</v>
      </c>
      <c r="R153" s="1" t="s">
        <v>127</v>
      </c>
      <c r="S153" s="1" t="s">
        <v>606</v>
      </c>
      <c r="T153" s="1">
        <v>11</v>
      </c>
      <c r="U153" s="1">
        <v>2124</v>
      </c>
      <c r="V153" s="1" t="s">
        <v>169</v>
      </c>
      <c r="W153" s="1" t="s">
        <v>170</v>
      </c>
      <c r="X153" t="s">
        <v>1988</v>
      </c>
      <c r="Y153" t="s">
        <v>1989</v>
      </c>
      <c r="AA153" t="s">
        <v>68</v>
      </c>
      <c r="AB153" t="s">
        <v>1990</v>
      </c>
      <c r="AC153" t="s">
        <v>1991</v>
      </c>
      <c r="AD153" t="s">
        <v>1992</v>
      </c>
      <c r="AE153" t="s">
        <v>1380</v>
      </c>
      <c r="AF153" t="s">
        <v>73</v>
      </c>
      <c r="AG153" t="s">
        <v>1993</v>
      </c>
      <c r="AH153" t="s">
        <v>75</v>
      </c>
      <c r="AI153" t="s">
        <v>76</v>
      </c>
      <c r="AJ153" t="s">
        <v>77</v>
      </c>
      <c r="AK153" t="s">
        <v>669</v>
      </c>
      <c r="AL153" t="s">
        <v>615</v>
      </c>
      <c r="AM153" t="s">
        <v>616</v>
      </c>
      <c r="AN153" t="s">
        <v>81</v>
      </c>
      <c r="AO153" t="s">
        <v>82</v>
      </c>
      <c r="AP153" t="s">
        <v>83</v>
      </c>
      <c r="AQ153" s="3">
        <v>41543</v>
      </c>
      <c r="AR153">
        <v>159779</v>
      </c>
      <c r="AS153">
        <v>5406852</v>
      </c>
      <c r="AT153">
        <v>163</v>
      </c>
      <c r="AU153" t="s">
        <v>84</v>
      </c>
      <c r="AV153">
        <v>562</v>
      </c>
      <c r="AW153" t="s">
        <v>85</v>
      </c>
      <c r="AX153" t="s">
        <v>86</v>
      </c>
      <c r="AY153">
        <v>562</v>
      </c>
      <c r="AZ153" t="s">
        <v>1994</v>
      </c>
      <c r="BA153" t="s">
        <v>88</v>
      </c>
      <c r="BC153" t="s">
        <v>659</v>
      </c>
      <c r="BD153">
        <v>0</v>
      </c>
      <c r="BE153">
        <v>1</v>
      </c>
    </row>
    <row r="154" spans="1:57" hidden="1" x14ac:dyDescent="0.2">
      <c r="A154" t="s">
        <v>1995</v>
      </c>
      <c r="B154" t="s">
        <v>1996</v>
      </c>
      <c r="C154" t="s">
        <v>1997</v>
      </c>
      <c r="D154" t="s">
        <v>1998</v>
      </c>
      <c r="E154" t="s">
        <v>1998</v>
      </c>
      <c r="G154" t="s">
        <v>56</v>
      </c>
      <c r="H154" t="s">
        <v>57</v>
      </c>
      <c r="I154" t="s">
        <v>58</v>
      </c>
      <c r="J154" t="e">
        <v>#N/A</v>
      </c>
      <c r="K154" t="s">
        <v>1987</v>
      </c>
      <c r="L154" t="s">
        <v>1987</v>
      </c>
      <c r="M154" t="s">
        <v>7167</v>
      </c>
      <c r="N154" t="s">
        <v>7165</v>
      </c>
      <c r="O154" s="1" t="s">
        <v>603</v>
      </c>
      <c r="P154" t="s">
        <v>649</v>
      </c>
      <c r="Q154" s="1" t="s">
        <v>605</v>
      </c>
      <c r="R154" s="1" t="s">
        <v>127</v>
      </c>
      <c r="S154" s="1" t="s">
        <v>606</v>
      </c>
      <c r="T154" s="1">
        <v>11</v>
      </c>
      <c r="U154" s="1">
        <v>2124</v>
      </c>
      <c r="V154" s="1" t="s">
        <v>169</v>
      </c>
      <c r="W154" s="1" t="s">
        <v>170</v>
      </c>
      <c r="X154" t="s">
        <v>1999</v>
      </c>
      <c r="Y154" t="s">
        <v>2000</v>
      </c>
      <c r="AA154" t="s">
        <v>68</v>
      </c>
      <c r="AB154" t="s">
        <v>2001</v>
      </c>
      <c r="AC154" t="s">
        <v>2002</v>
      </c>
      <c r="AD154" t="s">
        <v>2003</v>
      </c>
      <c r="AE154" t="s">
        <v>1380</v>
      </c>
      <c r="AF154" t="s">
        <v>73</v>
      </c>
      <c r="AG154" t="s">
        <v>2004</v>
      </c>
      <c r="AH154" t="s">
        <v>75</v>
      </c>
      <c r="AI154" t="s">
        <v>76</v>
      </c>
      <c r="AJ154" t="s">
        <v>77</v>
      </c>
      <c r="AK154" t="s">
        <v>2005</v>
      </c>
      <c r="AL154" t="s">
        <v>615</v>
      </c>
      <c r="AM154" t="s">
        <v>616</v>
      </c>
      <c r="AN154" t="s">
        <v>81</v>
      </c>
      <c r="AO154" t="s">
        <v>82</v>
      </c>
      <c r="AP154" t="s">
        <v>83</v>
      </c>
      <c r="AQ154" s="3">
        <v>41543</v>
      </c>
      <c r="AR154">
        <v>148975</v>
      </c>
      <c r="AS154">
        <v>5408564</v>
      </c>
      <c r="AT154">
        <v>151</v>
      </c>
      <c r="AU154" t="s">
        <v>84</v>
      </c>
      <c r="AV154">
        <v>562</v>
      </c>
      <c r="AW154" t="s">
        <v>85</v>
      </c>
      <c r="AX154" t="s">
        <v>86</v>
      </c>
      <c r="AY154">
        <v>562</v>
      </c>
      <c r="AZ154" t="s">
        <v>2006</v>
      </c>
      <c r="BA154" t="s">
        <v>88</v>
      </c>
      <c r="BC154" t="s">
        <v>659</v>
      </c>
      <c r="BD154">
        <v>0</v>
      </c>
      <c r="BE154">
        <v>1</v>
      </c>
    </row>
    <row r="155" spans="1:57" hidden="1" x14ac:dyDescent="0.2">
      <c r="A155" t="s">
        <v>2007</v>
      </c>
      <c r="B155" t="s">
        <v>2008</v>
      </c>
      <c r="C155" t="s">
        <v>2009</v>
      </c>
      <c r="D155" t="s">
        <v>2010</v>
      </c>
      <c r="E155" t="s">
        <v>2010</v>
      </c>
      <c r="G155" t="s">
        <v>56</v>
      </c>
      <c r="H155" t="s">
        <v>57</v>
      </c>
      <c r="I155" t="s">
        <v>58</v>
      </c>
      <c r="J155" t="e">
        <v>#N/A</v>
      </c>
      <c r="K155" t="s">
        <v>1094</v>
      </c>
      <c r="L155" t="s">
        <v>1094</v>
      </c>
      <c r="M155" t="s">
        <v>7165</v>
      </c>
      <c r="N155" t="s">
        <v>7165</v>
      </c>
      <c r="O155" s="1" t="s">
        <v>603</v>
      </c>
      <c r="P155" t="s">
        <v>649</v>
      </c>
      <c r="Q155" s="1" t="s">
        <v>605</v>
      </c>
      <c r="R155" s="1" t="s">
        <v>127</v>
      </c>
      <c r="S155" s="1" t="s">
        <v>606</v>
      </c>
      <c r="T155" s="1">
        <v>11</v>
      </c>
      <c r="U155" s="1">
        <v>2124</v>
      </c>
      <c r="V155" s="1" t="s">
        <v>169</v>
      </c>
      <c r="W155" s="1" t="s">
        <v>170</v>
      </c>
      <c r="X155" t="s">
        <v>2011</v>
      </c>
      <c r="Y155" t="s">
        <v>2012</v>
      </c>
      <c r="AA155" t="s">
        <v>68</v>
      </c>
      <c r="AB155" t="s">
        <v>2013</v>
      </c>
      <c r="AC155" t="s">
        <v>2014</v>
      </c>
      <c r="AD155" t="s">
        <v>2015</v>
      </c>
      <c r="AE155" t="s">
        <v>612</v>
      </c>
      <c r="AF155" t="s">
        <v>73</v>
      </c>
      <c r="AG155" t="s">
        <v>2016</v>
      </c>
      <c r="AH155" t="s">
        <v>75</v>
      </c>
      <c r="AI155" t="s">
        <v>76</v>
      </c>
      <c r="AJ155" t="s">
        <v>77</v>
      </c>
      <c r="AK155" t="s">
        <v>630</v>
      </c>
      <c r="AL155" t="s">
        <v>615</v>
      </c>
      <c r="AM155" t="s">
        <v>616</v>
      </c>
      <c r="AN155" t="s">
        <v>81</v>
      </c>
      <c r="AO155" t="s">
        <v>82</v>
      </c>
      <c r="AP155" t="s">
        <v>83</v>
      </c>
      <c r="AQ155">
        <v>2013</v>
      </c>
      <c r="AR155">
        <v>129212</v>
      </c>
      <c r="AS155">
        <v>5389800</v>
      </c>
      <c r="AT155">
        <v>200</v>
      </c>
      <c r="AU155" t="s">
        <v>84</v>
      </c>
      <c r="AV155">
        <v>562</v>
      </c>
      <c r="AW155" t="s">
        <v>85</v>
      </c>
      <c r="AX155" t="s">
        <v>86</v>
      </c>
      <c r="AY155">
        <v>562</v>
      </c>
      <c r="AZ155" t="s">
        <v>2017</v>
      </c>
      <c r="BA155" t="s">
        <v>88</v>
      </c>
      <c r="BC155" t="s">
        <v>841</v>
      </c>
      <c r="BD155">
        <v>18</v>
      </c>
      <c r="BE155">
        <v>19</v>
      </c>
    </row>
    <row r="156" spans="1:57" hidden="1" x14ac:dyDescent="0.2">
      <c r="A156" t="s">
        <v>2018</v>
      </c>
      <c r="B156" t="s">
        <v>2019</v>
      </c>
      <c r="C156" t="s">
        <v>2020</v>
      </c>
      <c r="D156" t="s">
        <v>2021</v>
      </c>
      <c r="E156" t="s">
        <v>2021</v>
      </c>
      <c r="G156" t="s">
        <v>56</v>
      </c>
      <c r="H156" t="s">
        <v>57</v>
      </c>
      <c r="I156" t="s">
        <v>58</v>
      </c>
      <c r="J156" t="e">
        <v>#N/A</v>
      </c>
      <c r="K156" t="s">
        <v>2022</v>
      </c>
      <c r="L156" t="s">
        <v>2022</v>
      </c>
      <c r="M156" t="s">
        <v>7165</v>
      </c>
      <c r="N156" t="s">
        <v>7165</v>
      </c>
      <c r="O156" s="1" t="s">
        <v>603</v>
      </c>
      <c r="P156" t="s">
        <v>649</v>
      </c>
      <c r="Q156" s="1" t="s">
        <v>875</v>
      </c>
      <c r="R156" s="1" t="s">
        <v>270</v>
      </c>
      <c r="S156" s="1" t="s">
        <v>701</v>
      </c>
      <c r="T156" s="1">
        <v>11</v>
      </c>
      <c r="U156" s="1">
        <v>2117</v>
      </c>
      <c r="V156" s="1" t="s">
        <v>1113</v>
      </c>
      <c r="W156" s="1" t="s">
        <v>170</v>
      </c>
      <c r="X156" t="s">
        <v>2023</v>
      </c>
      <c r="Y156" t="s">
        <v>2024</v>
      </c>
      <c r="AA156" t="s">
        <v>68</v>
      </c>
      <c r="AB156" t="s">
        <v>2025</v>
      </c>
      <c r="AC156" t="s">
        <v>2026</v>
      </c>
      <c r="AD156" t="s">
        <v>2027</v>
      </c>
      <c r="AE156" t="s">
        <v>628</v>
      </c>
      <c r="AF156" t="s">
        <v>73</v>
      </c>
      <c r="AG156" t="s">
        <v>2028</v>
      </c>
      <c r="AH156" t="s">
        <v>1120</v>
      </c>
      <c r="AI156" t="s">
        <v>76</v>
      </c>
      <c r="AJ156" t="s">
        <v>77</v>
      </c>
      <c r="AK156" t="s">
        <v>2029</v>
      </c>
      <c r="AL156" t="s">
        <v>1138</v>
      </c>
      <c r="AM156" t="s">
        <v>1123</v>
      </c>
      <c r="AN156" t="s">
        <v>158</v>
      </c>
      <c r="AO156" t="s">
        <v>159</v>
      </c>
      <c r="AP156" t="s">
        <v>83</v>
      </c>
      <c r="AQ156">
        <v>2013</v>
      </c>
      <c r="AR156">
        <v>103655</v>
      </c>
      <c r="AS156">
        <v>5400506</v>
      </c>
      <c r="AT156">
        <v>224</v>
      </c>
      <c r="AU156" t="s">
        <v>84</v>
      </c>
      <c r="AV156">
        <v>562</v>
      </c>
      <c r="AW156" t="s">
        <v>85</v>
      </c>
      <c r="AX156" t="s">
        <v>86</v>
      </c>
      <c r="AY156">
        <v>562</v>
      </c>
      <c r="AZ156" t="s">
        <v>2030</v>
      </c>
      <c r="BA156" t="s">
        <v>88</v>
      </c>
      <c r="BC156" t="s">
        <v>1125</v>
      </c>
      <c r="BD156">
        <v>27</v>
      </c>
    </row>
    <row r="157" spans="1:57" hidden="1" x14ac:dyDescent="0.2">
      <c r="A157" t="s">
        <v>2031</v>
      </c>
      <c r="B157" t="s">
        <v>2032</v>
      </c>
      <c r="C157" t="s">
        <v>2033</v>
      </c>
      <c r="D157" t="s">
        <v>2034</v>
      </c>
      <c r="E157" t="s">
        <v>2034</v>
      </c>
      <c r="F157" t="s">
        <v>2035</v>
      </c>
      <c r="G157" t="s">
        <v>56</v>
      </c>
      <c r="H157" t="s">
        <v>57</v>
      </c>
      <c r="I157" t="s">
        <v>58</v>
      </c>
      <c r="J157" t="e">
        <v>#N/A</v>
      </c>
      <c r="K157" t="s">
        <v>2036</v>
      </c>
      <c r="L157" t="s">
        <v>2036</v>
      </c>
      <c r="M157" t="s">
        <v>7165</v>
      </c>
      <c r="N157" t="s">
        <v>7165</v>
      </c>
      <c r="O157" s="1" t="s">
        <v>603</v>
      </c>
      <c r="P157" t="s">
        <v>649</v>
      </c>
      <c r="Q157" s="1" t="s">
        <v>605</v>
      </c>
      <c r="R157" s="1" t="s">
        <v>820</v>
      </c>
      <c r="S157" s="1" t="s">
        <v>821</v>
      </c>
      <c r="T157" s="1">
        <v>11</v>
      </c>
      <c r="U157" s="1">
        <v>2124</v>
      </c>
      <c r="V157" s="1" t="s">
        <v>169</v>
      </c>
      <c r="W157" s="1" t="s">
        <v>170</v>
      </c>
      <c r="X157" t="s">
        <v>2037</v>
      </c>
      <c r="Y157" t="s">
        <v>2038</v>
      </c>
      <c r="AA157" t="s">
        <v>68</v>
      </c>
      <c r="AB157" t="s">
        <v>2039</v>
      </c>
      <c r="AC157" t="s">
        <v>2040</v>
      </c>
      <c r="AD157" t="s">
        <v>2041</v>
      </c>
      <c r="AE157" t="s">
        <v>2042</v>
      </c>
      <c r="AF157" t="s">
        <v>73</v>
      </c>
      <c r="AG157" t="s">
        <v>2043</v>
      </c>
      <c r="AH157" t="s">
        <v>75</v>
      </c>
      <c r="AI157" t="s">
        <v>76</v>
      </c>
      <c r="AJ157" t="s">
        <v>77</v>
      </c>
      <c r="AK157" t="s">
        <v>2044</v>
      </c>
      <c r="AL157" t="s">
        <v>615</v>
      </c>
      <c r="AM157" t="s">
        <v>616</v>
      </c>
      <c r="AN157" t="s">
        <v>81</v>
      </c>
      <c r="AO157" t="s">
        <v>82</v>
      </c>
      <c r="AP157" t="s">
        <v>83</v>
      </c>
      <c r="AQ157">
        <v>2013</v>
      </c>
      <c r="AR157">
        <v>188463</v>
      </c>
      <c r="AS157">
        <v>5419310</v>
      </c>
      <c r="AT157">
        <v>220</v>
      </c>
      <c r="AU157" t="s">
        <v>84</v>
      </c>
      <c r="AV157">
        <v>562</v>
      </c>
      <c r="AW157" t="s">
        <v>85</v>
      </c>
      <c r="AX157" t="s">
        <v>86</v>
      </c>
      <c r="AY157">
        <v>562</v>
      </c>
      <c r="AZ157" t="s">
        <v>2045</v>
      </c>
      <c r="BA157" t="s">
        <v>88</v>
      </c>
      <c r="BC157" t="s">
        <v>2046</v>
      </c>
      <c r="BD157">
        <v>0</v>
      </c>
      <c r="BE157">
        <v>33</v>
      </c>
    </row>
    <row r="158" spans="1:57" hidden="1" x14ac:dyDescent="0.2">
      <c r="A158" t="s">
        <v>2047</v>
      </c>
      <c r="B158" t="s">
        <v>2048</v>
      </c>
      <c r="C158" t="s">
        <v>2049</v>
      </c>
      <c r="D158" t="s">
        <v>2050</v>
      </c>
      <c r="E158" t="s">
        <v>2050</v>
      </c>
      <c r="F158" t="s">
        <v>2035</v>
      </c>
      <c r="G158" t="s">
        <v>56</v>
      </c>
      <c r="H158" t="s">
        <v>57</v>
      </c>
      <c r="I158" t="s">
        <v>58</v>
      </c>
      <c r="J158" t="e">
        <v>#N/A</v>
      </c>
      <c r="K158" t="s">
        <v>2036</v>
      </c>
      <c r="L158" t="s">
        <v>2036</v>
      </c>
      <c r="M158" t="s">
        <v>7165</v>
      </c>
      <c r="N158" t="s">
        <v>7165</v>
      </c>
      <c r="O158" s="1" t="s">
        <v>603</v>
      </c>
      <c r="P158" t="s">
        <v>649</v>
      </c>
      <c r="Q158" s="1" t="s">
        <v>650</v>
      </c>
      <c r="R158" s="1" t="s">
        <v>820</v>
      </c>
      <c r="S158" s="1" t="s">
        <v>821</v>
      </c>
      <c r="T158" s="1">
        <v>11</v>
      </c>
      <c r="U158" s="1">
        <v>2124</v>
      </c>
      <c r="V158" s="1" t="s">
        <v>651</v>
      </c>
      <c r="W158" s="1">
        <v>0</v>
      </c>
      <c r="X158" t="s">
        <v>2051</v>
      </c>
      <c r="Y158" t="s">
        <v>2052</v>
      </c>
      <c r="AA158" t="s">
        <v>68</v>
      </c>
      <c r="AB158" t="s">
        <v>2053</v>
      </c>
      <c r="AC158" t="s">
        <v>2054</v>
      </c>
      <c r="AD158" t="s">
        <v>2055</v>
      </c>
      <c r="AE158" t="s">
        <v>2042</v>
      </c>
      <c r="AF158" t="s">
        <v>73</v>
      </c>
      <c r="AG158" t="s">
        <v>2056</v>
      </c>
      <c r="AH158" t="s">
        <v>75</v>
      </c>
      <c r="AI158" t="s">
        <v>76</v>
      </c>
      <c r="AJ158" t="s">
        <v>77</v>
      </c>
      <c r="AK158" t="s">
        <v>2057</v>
      </c>
      <c r="AL158" t="s">
        <v>615</v>
      </c>
      <c r="AM158" t="s">
        <v>616</v>
      </c>
      <c r="AN158" t="s">
        <v>81</v>
      </c>
      <c r="AO158" t="s">
        <v>82</v>
      </c>
      <c r="AP158" t="s">
        <v>83</v>
      </c>
      <c r="AQ158">
        <v>2013</v>
      </c>
      <c r="AR158">
        <v>157599</v>
      </c>
      <c r="AS158">
        <v>5433439</v>
      </c>
      <c r="AT158">
        <v>216</v>
      </c>
      <c r="AU158" t="s">
        <v>84</v>
      </c>
      <c r="AV158">
        <v>562</v>
      </c>
      <c r="AW158" t="s">
        <v>85</v>
      </c>
      <c r="AX158" t="s">
        <v>86</v>
      </c>
      <c r="AY158">
        <v>562</v>
      </c>
      <c r="AZ158" t="s">
        <v>2058</v>
      </c>
      <c r="BA158" t="s">
        <v>88</v>
      </c>
      <c r="BC158" t="s">
        <v>2046</v>
      </c>
      <c r="BD158">
        <v>0</v>
      </c>
      <c r="BE158">
        <v>33</v>
      </c>
    </row>
    <row r="159" spans="1:57" hidden="1" x14ac:dyDescent="0.2">
      <c r="A159" t="s">
        <v>2059</v>
      </c>
      <c r="B159" t="s">
        <v>2060</v>
      </c>
      <c r="C159" t="s">
        <v>2061</v>
      </c>
      <c r="D159" t="s">
        <v>2062</v>
      </c>
      <c r="E159" t="s">
        <v>2062</v>
      </c>
      <c r="G159" t="s">
        <v>56</v>
      </c>
      <c r="H159" t="s">
        <v>57</v>
      </c>
      <c r="I159" t="s">
        <v>58</v>
      </c>
      <c r="J159" t="e">
        <v>#N/A</v>
      </c>
      <c r="K159" t="s">
        <v>1327</v>
      </c>
      <c r="L159" t="s">
        <v>1327</v>
      </c>
      <c r="M159" t="s">
        <v>7165</v>
      </c>
      <c r="N159" t="s">
        <v>7165</v>
      </c>
      <c r="O159" s="1" t="s">
        <v>603</v>
      </c>
      <c r="P159" t="s">
        <v>649</v>
      </c>
      <c r="Q159" s="1" t="s">
        <v>875</v>
      </c>
      <c r="R159" s="1" t="s">
        <v>270</v>
      </c>
      <c r="S159" s="1" t="s">
        <v>701</v>
      </c>
      <c r="T159" s="1">
        <v>11</v>
      </c>
      <c r="U159" s="1">
        <v>2124</v>
      </c>
      <c r="V159" s="1" t="s">
        <v>169</v>
      </c>
      <c r="W159" s="1" t="s">
        <v>170</v>
      </c>
      <c r="X159" t="s">
        <v>2063</v>
      </c>
      <c r="Y159" t="s">
        <v>2064</v>
      </c>
      <c r="AA159" t="s">
        <v>68</v>
      </c>
      <c r="AB159" t="s">
        <v>2065</v>
      </c>
      <c r="AC159" t="s">
        <v>2066</v>
      </c>
      <c r="AD159" t="s">
        <v>2067</v>
      </c>
      <c r="AE159" t="s">
        <v>2042</v>
      </c>
      <c r="AF159" t="s">
        <v>73</v>
      </c>
      <c r="AG159" t="s">
        <v>2068</v>
      </c>
      <c r="AH159" t="s">
        <v>75</v>
      </c>
      <c r="AI159" t="s">
        <v>76</v>
      </c>
      <c r="AJ159" t="s">
        <v>77</v>
      </c>
      <c r="AK159" t="s">
        <v>1265</v>
      </c>
      <c r="AL159" t="s">
        <v>615</v>
      </c>
      <c r="AM159" t="s">
        <v>616</v>
      </c>
      <c r="AN159" t="s">
        <v>81</v>
      </c>
      <c r="AO159" t="s">
        <v>82</v>
      </c>
      <c r="AP159" t="s">
        <v>83</v>
      </c>
      <c r="AQ159">
        <v>2013</v>
      </c>
      <c r="AR159">
        <v>160334</v>
      </c>
      <c r="AS159">
        <v>5412944</v>
      </c>
      <c r="AT159">
        <v>188</v>
      </c>
      <c r="AU159" t="s">
        <v>84</v>
      </c>
      <c r="AV159">
        <v>562</v>
      </c>
      <c r="AW159" t="s">
        <v>85</v>
      </c>
      <c r="AX159" t="s">
        <v>86</v>
      </c>
      <c r="AY159">
        <v>562</v>
      </c>
      <c r="AZ159" t="s">
        <v>2069</v>
      </c>
      <c r="BA159" t="s">
        <v>88</v>
      </c>
    </row>
    <row r="160" spans="1:57" hidden="1" x14ac:dyDescent="0.2">
      <c r="A160" t="s">
        <v>2070</v>
      </c>
      <c r="B160" t="s">
        <v>2071</v>
      </c>
      <c r="C160" t="s">
        <v>2072</v>
      </c>
      <c r="D160" t="s">
        <v>2073</v>
      </c>
      <c r="E160" t="s">
        <v>2073</v>
      </c>
      <c r="G160" t="s">
        <v>56</v>
      </c>
      <c r="H160" t="s">
        <v>57</v>
      </c>
      <c r="I160" t="s">
        <v>58</v>
      </c>
      <c r="J160" t="e">
        <v>#N/A</v>
      </c>
      <c r="K160" t="s">
        <v>1094</v>
      </c>
      <c r="L160" t="s">
        <v>1094</v>
      </c>
      <c r="M160" t="s">
        <v>7165</v>
      </c>
      <c r="N160" t="s">
        <v>7165</v>
      </c>
      <c r="O160" s="1" t="s">
        <v>603</v>
      </c>
      <c r="P160" t="s">
        <v>649</v>
      </c>
      <c r="Q160" s="1" t="s">
        <v>605</v>
      </c>
      <c r="R160" s="1" t="s">
        <v>127</v>
      </c>
      <c r="S160" s="1" t="s">
        <v>606</v>
      </c>
      <c r="T160" s="1">
        <v>11</v>
      </c>
      <c r="U160" s="1">
        <v>2124</v>
      </c>
      <c r="V160" s="1" t="s">
        <v>169</v>
      </c>
      <c r="W160" s="1" t="s">
        <v>170</v>
      </c>
      <c r="X160" t="s">
        <v>2074</v>
      </c>
      <c r="Y160" t="s">
        <v>2075</v>
      </c>
      <c r="AA160" t="s">
        <v>68</v>
      </c>
      <c r="AB160" t="s">
        <v>2076</v>
      </c>
      <c r="AC160" t="s">
        <v>2077</v>
      </c>
      <c r="AD160" t="s">
        <v>2078</v>
      </c>
      <c r="AE160" t="s">
        <v>2079</v>
      </c>
      <c r="AF160" t="s">
        <v>73</v>
      </c>
      <c r="AG160" t="s">
        <v>2080</v>
      </c>
      <c r="AH160" t="s">
        <v>75</v>
      </c>
      <c r="AI160" t="s">
        <v>76</v>
      </c>
      <c r="AJ160" t="s">
        <v>77</v>
      </c>
      <c r="AK160" t="s">
        <v>669</v>
      </c>
      <c r="AL160" t="s">
        <v>615</v>
      </c>
      <c r="AM160" t="s">
        <v>616</v>
      </c>
      <c r="AN160" t="s">
        <v>81</v>
      </c>
      <c r="AO160" t="s">
        <v>82</v>
      </c>
      <c r="AP160" t="s">
        <v>83</v>
      </c>
      <c r="AQ160">
        <v>2014</v>
      </c>
      <c r="AR160">
        <v>100440</v>
      </c>
      <c r="AS160">
        <v>5414963</v>
      </c>
      <c r="AT160">
        <v>199</v>
      </c>
      <c r="AU160" t="s">
        <v>84</v>
      </c>
      <c r="AV160">
        <v>562</v>
      </c>
      <c r="AW160" t="s">
        <v>85</v>
      </c>
      <c r="AX160" t="s">
        <v>86</v>
      </c>
      <c r="AY160">
        <v>562</v>
      </c>
      <c r="AZ160" t="s">
        <v>2081</v>
      </c>
      <c r="BA160" t="s">
        <v>88</v>
      </c>
      <c r="BC160" t="s">
        <v>2082</v>
      </c>
      <c r="BE160">
        <v>43</v>
      </c>
    </row>
    <row r="161" spans="1:57" hidden="1" x14ac:dyDescent="0.2">
      <c r="A161" t="s">
        <v>2083</v>
      </c>
      <c r="B161" t="s">
        <v>2084</v>
      </c>
      <c r="C161" t="s">
        <v>2085</v>
      </c>
      <c r="D161" t="s">
        <v>2086</v>
      </c>
      <c r="E161" t="s">
        <v>2086</v>
      </c>
      <c r="G161" t="s">
        <v>56</v>
      </c>
      <c r="H161" t="s">
        <v>57</v>
      </c>
      <c r="I161" t="s">
        <v>58</v>
      </c>
      <c r="J161" t="e">
        <v>#N/A</v>
      </c>
      <c r="K161" t="s">
        <v>2087</v>
      </c>
      <c r="L161" t="s">
        <v>2087</v>
      </c>
      <c r="M161" t="s">
        <v>7165</v>
      </c>
      <c r="N161" t="s">
        <v>7165</v>
      </c>
      <c r="O161" s="1" t="s">
        <v>603</v>
      </c>
      <c r="P161" t="s">
        <v>649</v>
      </c>
      <c r="Q161" s="1" t="s">
        <v>875</v>
      </c>
      <c r="R161" s="1" t="s">
        <v>270</v>
      </c>
      <c r="S161" s="1" t="s">
        <v>701</v>
      </c>
      <c r="T161" s="1">
        <v>11</v>
      </c>
      <c r="U161" s="1">
        <v>2124</v>
      </c>
      <c r="V161" s="1" t="s">
        <v>2088</v>
      </c>
      <c r="W161" s="1" t="s">
        <v>170</v>
      </c>
      <c r="X161" t="s">
        <v>2089</v>
      </c>
      <c r="Y161" t="s">
        <v>2090</v>
      </c>
      <c r="AA161" t="s">
        <v>68</v>
      </c>
      <c r="AB161" t="s">
        <v>2091</v>
      </c>
      <c r="AC161" t="s">
        <v>2092</v>
      </c>
      <c r="AD161" t="s">
        <v>2093</v>
      </c>
      <c r="AE161" t="s">
        <v>2079</v>
      </c>
      <c r="AF161" t="s">
        <v>73</v>
      </c>
      <c r="AG161" t="s">
        <v>2094</v>
      </c>
      <c r="AH161" t="s">
        <v>2095</v>
      </c>
      <c r="AI161" t="s">
        <v>76</v>
      </c>
      <c r="AJ161" t="s">
        <v>77</v>
      </c>
      <c r="AK161" t="s">
        <v>2096</v>
      </c>
      <c r="AL161" t="s">
        <v>1531</v>
      </c>
      <c r="AM161" t="s">
        <v>2097</v>
      </c>
      <c r="AN161" t="s">
        <v>81</v>
      </c>
      <c r="AO161" t="s">
        <v>82</v>
      </c>
      <c r="AP161" t="s">
        <v>83</v>
      </c>
      <c r="AQ161">
        <v>2014</v>
      </c>
      <c r="AR161">
        <v>142384</v>
      </c>
      <c r="AS161">
        <v>5526979</v>
      </c>
      <c r="AT161">
        <v>191</v>
      </c>
      <c r="AU161" t="s">
        <v>84</v>
      </c>
      <c r="AV161">
        <v>562</v>
      </c>
      <c r="AW161" t="s">
        <v>85</v>
      </c>
      <c r="AX161" t="s">
        <v>86</v>
      </c>
      <c r="AY161">
        <v>562</v>
      </c>
      <c r="AZ161" t="s">
        <v>2098</v>
      </c>
      <c r="BA161" t="s">
        <v>88</v>
      </c>
      <c r="BC161" t="s">
        <v>1533</v>
      </c>
      <c r="BD161">
        <v>11</v>
      </c>
    </row>
    <row r="162" spans="1:57" hidden="1" x14ac:dyDescent="0.2">
      <c r="A162" t="s">
        <v>2099</v>
      </c>
      <c r="B162" t="s">
        <v>2100</v>
      </c>
      <c r="C162" t="s">
        <v>2101</v>
      </c>
      <c r="D162" t="s">
        <v>2102</v>
      </c>
      <c r="E162" t="s">
        <v>2102</v>
      </c>
      <c r="G162" t="s">
        <v>56</v>
      </c>
      <c r="H162" t="s">
        <v>57</v>
      </c>
      <c r="I162" t="s">
        <v>58</v>
      </c>
      <c r="J162" t="e">
        <v>#N/A</v>
      </c>
      <c r="K162" t="s">
        <v>2103</v>
      </c>
      <c r="L162" t="s">
        <v>2103</v>
      </c>
      <c r="M162" t="s">
        <v>7165</v>
      </c>
      <c r="N162" t="s">
        <v>7165</v>
      </c>
      <c r="O162" s="1" t="s">
        <v>603</v>
      </c>
      <c r="P162" t="s">
        <v>649</v>
      </c>
      <c r="Q162" s="1" t="s">
        <v>605</v>
      </c>
      <c r="R162" s="1" t="s">
        <v>127</v>
      </c>
      <c r="S162" s="1" t="s">
        <v>606</v>
      </c>
      <c r="T162" s="1">
        <v>11</v>
      </c>
      <c r="U162" s="1">
        <v>2124</v>
      </c>
      <c r="V162" s="1" t="s">
        <v>2104</v>
      </c>
      <c r="W162" s="1" t="s">
        <v>170</v>
      </c>
      <c r="X162" t="s">
        <v>2105</v>
      </c>
      <c r="Y162" t="s">
        <v>2106</v>
      </c>
      <c r="AA162" t="s">
        <v>68</v>
      </c>
      <c r="AB162" t="s">
        <v>2107</v>
      </c>
      <c r="AC162" t="s">
        <v>2108</v>
      </c>
      <c r="AD162" t="s">
        <v>2109</v>
      </c>
      <c r="AE162" t="s">
        <v>2079</v>
      </c>
      <c r="AF162" t="s">
        <v>73</v>
      </c>
      <c r="AG162" t="s">
        <v>2110</v>
      </c>
      <c r="AH162" t="s">
        <v>2111</v>
      </c>
      <c r="AI162" t="s">
        <v>76</v>
      </c>
      <c r="AJ162" t="s">
        <v>77</v>
      </c>
      <c r="AK162" t="s">
        <v>630</v>
      </c>
      <c r="AL162" t="s">
        <v>1104</v>
      </c>
      <c r="AM162" t="s">
        <v>2112</v>
      </c>
      <c r="AN162" t="s">
        <v>81</v>
      </c>
      <c r="AO162" t="s">
        <v>82</v>
      </c>
      <c r="AP162" t="s">
        <v>83</v>
      </c>
      <c r="AQ162">
        <v>2014</v>
      </c>
      <c r="AR162">
        <v>160336</v>
      </c>
      <c r="AS162">
        <v>5415372</v>
      </c>
      <c r="AT162">
        <v>144</v>
      </c>
      <c r="AU162" t="s">
        <v>84</v>
      </c>
      <c r="AV162">
        <v>562</v>
      </c>
      <c r="AW162" t="s">
        <v>85</v>
      </c>
      <c r="AX162" t="s">
        <v>86</v>
      </c>
      <c r="AY162">
        <v>562</v>
      </c>
      <c r="AZ162" t="s">
        <v>2113</v>
      </c>
      <c r="BA162" t="s">
        <v>88</v>
      </c>
      <c r="BC162" t="s">
        <v>2114</v>
      </c>
      <c r="BD162">
        <v>1</v>
      </c>
      <c r="BE162">
        <v>1</v>
      </c>
    </row>
    <row r="163" spans="1:57" hidden="1" x14ac:dyDescent="0.2">
      <c r="A163" t="s">
        <v>2115</v>
      </c>
      <c r="B163" t="s">
        <v>2116</v>
      </c>
      <c r="C163" t="s">
        <v>2101</v>
      </c>
      <c r="D163" t="s">
        <v>2117</v>
      </c>
      <c r="E163" t="s">
        <v>2117</v>
      </c>
      <c r="G163" t="s">
        <v>56</v>
      </c>
      <c r="H163" t="s">
        <v>57</v>
      </c>
      <c r="I163" t="s">
        <v>58</v>
      </c>
      <c r="J163" t="e">
        <v>#N/A</v>
      </c>
      <c r="K163" t="s">
        <v>2103</v>
      </c>
      <c r="L163" t="s">
        <v>2103</v>
      </c>
      <c r="M163" t="s">
        <v>7165</v>
      </c>
      <c r="N163" t="s">
        <v>7165</v>
      </c>
      <c r="O163" s="1" t="s">
        <v>603</v>
      </c>
      <c r="P163" t="s">
        <v>649</v>
      </c>
      <c r="Q163" s="1" t="s">
        <v>650</v>
      </c>
      <c r="R163" s="1" t="s">
        <v>127</v>
      </c>
      <c r="S163" s="1" t="s">
        <v>606</v>
      </c>
      <c r="T163" s="1">
        <v>11</v>
      </c>
      <c r="U163" s="1">
        <v>2124</v>
      </c>
      <c r="V163" s="1" t="s">
        <v>2118</v>
      </c>
      <c r="W163" s="1" t="s">
        <v>170</v>
      </c>
      <c r="X163" t="s">
        <v>2119</v>
      </c>
      <c r="Y163" t="s">
        <v>2120</v>
      </c>
      <c r="AA163" t="s">
        <v>68</v>
      </c>
      <c r="AB163" t="s">
        <v>2121</v>
      </c>
      <c r="AC163" t="s">
        <v>2122</v>
      </c>
      <c r="AD163" t="s">
        <v>2123</v>
      </c>
      <c r="AE163" t="s">
        <v>2124</v>
      </c>
      <c r="AF163" t="s">
        <v>73</v>
      </c>
      <c r="AG163" t="s">
        <v>2125</v>
      </c>
      <c r="AH163" t="s">
        <v>2126</v>
      </c>
      <c r="AI163" t="s">
        <v>76</v>
      </c>
      <c r="AJ163" t="s">
        <v>77</v>
      </c>
      <c r="AK163" t="s">
        <v>733</v>
      </c>
      <c r="AL163" t="s">
        <v>1104</v>
      </c>
      <c r="AM163" t="s">
        <v>2127</v>
      </c>
      <c r="AN163" t="s">
        <v>81</v>
      </c>
      <c r="AO163" t="s">
        <v>82</v>
      </c>
      <c r="AP163" t="s">
        <v>83</v>
      </c>
      <c r="AQ163">
        <v>2014</v>
      </c>
      <c r="AR163">
        <v>160336</v>
      </c>
      <c r="AS163">
        <v>5412369</v>
      </c>
      <c r="AT163">
        <v>158</v>
      </c>
      <c r="AU163" t="s">
        <v>84</v>
      </c>
      <c r="AV163">
        <v>562</v>
      </c>
      <c r="AW163" t="s">
        <v>85</v>
      </c>
      <c r="AX163" t="s">
        <v>86</v>
      </c>
      <c r="AY163">
        <v>562</v>
      </c>
      <c r="AZ163" t="s">
        <v>2128</v>
      </c>
      <c r="BA163" t="s">
        <v>88</v>
      </c>
      <c r="BC163" t="s">
        <v>2114</v>
      </c>
      <c r="BD163">
        <v>1</v>
      </c>
      <c r="BE163">
        <v>1</v>
      </c>
    </row>
    <row r="164" spans="1:57" hidden="1" x14ac:dyDescent="0.2">
      <c r="A164" t="s">
        <v>2129</v>
      </c>
      <c r="B164" t="s">
        <v>2130</v>
      </c>
      <c r="C164" t="s">
        <v>2101</v>
      </c>
      <c r="D164" t="s">
        <v>2131</v>
      </c>
      <c r="E164" t="s">
        <v>2131</v>
      </c>
      <c r="G164" t="s">
        <v>56</v>
      </c>
      <c r="H164" t="s">
        <v>57</v>
      </c>
      <c r="I164" t="s">
        <v>58</v>
      </c>
      <c r="J164" t="e">
        <v>#N/A</v>
      </c>
      <c r="K164" t="s">
        <v>2103</v>
      </c>
      <c r="L164" t="s">
        <v>2103</v>
      </c>
      <c r="M164" t="s">
        <v>7165</v>
      </c>
      <c r="N164" t="s">
        <v>7165</v>
      </c>
      <c r="O164" s="1" t="s">
        <v>603</v>
      </c>
      <c r="P164" t="s">
        <v>649</v>
      </c>
      <c r="Q164" s="1" t="s">
        <v>650</v>
      </c>
      <c r="R164" s="1" t="s">
        <v>127</v>
      </c>
      <c r="S164" s="1" t="s">
        <v>606</v>
      </c>
      <c r="T164" s="1">
        <v>11</v>
      </c>
      <c r="U164" s="1">
        <v>2124</v>
      </c>
      <c r="V164" s="1" t="s">
        <v>2118</v>
      </c>
      <c r="W164" s="1" t="s">
        <v>170</v>
      </c>
      <c r="X164" t="s">
        <v>2132</v>
      </c>
      <c r="Y164" t="s">
        <v>2133</v>
      </c>
      <c r="AA164" t="s">
        <v>68</v>
      </c>
      <c r="AB164" t="s">
        <v>2134</v>
      </c>
      <c r="AC164" t="s">
        <v>2135</v>
      </c>
      <c r="AD164" t="s">
        <v>2136</v>
      </c>
      <c r="AE164" t="s">
        <v>2124</v>
      </c>
      <c r="AF164" t="s">
        <v>73</v>
      </c>
      <c r="AG164" t="s">
        <v>2137</v>
      </c>
      <c r="AH164" t="s">
        <v>2126</v>
      </c>
      <c r="AI164" t="s">
        <v>76</v>
      </c>
      <c r="AJ164" t="s">
        <v>77</v>
      </c>
      <c r="AK164" t="s">
        <v>733</v>
      </c>
      <c r="AL164" t="s">
        <v>1104</v>
      </c>
      <c r="AM164" t="s">
        <v>2127</v>
      </c>
      <c r="AN164" t="s">
        <v>81</v>
      </c>
      <c r="AO164" t="s">
        <v>82</v>
      </c>
      <c r="AP164" t="s">
        <v>83</v>
      </c>
      <c r="AQ164">
        <v>2014</v>
      </c>
      <c r="AR164">
        <v>159795</v>
      </c>
      <c r="AS164">
        <v>5407846</v>
      </c>
      <c r="AT164">
        <v>161</v>
      </c>
      <c r="AU164" t="s">
        <v>84</v>
      </c>
      <c r="AV164">
        <v>562</v>
      </c>
      <c r="AW164" t="s">
        <v>85</v>
      </c>
      <c r="AX164" t="s">
        <v>86</v>
      </c>
      <c r="AY164">
        <v>562</v>
      </c>
      <c r="AZ164" t="s">
        <v>2138</v>
      </c>
      <c r="BA164" t="s">
        <v>88</v>
      </c>
      <c r="BC164" t="s">
        <v>2114</v>
      </c>
      <c r="BD164">
        <v>0</v>
      </c>
      <c r="BE164">
        <v>0</v>
      </c>
    </row>
    <row r="165" spans="1:57" hidden="1" x14ac:dyDescent="0.2">
      <c r="A165" t="s">
        <v>2139</v>
      </c>
      <c r="B165" t="s">
        <v>2140</v>
      </c>
      <c r="C165" t="s">
        <v>2101</v>
      </c>
      <c r="D165" t="s">
        <v>2141</v>
      </c>
      <c r="E165" t="s">
        <v>2141</v>
      </c>
      <c r="G165" t="s">
        <v>56</v>
      </c>
      <c r="H165" t="s">
        <v>57</v>
      </c>
      <c r="I165" t="s">
        <v>58</v>
      </c>
      <c r="J165" t="e">
        <v>#N/A</v>
      </c>
      <c r="K165" t="s">
        <v>2103</v>
      </c>
      <c r="L165" t="s">
        <v>2103</v>
      </c>
      <c r="M165" t="s">
        <v>7165</v>
      </c>
      <c r="N165" t="s">
        <v>7165</v>
      </c>
      <c r="O165" s="1" t="s">
        <v>603</v>
      </c>
      <c r="P165" t="s">
        <v>649</v>
      </c>
      <c r="Q165" s="1" t="s">
        <v>650</v>
      </c>
      <c r="R165" s="1" t="s">
        <v>127</v>
      </c>
      <c r="S165" s="1" t="s">
        <v>606</v>
      </c>
      <c r="T165" s="1">
        <v>11</v>
      </c>
      <c r="U165" s="1">
        <v>2124</v>
      </c>
      <c r="V165" s="1" t="s">
        <v>2142</v>
      </c>
      <c r="W165" s="1" t="s">
        <v>170</v>
      </c>
      <c r="X165" t="s">
        <v>2143</v>
      </c>
      <c r="Y165" t="s">
        <v>2144</v>
      </c>
      <c r="AA165" t="s">
        <v>68</v>
      </c>
      <c r="AB165" t="s">
        <v>2145</v>
      </c>
      <c r="AC165" t="s">
        <v>2146</v>
      </c>
      <c r="AD165" t="s">
        <v>2147</v>
      </c>
      <c r="AE165" t="s">
        <v>2124</v>
      </c>
      <c r="AF165" t="s">
        <v>73</v>
      </c>
      <c r="AG165" t="s">
        <v>2148</v>
      </c>
      <c r="AH165" t="s">
        <v>2126</v>
      </c>
      <c r="AI165" t="s">
        <v>76</v>
      </c>
      <c r="AJ165" t="s">
        <v>77</v>
      </c>
      <c r="AK165" t="s">
        <v>669</v>
      </c>
      <c r="AL165" t="s">
        <v>1104</v>
      </c>
      <c r="AM165" t="s">
        <v>2127</v>
      </c>
      <c r="AN165" t="s">
        <v>81</v>
      </c>
      <c r="AO165" t="s">
        <v>82</v>
      </c>
      <c r="AP165" t="s">
        <v>83</v>
      </c>
      <c r="AQ165">
        <v>2014</v>
      </c>
      <c r="AR165">
        <v>160336</v>
      </c>
      <c r="AS165">
        <v>5415727</v>
      </c>
      <c r="AT165">
        <v>150</v>
      </c>
      <c r="AU165" t="s">
        <v>84</v>
      </c>
      <c r="AV165">
        <v>562</v>
      </c>
      <c r="AW165" t="s">
        <v>85</v>
      </c>
      <c r="AX165" t="s">
        <v>86</v>
      </c>
      <c r="AY165">
        <v>562</v>
      </c>
      <c r="AZ165" t="s">
        <v>2149</v>
      </c>
      <c r="BA165" t="s">
        <v>88</v>
      </c>
      <c r="BC165" t="s">
        <v>2114</v>
      </c>
      <c r="BD165">
        <v>0</v>
      </c>
      <c r="BE165">
        <v>0</v>
      </c>
    </row>
    <row r="166" spans="1:57" hidden="1" x14ac:dyDescent="0.2">
      <c r="A166" t="s">
        <v>2150</v>
      </c>
      <c r="B166" t="s">
        <v>2151</v>
      </c>
      <c r="C166" t="s">
        <v>2101</v>
      </c>
      <c r="D166" t="s">
        <v>2152</v>
      </c>
      <c r="E166" t="s">
        <v>2152</v>
      </c>
      <c r="G166" t="s">
        <v>56</v>
      </c>
      <c r="H166" t="s">
        <v>57</v>
      </c>
      <c r="I166" t="s">
        <v>58</v>
      </c>
      <c r="J166" t="e">
        <v>#N/A</v>
      </c>
      <c r="K166" t="s">
        <v>2103</v>
      </c>
      <c r="L166" t="s">
        <v>2103</v>
      </c>
      <c r="M166" t="s">
        <v>7165</v>
      </c>
      <c r="N166" t="s">
        <v>7165</v>
      </c>
      <c r="O166" s="1" t="s">
        <v>603</v>
      </c>
      <c r="P166" t="s">
        <v>649</v>
      </c>
      <c r="Q166" s="1" t="s">
        <v>650</v>
      </c>
      <c r="R166" s="1" t="s">
        <v>127</v>
      </c>
      <c r="S166" s="1" t="s">
        <v>606</v>
      </c>
      <c r="T166" s="1">
        <v>11</v>
      </c>
      <c r="U166" s="1">
        <v>2124</v>
      </c>
      <c r="V166" s="1" t="s">
        <v>2118</v>
      </c>
      <c r="W166" s="1" t="s">
        <v>170</v>
      </c>
      <c r="X166" t="s">
        <v>2153</v>
      </c>
      <c r="Y166" t="s">
        <v>2154</v>
      </c>
      <c r="AA166" t="s">
        <v>68</v>
      </c>
      <c r="AB166" t="s">
        <v>2155</v>
      </c>
      <c r="AC166" t="s">
        <v>2156</v>
      </c>
      <c r="AD166" t="s">
        <v>2157</v>
      </c>
      <c r="AE166" t="s">
        <v>2124</v>
      </c>
      <c r="AF166" t="s">
        <v>73</v>
      </c>
      <c r="AG166" t="s">
        <v>2158</v>
      </c>
      <c r="AH166" t="s">
        <v>2126</v>
      </c>
      <c r="AI166" t="s">
        <v>76</v>
      </c>
      <c r="AJ166" t="s">
        <v>77</v>
      </c>
      <c r="AK166" t="s">
        <v>2159</v>
      </c>
      <c r="AL166" t="s">
        <v>1104</v>
      </c>
      <c r="AM166" t="s">
        <v>2127</v>
      </c>
      <c r="AN166" t="s">
        <v>158</v>
      </c>
      <c r="AO166" t="s">
        <v>159</v>
      </c>
      <c r="AP166" t="s">
        <v>83</v>
      </c>
      <c r="AQ166">
        <v>2014</v>
      </c>
      <c r="AR166">
        <v>188435</v>
      </c>
      <c r="AS166">
        <v>5413054</v>
      </c>
      <c r="AT166">
        <v>157</v>
      </c>
      <c r="AU166" t="s">
        <v>84</v>
      </c>
      <c r="AV166">
        <v>562</v>
      </c>
      <c r="AW166" t="s">
        <v>85</v>
      </c>
      <c r="AX166" t="s">
        <v>86</v>
      </c>
      <c r="AY166">
        <v>562</v>
      </c>
      <c r="AZ166" t="s">
        <v>2160</v>
      </c>
      <c r="BA166" t="s">
        <v>88</v>
      </c>
      <c r="BC166" t="s">
        <v>2114</v>
      </c>
      <c r="BD166">
        <v>0</v>
      </c>
      <c r="BE166">
        <v>0</v>
      </c>
    </row>
    <row r="167" spans="1:57" hidden="1" x14ac:dyDescent="0.2">
      <c r="A167" t="s">
        <v>2161</v>
      </c>
      <c r="B167" t="s">
        <v>2162</v>
      </c>
      <c r="C167" t="s">
        <v>2163</v>
      </c>
      <c r="D167" t="s">
        <v>2164</v>
      </c>
      <c r="E167" t="s">
        <v>2164</v>
      </c>
      <c r="G167" t="s">
        <v>56</v>
      </c>
      <c r="H167" t="s">
        <v>57</v>
      </c>
      <c r="I167" t="s">
        <v>58</v>
      </c>
      <c r="J167" t="e">
        <v>#N/A</v>
      </c>
      <c r="K167" t="s">
        <v>2165</v>
      </c>
      <c r="L167" t="s">
        <v>2165</v>
      </c>
      <c r="M167" t="s">
        <v>7165</v>
      </c>
      <c r="N167" t="s">
        <v>7165</v>
      </c>
      <c r="O167" s="1" t="s">
        <v>603</v>
      </c>
      <c r="P167" t="s">
        <v>649</v>
      </c>
      <c r="Q167" s="1" t="s">
        <v>875</v>
      </c>
      <c r="R167" s="1" t="s">
        <v>270</v>
      </c>
      <c r="S167" s="1" t="s">
        <v>701</v>
      </c>
      <c r="T167" s="1">
        <v>11</v>
      </c>
      <c r="U167" s="1">
        <v>2105</v>
      </c>
      <c r="V167" s="1" t="s">
        <v>2166</v>
      </c>
      <c r="W167" s="1" t="s">
        <v>170</v>
      </c>
      <c r="X167" t="s">
        <v>2167</v>
      </c>
      <c r="Y167" t="s">
        <v>2168</v>
      </c>
      <c r="AA167" t="s">
        <v>68</v>
      </c>
      <c r="AB167" t="s">
        <v>2169</v>
      </c>
      <c r="AC167" t="s">
        <v>2170</v>
      </c>
      <c r="AD167" t="s">
        <v>2171</v>
      </c>
      <c r="AE167" t="s">
        <v>2124</v>
      </c>
      <c r="AF167" t="s">
        <v>73</v>
      </c>
      <c r="AG167" t="s">
        <v>2172</v>
      </c>
      <c r="AH167" t="s">
        <v>2173</v>
      </c>
      <c r="AI167" t="s">
        <v>76</v>
      </c>
      <c r="AJ167" t="s">
        <v>77</v>
      </c>
      <c r="AK167" t="s">
        <v>2174</v>
      </c>
      <c r="AL167" t="s">
        <v>615</v>
      </c>
      <c r="AM167" t="s">
        <v>2175</v>
      </c>
      <c r="AN167" t="s">
        <v>81</v>
      </c>
      <c r="AO167" t="s">
        <v>82</v>
      </c>
      <c r="AP167" t="s">
        <v>83</v>
      </c>
      <c r="AQ167">
        <v>2014</v>
      </c>
      <c r="AR167">
        <v>121906</v>
      </c>
      <c r="AS167">
        <v>5463540</v>
      </c>
      <c r="AT167">
        <v>174</v>
      </c>
      <c r="AU167" t="s">
        <v>84</v>
      </c>
      <c r="AV167">
        <v>562</v>
      </c>
      <c r="AW167" t="s">
        <v>85</v>
      </c>
      <c r="AX167" t="s">
        <v>86</v>
      </c>
      <c r="AY167">
        <v>562</v>
      </c>
      <c r="AZ167" t="s">
        <v>2176</v>
      </c>
      <c r="BA167" t="s">
        <v>88</v>
      </c>
      <c r="BC167" t="s">
        <v>2177</v>
      </c>
      <c r="BD167">
        <v>0</v>
      </c>
      <c r="BE167">
        <v>3</v>
      </c>
    </row>
    <row r="168" spans="1:57" hidden="1" x14ac:dyDescent="0.2">
      <c r="A168" t="s">
        <v>2178</v>
      </c>
      <c r="B168" t="s">
        <v>2179</v>
      </c>
      <c r="C168" t="s">
        <v>2163</v>
      </c>
      <c r="D168" t="s">
        <v>2180</v>
      </c>
      <c r="E168" t="s">
        <v>2180</v>
      </c>
      <c r="G168" t="s">
        <v>56</v>
      </c>
      <c r="H168" t="s">
        <v>57</v>
      </c>
      <c r="I168" t="s">
        <v>58</v>
      </c>
      <c r="J168" t="e">
        <v>#N/A</v>
      </c>
      <c r="K168" t="s">
        <v>2165</v>
      </c>
      <c r="L168" t="s">
        <v>2165</v>
      </c>
      <c r="M168" t="s">
        <v>7165</v>
      </c>
      <c r="N168" t="s">
        <v>7165</v>
      </c>
      <c r="O168" s="1" t="s">
        <v>603</v>
      </c>
      <c r="P168" t="s">
        <v>649</v>
      </c>
      <c r="Q168" s="1" t="s">
        <v>674</v>
      </c>
      <c r="R168" s="1" t="s">
        <v>270</v>
      </c>
      <c r="S168" s="1" t="s">
        <v>701</v>
      </c>
      <c r="T168" s="1">
        <v>11</v>
      </c>
      <c r="U168" s="1">
        <v>2105</v>
      </c>
      <c r="V168" s="1" t="s">
        <v>2181</v>
      </c>
      <c r="W168" s="1" t="s">
        <v>170</v>
      </c>
      <c r="X168" t="s">
        <v>2182</v>
      </c>
      <c r="Y168" t="s">
        <v>2183</v>
      </c>
      <c r="AA168" t="s">
        <v>68</v>
      </c>
      <c r="AB168" t="s">
        <v>2184</v>
      </c>
      <c r="AC168" t="s">
        <v>2185</v>
      </c>
      <c r="AD168" t="s">
        <v>2186</v>
      </c>
      <c r="AE168" t="s">
        <v>2124</v>
      </c>
      <c r="AF168" t="s">
        <v>73</v>
      </c>
      <c r="AG168" t="s">
        <v>2187</v>
      </c>
      <c r="AH168" t="s">
        <v>2173</v>
      </c>
      <c r="AI168" t="s">
        <v>76</v>
      </c>
      <c r="AJ168" t="s">
        <v>77</v>
      </c>
      <c r="AK168" t="s">
        <v>2188</v>
      </c>
      <c r="AL168" t="s">
        <v>615</v>
      </c>
      <c r="AM168" t="s">
        <v>2175</v>
      </c>
      <c r="AN168" t="s">
        <v>158</v>
      </c>
      <c r="AO168" t="s">
        <v>159</v>
      </c>
      <c r="AP168" t="s">
        <v>83</v>
      </c>
      <c r="AQ168">
        <v>2014</v>
      </c>
      <c r="AR168">
        <v>145284</v>
      </c>
      <c r="AS168">
        <v>5449700</v>
      </c>
      <c r="AT168">
        <v>186</v>
      </c>
      <c r="AU168" t="s">
        <v>84</v>
      </c>
      <c r="AV168">
        <v>562</v>
      </c>
      <c r="AW168" t="s">
        <v>85</v>
      </c>
      <c r="AX168" t="s">
        <v>86</v>
      </c>
      <c r="AY168">
        <v>562</v>
      </c>
      <c r="AZ168" t="s">
        <v>2189</v>
      </c>
      <c r="BA168" t="s">
        <v>88</v>
      </c>
      <c r="BC168" t="s">
        <v>2177</v>
      </c>
      <c r="BD168">
        <v>0</v>
      </c>
      <c r="BE168">
        <v>1</v>
      </c>
    </row>
    <row r="169" spans="1:57" hidden="1" x14ac:dyDescent="0.2">
      <c r="A169" t="s">
        <v>2190</v>
      </c>
      <c r="B169" t="s">
        <v>2191</v>
      </c>
      <c r="C169" t="s">
        <v>2192</v>
      </c>
      <c r="D169" t="s">
        <v>2193</v>
      </c>
      <c r="E169" t="s">
        <v>2193</v>
      </c>
      <c r="G169" t="s">
        <v>56</v>
      </c>
      <c r="H169" t="s">
        <v>57</v>
      </c>
      <c r="I169" t="s">
        <v>58</v>
      </c>
      <c r="J169" t="e">
        <v>#N/A</v>
      </c>
      <c r="K169" t="s">
        <v>2194</v>
      </c>
      <c r="L169" t="s">
        <v>2194</v>
      </c>
      <c r="M169" t="s">
        <v>7165</v>
      </c>
      <c r="N169" t="s">
        <v>7165</v>
      </c>
      <c r="O169" s="1" t="s">
        <v>603</v>
      </c>
      <c r="P169" t="s">
        <v>649</v>
      </c>
      <c r="Q169" s="1" t="s">
        <v>875</v>
      </c>
      <c r="R169" s="1" t="s">
        <v>270</v>
      </c>
      <c r="S169" s="1" t="s">
        <v>701</v>
      </c>
      <c r="T169" s="1">
        <v>11</v>
      </c>
      <c r="U169" s="1">
        <v>2105</v>
      </c>
      <c r="V169" s="1" t="s">
        <v>2166</v>
      </c>
      <c r="W169" s="1" t="s">
        <v>170</v>
      </c>
      <c r="X169" t="s">
        <v>2195</v>
      </c>
      <c r="Y169" t="s">
        <v>2196</v>
      </c>
      <c r="AA169" t="s">
        <v>68</v>
      </c>
      <c r="AB169" t="s">
        <v>2197</v>
      </c>
      <c r="AC169" t="s">
        <v>2198</v>
      </c>
      <c r="AD169" t="s">
        <v>2199</v>
      </c>
      <c r="AE169" t="s">
        <v>2200</v>
      </c>
      <c r="AF169" t="s">
        <v>73</v>
      </c>
      <c r="AG169" t="s">
        <v>2201</v>
      </c>
      <c r="AH169" t="s">
        <v>2173</v>
      </c>
      <c r="AI169" t="s">
        <v>76</v>
      </c>
      <c r="AJ169" t="s">
        <v>77</v>
      </c>
      <c r="AK169" t="s">
        <v>2188</v>
      </c>
      <c r="AL169" t="s">
        <v>615</v>
      </c>
      <c r="AM169" t="s">
        <v>2175</v>
      </c>
      <c r="AN169" t="s">
        <v>158</v>
      </c>
      <c r="AO169" t="s">
        <v>159</v>
      </c>
      <c r="AP169" t="s">
        <v>83</v>
      </c>
      <c r="AQ169">
        <v>2014</v>
      </c>
      <c r="AR169">
        <v>121906</v>
      </c>
      <c r="AS169">
        <v>5444142</v>
      </c>
      <c r="AT169">
        <v>196</v>
      </c>
      <c r="AU169" t="s">
        <v>84</v>
      </c>
      <c r="AV169">
        <v>562</v>
      </c>
      <c r="AW169" t="s">
        <v>85</v>
      </c>
      <c r="AX169" t="s">
        <v>86</v>
      </c>
      <c r="AY169">
        <v>562</v>
      </c>
      <c r="AZ169" t="s">
        <v>2202</v>
      </c>
      <c r="BA169" t="s">
        <v>88</v>
      </c>
      <c r="BC169" t="s">
        <v>2177</v>
      </c>
      <c r="BD169">
        <v>0</v>
      </c>
      <c r="BE169">
        <v>1</v>
      </c>
    </row>
    <row r="170" spans="1:57" hidden="1" x14ac:dyDescent="0.2">
      <c r="A170" t="s">
        <v>2203</v>
      </c>
      <c r="B170" t="s">
        <v>2204</v>
      </c>
      <c r="C170" t="s">
        <v>2192</v>
      </c>
      <c r="D170" t="s">
        <v>2205</v>
      </c>
      <c r="E170" t="s">
        <v>2205</v>
      </c>
      <c r="G170" t="s">
        <v>56</v>
      </c>
      <c r="H170" t="s">
        <v>57</v>
      </c>
      <c r="I170" t="s">
        <v>58</v>
      </c>
      <c r="J170" t="e">
        <v>#N/A</v>
      </c>
      <c r="K170" t="s">
        <v>2194</v>
      </c>
      <c r="L170" t="s">
        <v>2194</v>
      </c>
      <c r="M170" t="s">
        <v>7165</v>
      </c>
      <c r="N170" t="s">
        <v>7165</v>
      </c>
      <c r="O170" s="1" t="s">
        <v>603</v>
      </c>
      <c r="P170" t="s">
        <v>649</v>
      </c>
      <c r="Q170" s="1" t="s">
        <v>674</v>
      </c>
      <c r="R170" s="1" t="s">
        <v>270</v>
      </c>
      <c r="S170" s="1" t="s">
        <v>701</v>
      </c>
      <c r="T170" s="1">
        <v>11</v>
      </c>
      <c r="U170" s="1">
        <v>2105</v>
      </c>
      <c r="V170" s="1" t="s">
        <v>2181</v>
      </c>
      <c r="W170" s="1" t="s">
        <v>170</v>
      </c>
      <c r="X170" t="s">
        <v>2206</v>
      </c>
      <c r="Y170" t="s">
        <v>2207</v>
      </c>
      <c r="AA170" t="s">
        <v>68</v>
      </c>
      <c r="AB170" t="s">
        <v>2208</v>
      </c>
      <c r="AC170" t="s">
        <v>2209</v>
      </c>
      <c r="AD170" t="s">
        <v>2210</v>
      </c>
      <c r="AE170" t="s">
        <v>2200</v>
      </c>
      <c r="AF170" t="s">
        <v>73</v>
      </c>
      <c r="AG170" t="s">
        <v>2211</v>
      </c>
      <c r="AH170" t="s">
        <v>2173</v>
      </c>
      <c r="AI170" t="s">
        <v>76</v>
      </c>
      <c r="AJ170" t="s">
        <v>77</v>
      </c>
      <c r="AK170" t="s">
        <v>2188</v>
      </c>
      <c r="AL170" t="s">
        <v>615</v>
      </c>
      <c r="AM170" t="s">
        <v>2175</v>
      </c>
      <c r="AN170" t="s">
        <v>158</v>
      </c>
      <c r="AO170" t="s">
        <v>159</v>
      </c>
      <c r="AP170" t="s">
        <v>83</v>
      </c>
      <c r="AQ170">
        <v>2014</v>
      </c>
      <c r="AR170">
        <v>145284</v>
      </c>
      <c r="AS170">
        <v>5455180</v>
      </c>
      <c r="AT170">
        <v>186</v>
      </c>
      <c r="AU170" t="s">
        <v>84</v>
      </c>
      <c r="AV170">
        <v>562</v>
      </c>
      <c r="AW170" t="s">
        <v>85</v>
      </c>
      <c r="AX170" t="s">
        <v>86</v>
      </c>
      <c r="AY170">
        <v>562</v>
      </c>
      <c r="AZ170" t="s">
        <v>2212</v>
      </c>
      <c r="BA170" t="s">
        <v>88</v>
      </c>
      <c r="BC170" t="s">
        <v>2177</v>
      </c>
      <c r="BD170">
        <v>0</v>
      </c>
      <c r="BE170">
        <v>1</v>
      </c>
    </row>
    <row r="171" spans="1:57" hidden="1" x14ac:dyDescent="0.2">
      <c r="A171" t="s">
        <v>2213</v>
      </c>
      <c r="B171" t="s">
        <v>2214</v>
      </c>
      <c r="C171" t="s">
        <v>2215</v>
      </c>
      <c r="D171" t="s">
        <v>2216</v>
      </c>
      <c r="E171" t="s">
        <v>2216</v>
      </c>
      <c r="G171" t="s">
        <v>56</v>
      </c>
      <c r="H171" t="s">
        <v>57</v>
      </c>
      <c r="I171" t="s">
        <v>58</v>
      </c>
      <c r="J171" t="e">
        <v>#N/A</v>
      </c>
      <c r="K171" t="s">
        <v>2217</v>
      </c>
      <c r="L171" t="s">
        <v>2217</v>
      </c>
      <c r="M171" t="s">
        <v>7165</v>
      </c>
      <c r="N171" t="s">
        <v>7165</v>
      </c>
      <c r="O171" s="1" t="s">
        <v>603</v>
      </c>
      <c r="P171" t="s">
        <v>649</v>
      </c>
      <c r="Q171" s="1" t="s">
        <v>875</v>
      </c>
      <c r="R171" s="1" t="s">
        <v>270</v>
      </c>
      <c r="S171" s="1" t="s">
        <v>701</v>
      </c>
      <c r="T171" s="1">
        <v>11</v>
      </c>
      <c r="U171" s="1">
        <v>2105</v>
      </c>
      <c r="V171" s="1" t="s">
        <v>2166</v>
      </c>
      <c r="W171" s="1" t="s">
        <v>170</v>
      </c>
      <c r="X171" t="s">
        <v>2218</v>
      </c>
      <c r="Y171" t="s">
        <v>2219</v>
      </c>
      <c r="AA171" t="s">
        <v>68</v>
      </c>
      <c r="AB171" t="s">
        <v>2220</v>
      </c>
      <c r="AC171" t="s">
        <v>2221</v>
      </c>
      <c r="AD171" t="s">
        <v>2222</v>
      </c>
      <c r="AE171" t="s">
        <v>2200</v>
      </c>
      <c r="AF171" t="s">
        <v>73</v>
      </c>
      <c r="AG171" t="s">
        <v>2223</v>
      </c>
      <c r="AH171" t="s">
        <v>2173</v>
      </c>
      <c r="AI171" t="s">
        <v>76</v>
      </c>
      <c r="AJ171" t="s">
        <v>77</v>
      </c>
      <c r="AK171" t="s">
        <v>2224</v>
      </c>
      <c r="AL171" t="s">
        <v>615</v>
      </c>
      <c r="AM171" t="s">
        <v>2175</v>
      </c>
      <c r="AN171" t="s">
        <v>158</v>
      </c>
      <c r="AO171" t="s">
        <v>159</v>
      </c>
      <c r="AP171" t="s">
        <v>83</v>
      </c>
      <c r="AQ171">
        <v>2014</v>
      </c>
      <c r="AR171">
        <v>121906</v>
      </c>
      <c r="AS171">
        <v>5472494</v>
      </c>
      <c r="AT171">
        <v>172</v>
      </c>
      <c r="AU171" t="s">
        <v>84</v>
      </c>
      <c r="AV171">
        <v>562</v>
      </c>
      <c r="AW171" t="s">
        <v>85</v>
      </c>
      <c r="AX171" t="s">
        <v>86</v>
      </c>
      <c r="AY171">
        <v>562</v>
      </c>
      <c r="AZ171" t="s">
        <v>2225</v>
      </c>
      <c r="BA171" t="s">
        <v>88</v>
      </c>
      <c r="BC171" t="s">
        <v>2177</v>
      </c>
      <c r="BD171">
        <v>0</v>
      </c>
      <c r="BE171">
        <v>3</v>
      </c>
    </row>
    <row r="172" spans="1:57" hidden="1" x14ac:dyDescent="0.2">
      <c r="A172" t="s">
        <v>2226</v>
      </c>
      <c r="B172" t="s">
        <v>2227</v>
      </c>
      <c r="C172" t="s">
        <v>2215</v>
      </c>
      <c r="D172" t="s">
        <v>2228</v>
      </c>
      <c r="E172" t="s">
        <v>2228</v>
      </c>
      <c r="G172" t="s">
        <v>56</v>
      </c>
      <c r="H172" t="s">
        <v>57</v>
      </c>
      <c r="I172" t="s">
        <v>58</v>
      </c>
      <c r="J172" t="e">
        <v>#N/A</v>
      </c>
      <c r="K172" t="s">
        <v>2217</v>
      </c>
      <c r="L172" t="s">
        <v>2217</v>
      </c>
      <c r="M172" t="s">
        <v>7165</v>
      </c>
      <c r="N172" t="s">
        <v>7165</v>
      </c>
      <c r="O172" s="1" t="s">
        <v>603</v>
      </c>
      <c r="P172" t="s">
        <v>649</v>
      </c>
      <c r="Q172" s="1" t="s">
        <v>674</v>
      </c>
      <c r="R172" s="1" t="s">
        <v>270</v>
      </c>
      <c r="S172" s="1" t="s">
        <v>701</v>
      </c>
      <c r="T172" s="1">
        <v>11</v>
      </c>
      <c r="U172" s="1">
        <v>2105</v>
      </c>
      <c r="V172" s="1" t="s">
        <v>2181</v>
      </c>
      <c r="W172" s="1" t="s">
        <v>170</v>
      </c>
      <c r="X172" t="s">
        <v>2229</v>
      </c>
      <c r="Y172" t="s">
        <v>2230</v>
      </c>
      <c r="AA172" t="s">
        <v>68</v>
      </c>
      <c r="AB172" t="s">
        <v>2231</v>
      </c>
      <c r="AC172" t="s">
        <v>2232</v>
      </c>
      <c r="AD172" t="s">
        <v>2233</v>
      </c>
      <c r="AE172" t="s">
        <v>2200</v>
      </c>
      <c r="AF172" t="s">
        <v>73</v>
      </c>
      <c r="AG172" t="s">
        <v>2234</v>
      </c>
      <c r="AH172" t="s">
        <v>2173</v>
      </c>
      <c r="AI172" t="s">
        <v>76</v>
      </c>
      <c r="AJ172" t="s">
        <v>77</v>
      </c>
      <c r="AK172" t="s">
        <v>2235</v>
      </c>
      <c r="AL172" t="s">
        <v>615</v>
      </c>
      <c r="AM172" t="s">
        <v>2175</v>
      </c>
      <c r="AN172" t="s">
        <v>81</v>
      </c>
      <c r="AO172" t="s">
        <v>82</v>
      </c>
      <c r="AP172" t="s">
        <v>83</v>
      </c>
      <c r="AQ172">
        <v>2014</v>
      </c>
      <c r="AR172">
        <v>146663</v>
      </c>
      <c r="AS172">
        <v>5435432</v>
      </c>
      <c r="AT172">
        <v>189</v>
      </c>
      <c r="AU172" t="s">
        <v>84</v>
      </c>
      <c r="AV172">
        <v>562</v>
      </c>
      <c r="AW172" t="s">
        <v>85</v>
      </c>
      <c r="AX172" t="s">
        <v>86</v>
      </c>
      <c r="AY172">
        <v>562</v>
      </c>
      <c r="AZ172" t="s">
        <v>2236</v>
      </c>
      <c r="BA172" t="s">
        <v>88</v>
      </c>
      <c r="BC172" t="s">
        <v>2177</v>
      </c>
      <c r="BD172">
        <v>0</v>
      </c>
      <c r="BE172">
        <v>1</v>
      </c>
    </row>
    <row r="173" spans="1:57" hidden="1" x14ac:dyDescent="0.2">
      <c r="A173" t="s">
        <v>2237</v>
      </c>
      <c r="B173" t="s">
        <v>2238</v>
      </c>
      <c r="C173" t="s">
        <v>2239</v>
      </c>
      <c r="D173" t="s">
        <v>2240</v>
      </c>
      <c r="E173" t="s">
        <v>2240</v>
      </c>
      <c r="G173" t="s">
        <v>56</v>
      </c>
      <c r="H173" t="s">
        <v>57</v>
      </c>
      <c r="I173" t="s">
        <v>58</v>
      </c>
      <c r="J173" t="e">
        <v>#N/A</v>
      </c>
      <c r="K173" t="s">
        <v>2241</v>
      </c>
      <c r="L173" t="s">
        <v>2241</v>
      </c>
      <c r="M173" t="s">
        <v>7165</v>
      </c>
      <c r="N173" t="s">
        <v>7165</v>
      </c>
      <c r="O173" s="1" t="s">
        <v>603</v>
      </c>
      <c r="P173" t="s">
        <v>649</v>
      </c>
      <c r="Q173" s="1" t="s">
        <v>605</v>
      </c>
      <c r="R173" s="1" t="s">
        <v>127</v>
      </c>
      <c r="S173" s="1" t="s">
        <v>606</v>
      </c>
      <c r="T173" s="1">
        <v>11</v>
      </c>
      <c r="U173" s="1">
        <v>2124</v>
      </c>
      <c r="V173" s="1" t="s">
        <v>2104</v>
      </c>
      <c r="W173" s="1" t="s">
        <v>170</v>
      </c>
      <c r="X173" t="s">
        <v>2242</v>
      </c>
      <c r="Y173" t="s">
        <v>2243</v>
      </c>
      <c r="AA173" t="s">
        <v>68</v>
      </c>
      <c r="AB173" t="s">
        <v>2244</v>
      </c>
      <c r="AC173" t="s">
        <v>2245</v>
      </c>
      <c r="AD173" t="s">
        <v>2246</v>
      </c>
      <c r="AE173" t="s">
        <v>2247</v>
      </c>
      <c r="AF173" t="s">
        <v>73</v>
      </c>
      <c r="AG173" t="s">
        <v>2248</v>
      </c>
      <c r="AH173" t="s">
        <v>2126</v>
      </c>
      <c r="AI173" t="s">
        <v>76</v>
      </c>
      <c r="AJ173" t="s">
        <v>77</v>
      </c>
      <c r="AK173" t="s">
        <v>1161</v>
      </c>
      <c r="AL173" t="s">
        <v>1104</v>
      </c>
      <c r="AM173" t="s">
        <v>2127</v>
      </c>
      <c r="AN173" t="s">
        <v>158</v>
      </c>
      <c r="AO173" t="s">
        <v>159</v>
      </c>
      <c r="AP173" t="s">
        <v>83</v>
      </c>
      <c r="AQ173">
        <v>2014</v>
      </c>
      <c r="AR173">
        <v>160336</v>
      </c>
      <c r="AS173">
        <v>5410025</v>
      </c>
      <c r="AT173">
        <v>152</v>
      </c>
      <c r="AU173" t="s">
        <v>84</v>
      </c>
      <c r="AV173">
        <v>562</v>
      </c>
      <c r="AW173" t="s">
        <v>85</v>
      </c>
      <c r="AX173" t="s">
        <v>86</v>
      </c>
      <c r="AY173">
        <v>562</v>
      </c>
      <c r="AZ173" t="s">
        <v>2249</v>
      </c>
      <c r="BA173" t="s">
        <v>88</v>
      </c>
      <c r="BC173" t="s">
        <v>2114</v>
      </c>
      <c r="BD173">
        <v>0</v>
      </c>
      <c r="BE173">
        <v>0</v>
      </c>
    </row>
    <row r="174" spans="1:57" hidden="1" x14ac:dyDescent="0.2">
      <c r="A174" t="s">
        <v>2250</v>
      </c>
      <c r="B174" t="s">
        <v>2251</v>
      </c>
      <c r="C174" t="s">
        <v>2252</v>
      </c>
      <c r="D174" t="s">
        <v>2253</v>
      </c>
      <c r="E174" t="s">
        <v>2253</v>
      </c>
      <c r="G174" t="s">
        <v>56</v>
      </c>
      <c r="H174" t="s">
        <v>57</v>
      </c>
      <c r="I174" t="s">
        <v>58</v>
      </c>
      <c r="J174" t="e">
        <v>#N/A</v>
      </c>
      <c r="K174" t="s">
        <v>2254</v>
      </c>
      <c r="L174" t="s">
        <v>2254</v>
      </c>
      <c r="M174" t="s">
        <v>7165</v>
      </c>
      <c r="N174" t="s">
        <v>7165</v>
      </c>
      <c r="O174" s="1" t="s">
        <v>603</v>
      </c>
      <c r="P174" t="s">
        <v>649</v>
      </c>
      <c r="Q174" s="1" t="s">
        <v>875</v>
      </c>
      <c r="R174" s="1" t="s">
        <v>270</v>
      </c>
      <c r="S174" s="1" t="s">
        <v>701</v>
      </c>
      <c r="T174" s="1">
        <v>11</v>
      </c>
      <c r="U174" s="1">
        <v>2105</v>
      </c>
      <c r="V174" s="1" t="s">
        <v>2166</v>
      </c>
      <c r="W174" s="1" t="s">
        <v>170</v>
      </c>
      <c r="X174" t="s">
        <v>2255</v>
      </c>
      <c r="Y174" t="s">
        <v>2256</v>
      </c>
      <c r="AA174" t="s">
        <v>68</v>
      </c>
      <c r="AB174" t="s">
        <v>2257</v>
      </c>
      <c r="AC174" t="s">
        <v>2258</v>
      </c>
      <c r="AD174" t="s">
        <v>2259</v>
      </c>
      <c r="AE174" t="s">
        <v>2247</v>
      </c>
      <c r="AF174" t="s">
        <v>73</v>
      </c>
      <c r="AG174" t="s">
        <v>2260</v>
      </c>
      <c r="AH174" t="s">
        <v>2173</v>
      </c>
      <c r="AI174" t="s">
        <v>76</v>
      </c>
      <c r="AJ174" t="s">
        <v>77</v>
      </c>
      <c r="AK174" t="s">
        <v>2224</v>
      </c>
      <c r="AL174" t="s">
        <v>615</v>
      </c>
      <c r="AM174" t="s">
        <v>2175</v>
      </c>
      <c r="AN174" t="s">
        <v>158</v>
      </c>
      <c r="AO174" t="s">
        <v>159</v>
      </c>
      <c r="AP174" t="s">
        <v>83</v>
      </c>
      <c r="AQ174">
        <v>2014</v>
      </c>
      <c r="AR174">
        <v>148116</v>
      </c>
      <c r="AS174">
        <v>5439426</v>
      </c>
      <c r="AT174">
        <v>180</v>
      </c>
      <c r="AU174" t="s">
        <v>84</v>
      </c>
      <c r="AV174">
        <v>562</v>
      </c>
      <c r="AW174" t="s">
        <v>85</v>
      </c>
      <c r="AX174" t="s">
        <v>86</v>
      </c>
      <c r="AY174">
        <v>562</v>
      </c>
      <c r="AZ174" t="s">
        <v>2261</v>
      </c>
      <c r="BA174" t="s">
        <v>88</v>
      </c>
      <c r="BC174" t="s">
        <v>2177</v>
      </c>
      <c r="BD174">
        <v>0</v>
      </c>
      <c r="BE174">
        <v>1</v>
      </c>
    </row>
    <row r="175" spans="1:57" hidden="1" x14ac:dyDescent="0.2">
      <c r="A175" t="s">
        <v>2262</v>
      </c>
      <c r="B175" t="s">
        <v>2263</v>
      </c>
      <c r="C175" t="s">
        <v>2252</v>
      </c>
      <c r="D175" t="s">
        <v>2264</v>
      </c>
      <c r="E175" t="s">
        <v>2264</v>
      </c>
      <c r="G175" t="s">
        <v>56</v>
      </c>
      <c r="H175" t="s">
        <v>57</v>
      </c>
      <c r="I175" t="s">
        <v>58</v>
      </c>
      <c r="J175" t="e">
        <v>#N/A</v>
      </c>
      <c r="K175" t="s">
        <v>2254</v>
      </c>
      <c r="L175" t="s">
        <v>2254</v>
      </c>
      <c r="M175" t="s">
        <v>7165</v>
      </c>
      <c r="N175" t="s">
        <v>7165</v>
      </c>
      <c r="O175" s="1" t="s">
        <v>603</v>
      </c>
      <c r="P175" t="s">
        <v>649</v>
      </c>
      <c r="Q175" s="1" t="s">
        <v>674</v>
      </c>
      <c r="R175" s="1" t="s">
        <v>270</v>
      </c>
      <c r="S175" s="1" t="s">
        <v>701</v>
      </c>
      <c r="T175" s="1">
        <v>11</v>
      </c>
      <c r="U175" s="1">
        <v>2105</v>
      </c>
      <c r="V175" s="1" t="s">
        <v>2181</v>
      </c>
      <c r="W175" s="1" t="s">
        <v>170</v>
      </c>
      <c r="X175" t="s">
        <v>2265</v>
      </c>
      <c r="Y175" t="s">
        <v>2266</v>
      </c>
      <c r="AA175" t="s">
        <v>68</v>
      </c>
      <c r="AB175" t="s">
        <v>2267</v>
      </c>
      <c r="AC175" t="s">
        <v>2268</v>
      </c>
      <c r="AD175" t="s">
        <v>2269</v>
      </c>
      <c r="AE175" t="s">
        <v>2247</v>
      </c>
      <c r="AF175" t="s">
        <v>73</v>
      </c>
      <c r="AG175" t="s">
        <v>2270</v>
      </c>
      <c r="AH175" t="s">
        <v>2173</v>
      </c>
      <c r="AI175" t="s">
        <v>76</v>
      </c>
      <c r="AJ175" t="s">
        <v>77</v>
      </c>
      <c r="AK175" t="s">
        <v>2224</v>
      </c>
      <c r="AL175" t="s">
        <v>615</v>
      </c>
      <c r="AM175" t="s">
        <v>2175</v>
      </c>
      <c r="AN175" t="s">
        <v>158</v>
      </c>
      <c r="AO175" t="s">
        <v>159</v>
      </c>
      <c r="AP175" t="s">
        <v>83</v>
      </c>
      <c r="AQ175">
        <v>2014</v>
      </c>
      <c r="AR175">
        <v>120927</v>
      </c>
      <c r="AS175">
        <v>5446116</v>
      </c>
      <c r="AT175">
        <v>208</v>
      </c>
      <c r="AU175" t="s">
        <v>84</v>
      </c>
      <c r="AV175">
        <v>562</v>
      </c>
      <c r="AW175" t="s">
        <v>85</v>
      </c>
      <c r="AX175" t="s">
        <v>86</v>
      </c>
      <c r="AY175">
        <v>562</v>
      </c>
      <c r="AZ175" t="s">
        <v>2271</v>
      </c>
      <c r="BA175" t="s">
        <v>88</v>
      </c>
      <c r="BC175" t="s">
        <v>2177</v>
      </c>
      <c r="BD175">
        <v>0</v>
      </c>
      <c r="BE175">
        <v>1</v>
      </c>
    </row>
    <row r="176" spans="1:57" hidden="1" x14ac:dyDescent="0.2">
      <c r="A176" t="s">
        <v>2272</v>
      </c>
      <c r="B176" t="s">
        <v>2273</v>
      </c>
      <c r="C176" t="s">
        <v>2274</v>
      </c>
      <c r="D176" t="s">
        <v>2275</v>
      </c>
      <c r="E176" t="s">
        <v>2275</v>
      </c>
      <c r="G176" t="s">
        <v>56</v>
      </c>
      <c r="H176" t="s">
        <v>57</v>
      </c>
      <c r="I176" t="s">
        <v>58</v>
      </c>
      <c r="J176" t="e">
        <v>#N/A</v>
      </c>
      <c r="K176" t="s">
        <v>2276</v>
      </c>
      <c r="L176" t="s">
        <v>2276</v>
      </c>
      <c r="M176" t="s">
        <v>7170</v>
      </c>
      <c r="N176" t="s">
        <v>7165</v>
      </c>
      <c r="O176" s="1" t="s">
        <v>603</v>
      </c>
      <c r="P176" t="s">
        <v>649</v>
      </c>
      <c r="Q176" s="1" t="s">
        <v>875</v>
      </c>
      <c r="R176" s="1" t="s">
        <v>270</v>
      </c>
      <c r="S176" s="1" t="s">
        <v>701</v>
      </c>
      <c r="T176" s="1">
        <v>11</v>
      </c>
      <c r="U176" s="1">
        <v>2105</v>
      </c>
      <c r="V176" s="1" t="s">
        <v>2277</v>
      </c>
      <c r="W176" s="1" t="s">
        <v>170</v>
      </c>
      <c r="X176" t="s">
        <v>2278</v>
      </c>
      <c r="Y176" t="s">
        <v>2279</v>
      </c>
      <c r="AA176" t="s">
        <v>68</v>
      </c>
      <c r="AB176" t="s">
        <v>2280</v>
      </c>
      <c r="AC176" t="s">
        <v>2281</v>
      </c>
      <c r="AD176" t="s">
        <v>2282</v>
      </c>
      <c r="AE176" t="s">
        <v>2247</v>
      </c>
      <c r="AF176" t="s">
        <v>73</v>
      </c>
      <c r="AG176" t="s">
        <v>2283</v>
      </c>
      <c r="AH176" t="s">
        <v>2173</v>
      </c>
      <c r="AI176" t="s">
        <v>76</v>
      </c>
      <c r="AJ176" t="s">
        <v>77</v>
      </c>
      <c r="AK176" t="s">
        <v>2235</v>
      </c>
      <c r="AL176" t="s">
        <v>615</v>
      </c>
      <c r="AM176" t="s">
        <v>2175</v>
      </c>
      <c r="AN176" t="s">
        <v>81</v>
      </c>
      <c r="AO176" t="s">
        <v>82</v>
      </c>
      <c r="AP176" t="s">
        <v>83</v>
      </c>
      <c r="AQ176">
        <v>2014</v>
      </c>
      <c r="AR176">
        <v>146673</v>
      </c>
      <c r="AS176">
        <v>5459024</v>
      </c>
      <c r="AT176">
        <v>192</v>
      </c>
      <c r="AU176" t="s">
        <v>84</v>
      </c>
      <c r="AV176">
        <v>562</v>
      </c>
      <c r="AW176" t="s">
        <v>85</v>
      </c>
      <c r="AX176" t="s">
        <v>86</v>
      </c>
      <c r="AY176">
        <v>562</v>
      </c>
      <c r="AZ176" t="s">
        <v>2284</v>
      </c>
      <c r="BA176" t="s">
        <v>88</v>
      </c>
      <c r="BC176" t="s">
        <v>2177</v>
      </c>
      <c r="BD176">
        <v>1</v>
      </c>
      <c r="BE176">
        <v>2</v>
      </c>
    </row>
    <row r="177" spans="1:57" hidden="1" x14ac:dyDescent="0.2">
      <c r="A177" t="s">
        <v>2285</v>
      </c>
      <c r="B177" t="s">
        <v>2286</v>
      </c>
      <c r="C177" t="s">
        <v>2274</v>
      </c>
      <c r="D177" t="s">
        <v>2287</v>
      </c>
      <c r="E177" t="s">
        <v>2287</v>
      </c>
      <c r="G177" t="s">
        <v>56</v>
      </c>
      <c r="H177" t="s">
        <v>57</v>
      </c>
      <c r="I177" t="s">
        <v>58</v>
      </c>
      <c r="J177" t="e">
        <v>#N/A</v>
      </c>
      <c r="K177" t="s">
        <v>2276</v>
      </c>
      <c r="L177" t="s">
        <v>2276</v>
      </c>
      <c r="M177" t="s">
        <v>7170</v>
      </c>
      <c r="N177" t="s">
        <v>7165</v>
      </c>
      <c r="O177" s="1" t="s">
        <v>603</v>
      </c>
      <c r="P177" t="s">
        <v>649</v>
      </c>
      <c r="Q177" s="1" t="s">
        <v>674</v>
      </c>
      <c r="R177" s="1" t="s">
        <v>270</v>
      </c>
      <c r="S177" s="1" t="s">
        <v>701</v>
      </c>
      <c r="T177" s="1">
        <v>11</v>
      </c>
      <c r="U177" s="1">
        <v>2105</v>
      </c>
      <c r="V177" s="1" t="s">
        <v>2181</v>
      </c>
      <c r="W177" s="1" t="s">
        <v>170</v>
      </c>
      <c r="X177" t="s">
        <v>2288</v>
      </c>
      <c r="Y177" t="s">
        <v>2289</v>
      </c>
      <c r="AA177" t="s">
        <v>68</v>
      </c>
      <c r="AB177" t="s">
        <v>2290</v>
      </c>
      <c r="AC177" t="s">
        <v>2291</v>
      </c>
      <c r="AD177" t="s">
        <v>2292</v>
      </c>
      <c r="AE177" t="s">
        <v>2247</v>
      </c>
      <c r="AF177" t="s">
        <v>73</v>
      </c>
      <c r="AG177" t="s">
        <v>2293</v>
      </c>
      <c r="AH177" t="s">
        <v>2173</v>
      </c>
      <c r="AI177" t="s">
        <v>76</v>
      </c>
      <c r="AJ177" t="s">
        <v>77</v>
      </c>
      <c r="AK177" t="s">
        <v>2188</v>
      </c>
      <c r="AL177" t="s">
        <v>615</v>
      </c>
      <c r="AM177" t="s">
        <v>2175</v>
      </c>
      <c r="AN177" t="s">
        <v>158</v>
      </c>
      <c r="AO177" t="s">
        <v>159</v>
      </c>
      <c r="AP177" t="s">
        <v>83</v>
      </c>
      <c r="AQ177">
        <v>2014</v>
      </c>
      <c r="AR177">
        <v>133225</v>
      </c>
      <c r="AS177">
        <v>5443035</v>
      </c>
      <c r="AT177">
        <v>198</v>
      </c>
      <c r="AU177" t="s">
        <v>84</v>
      </c>
      <c r="AV177">
        <v>562</v>
      </c>
      <c r="AW177" t="s">
        <v>85</v>
      </c>
      <c r="AX177" t="s">
        <v>86</v>
      </c>
      <c r="AY177">
        <v>562</v>
      </c>
      <c r="AZ177" t="s">
        <v>2294</v>
      </c>
      <c r="BA177" t="s">
        <v>88</v>
      </c>
      <c r="BC177" t="s">
        <v>2177</v>
      </c>
      <c r="BD177">
        <v>0</v>
      </c>
      <c r="BE177">
        <v>1</v>
      </c>
    </row>
    <row r="178" spans="1:57" hidden="1" x14ac:dyDescent="0.2">
      <c r="A178" t="s">
        <v>2295</v>
      </c>
      <c r="B178" t="s">
        <v>2296</v>
      </c>
      <c r="C178" t="s">
        <v>2297</v>
      </c>
      <c r="D178" t="s">
        <v>2298</v>
      </c>
      <c r="E178" t="s">
        <v>2298</v>
      </c>
      <c r="G178" t="s">
        <v>56</v>
      </c>
      <c r="H178" t="s">
        <v>57</v>
      </c>
      <c r="I178" t="s">
        <v>58</v>
      </c>
      <c r="J178" t="e">
        <v>#N/A</v>
      </c>
      <c r="K178" t="s">
        <v>2276</v>
      </c>
      <c r="L178" t="s">
        <v>2276</v>
      </c>
      <c r="M178" t="s">
        <v>7170</v>
      </c>
      <c r="N178" t="s">
        <v>7165</v>
      </c>
      <c r="O178" s="1" t="s">
        <v>603</v>
      </c>
      <c r="P178" t="s">
        <v>649</v>
      </c>
      <c r="Q178" s="1" t="s">
        <v>650</v>
      </c>
      <c r="R178" s="1" t="s">
        <v>127</v>
      </c>
      <c r="S178" s="1" t="s">
        <v>606</v>
      </c>
      <c r="T178" s="1">
        <v>11</v>
      </c>
      <c r="U178" s="1">
        <v>2124</v>
      </c>
      <c r="V178" s="1" t="s">
        <v>2142</v>
      </c>
      <c r="W178" s="1" t="s">
        <v>170</v>
      </c>
      <c r="X178" t="s">
        <v>2299</v>
      </c>
      <c r="Y178" t="s">
        <v>2300</v>
      </c>
      <c r="AA178" t="s">
        <v>68</v>
      </c>
      <c r="AB178" t="s">
        <v>2301</v>
      </c>
      <c r="AC178" t="s">
        <v>2302</v>
      </c>
      <c r="AD178" t="s">
        <v>2303</v>
      </c>
      <c r="AE178" t="s">
        <v>2247</v>
      </c>
      <c r="AF178" t="s">
        <v>73</v>
      </c>
      <c r="AG178" t="s">
        <v>2304</v>
      </c>
      <c r="AH178" t="s">
        <v>2126</v>
      </c>
      <c r="AI178" t="s">
        <v>76</v>
      </c>
      <c r="AJ178" t="s">
        <v>77</v>
      </c>
      <c r="AK178" t="s">
        <v>1161</v>
      </c>
      <c r="AL178" t="s">
        <v>1104</v>
      </c>
      <c r="AM178" t="s">
        <v>2127</v>
      </c>
      <c r="AN178" t="s">
        <v>158</v>
      </c>
      <c r="AO178" t="s">
        <v>159</v>
      </c>
      <c r="AP178" t="s">
        <v>83</v>
      </c>
      <c r="AQ178">
        <v>2014</v>
      </c>
      <c r="AR178">
        <v>188435</v>
      </c>
      <c r="AS178">
        <v>5407934</v>
      </c>
      <c r="AT178">
        <v>147</v>
      </c>
      <c r="AU178" t="s">
        <v>84</v>
      </c>
      <c r="AV178">
        <v>562</v>
      </c>
      <c r="AW178" t="s">
        <v>85</v>
      </c>
      <c r="AX178" t="s">
        <v>86</v>
      </c>
      <c r="AY178">
        <v>562</v>
      </c>
      <c r="AZ178" t="s">
        <v>2305</v>
      </c>
      <c r="BA178" t="s">
        <v>88</v>
      </c>
      <c r="BC178" t="s">
        <v>2306</v>
      </c>
      <c r="BD178">
        <v>3</v>
      </c>
      <c r="BE178">
        <v>3</v>
      </c>
    </row>
    <row r="179" spans="1:57" hidden="1" x14ac:dyDescent="0.2">
      <c r="A179" t="s">
        <v>2307</v>
      </c>
      <c r="B179" t="s">
        <v>2308</v>
      </c>
      <c r="C179" t="s">
        <v>2297</v>
      </c>
      <c r="D179" t="s">
        <v>2309</v>
      </c>
      <c r="E179" t="s">
        <v>2309</v>
      </c>
      <c r="G179" t="s">
        <v>56</v>
      </c>
      <c r="H179" t="s">
        <v>57</v>
      </c>
      <c r="I179" t="s">
        <v>58</v>
      </c>
      <c r="J179" t="e">
        <v>#N/A</v>
      </c>
      <c r="K179" t="s">
        <v>2276</v>
      </c>
      <c r="L179" t="s">
        <v>2276</v>
      </c>
      <c r="M179" t="s">
        <v>7170</v>
      </c>
      <c r="N179" t="s">
        <v>7165</v>
      </c>
      <c r="O179" s="1" t="s">
        <v>603</v>
      </c>
      <c r="P179" t="s">
        <v>649</v>
      </c>
      <c r="Q179" s="1" t="s">
        <v>650</v>
      </c>
      <c r="R179" s="1" t="s">
        <v>127</v>
      </c>
      <c r="S179" s="1" t="s">
        <v>606</v>
      </c>
      <c r="T179" s="1">
        <v>11</v>
      </c>
      <c r="U179" s="1">
        <v>2124</v>
      </c>
      <c r="V179" s="1" t="s">
        <v>2142</v>
      </c>
      <c r="W179" s="1" t="s">
        <v>170</v>
      </c>
      <c r="X179" t="s">
        <v>2310</v>
      </c>
      <c r="Y179" t="s">
        <v>2311</v>
      </c>
      <c r="AA179" t="s">
        <v>68</v>
      </c>
      <c r="AB179" t="s">
        <v>2312</v>
      </c>
      <c r="AC179" t="s">
        <v>2313</v>
      </c>
      <c r="AD179" t="s">
        <v>2314</v>
      </c>
      <c r="AE179" t="s">
        <v>2315</v>
      </c>
      <c r="AF179" t="s">
        <v>73</v>
      </c>
      <c r="AG179" t="s">
        <v>2316</v>
      </c>
      <c r="AH179" t="s">
        <v>2126</v>
      </c>
      <c r="AI179" t="s">
        <v>76</v>
      </c>
      <c r="AJ179" t="s">
        <v>77</v>
      </c>
      <c r="AK179" t="s">
        <v>1103</v>
      </c>
      <c r="AL179" t="s">
        <v>1104</v>
      </c>
      <c r="AM179" t="s">
        <v>2127</v>
      </c>
      <c r="AN179" t="s">
        <v>158</v>
      </c>
      <c r="AO179" t="s">
        <v>159</v>
      </c>
      <c r="AP179" t="s">
        <v>83</v>
      </c>
      <c r="AQ179">
        <v>2014</v>
      </c>
      <c r="AR179">
        <v>188064</v>
      </c>
      <c r="AS179">
        <v>5428588</v>
      </c>
      <c r="AT179">
        <v>172</v>
      </c>
      <c r="AU179" t="s">
        <v>84</v>
      </c>
      <c r="AV179">
        <v>562</v>
      </c>
      <c r="AW179" t="s">
        <v>85</v>
      </c>
      <c r="AX179" t="s">
        <v>86</v>
      </c>
      <c r="AY179">
        <v>562</v>
      </c>
      <c r="AZ179" t="s">
        <v>2317</v>
      </c>
      <c r="BA179" t="s">
        <v>88</v>
      </c>
      <c r="BC179" t="s">
        <v>2306</v>
      </c>
      <c r="BD179">
        <v>3</v>
      </c>
      <c r="BE179">
        <v>1</v>
      </c>
    </row>
    <row r="180" spans="1:57" hidden="1" x14ac:dyDescent="0.2">
      <c r="A180" t="s">
        <v>2318</v>
      </c>
      <c r="B180" t="s">
        <v>2319</v>
      </c>
      <c r="C180" t="s">
        <v>2320</v>
      </c>
      <c r="D180" t="s">
        <v>2321</v>
      </c>
      <c r="E180" t="s">
        <v>2321</v>
      </c>
      <c r="G180" t="s">
        <v>56</v>
      </c>
      <c r="H180" t="s">
        <v>57</v>
      </c>
      <c r="I180" t="s">
        <v>58</v>
      </c>
      <c r="J180" t="e">
        <v>#N/A</v>
      </c>
      <c r="K180" t="s">
        <v>2276</v>
      </c>
      <c r="L180" t="s">
        <v>2276</v>
      </c>
      <c r="M180" t="s">
        <v>7170</v>
      </c>
      <c r="N180" t="s">
        <v>7165</v>
      </c>
      <c r="O180" s="1" t="s">
        <v>603</v>
      </c>
      <c r="P180" t="s">
        <v>649</v>
      </c>
      <c r="Q180" s="1" t="s">
        <v>875</v>
      </c>
      <c r="R180" s="1" t="s">
        <v>270</v>
      </c>
      <c r="S180" s="1" t="s">
        <v>701</v>
      </c>
      <c r="T180" s="1">
        <v>11</v>
      </c>
      <c r="U180" s="1">
        <v>2105</v>
      </c>
      <c r="V180" s="1" t="s">
        <v>2166</v>
      </c>
      <c r="W180" s="1" t="s">
        <v>170</v>
      </c>
      <c r="X180" t="s">
        <v>2322</v>
      </c>
      <c r="Y180" t="s">
        <v>2323</v>
      </c>
      <c r="AA180" t="s">
        <v>68</v>
      </c>
      <c r="AB180" t="s">
        <v>2324</v>
      </c>
      <c r="AC180" t="s">
        <v>2325</v>
      </c>
      <c r="AD180" t="s">
        <v>2326</v>
      </c>
      <c r="AE180" t="s">
        <v>2315</v>
      </c>
      <c r="AF180" t="s">
        <v>73</v>
      </c>
      <c r="AG180" t="s">
        <v>2327</v>
      </c>
      <c r="AH180" t="s">
        <v>2173</v>
      </c>
      <c r="AI180" t="s">
        <v>76</v>
      </c>
      <c r="AJ180" t="s">
        <v>77</v>
      </c>
      <c r="AK180" t="s">
        <v>2328</v>
      </c>
      <c r="AL180" t="s">
        <v>615</v>
      </c>
      <c r="AM180" t="s">
        <v>2175</v>
      </c>
      <c r="AN180" t="s">
        <v>158</v>
      </c>
      <c r="AO180" t="s">
        <v>159</v>
      </c>
      <c r="AP180" t="s">
        <v>83</v>
      </c>
      <c r="AQ180">
        <v>2014</v>
      </c>
      <c r="AR180">
        <v>120927</v>
      </c>
      <c r="AS180">
        <v>5445847</v>
      </c>
      <c r="AT180">
        <v>198</v>
      </c>
      <c r="AU180" t="s">
        <v>84</v>
      </c>
      <c r="AV180">
        <v>562</v>
      </c>
      <c r="AW180" t="s">
        <v>85</v>
      </c>
      <c r="AX180" t="s">
        <v>86</v>
      </c>
      <c r="AY180">
        <v>562</v>
      </c>
      <c r="AZ180" t="s">
        <v>2329</v>
      </c>
      <c r="BA180" t="s">
        <v>88</v>
      </c>
      <c r="BC180" t="s">
        <v>2177</v>
      </c>
      <c r="BD180">
        <v>0</v>
      </c>
      <c r="BE180">
        <v>1</v>
      </c>
    </row>
    <row r="181" spans="1:57" hidden="1" x14ac:dyDescent="0.2">
      <c r="A181" t="s">
        <v>2330</v>
      </c>
      <c r="B181" t="s">
        <v>2331</v>
      </c>
      <c r="C181" t="s">
        <v>2332</v>
      </c>
      <c r="D181" s="6" t="s">
        <v>2333</v>
      </c>
      <c r="E181" t="s">
        <v>2334</v>
      </c>
      <c r="G181" t="s">
        <v>56</v>
      </c>
      <c r="H181" t="s">
        <v>57</v>
      </c>
      <c r="I181" t="s">
        <v>58</v>
      </c>
      <c r="J181" t="e">
        <v>#N/A</v>
      </c>
      <c r="K181" t="s">
        <v>2276</v>
      </c>
      <c r="L181" t="s">
        <v>2276</v>
      </c>
      <c r="M181" t="s">
        <v>7170</v>
      </c>
      <c r="N181" t="s">
        <v>7165</v>
      </c>
      <c r="O181" s="1" t="s">
        <v>603</v>
      </c>
      <c r="P181" t="s">
        <v>649</v>
      </c>
      <c r="Q181" s="1" t="s">
        <v>674</v>
      </c>
      <c r="R181" s="1" t="s">
        <v>270</v>
      </c>
      <c r="S181" s="1" t="e">
        <v>#N/A</v>
      </c>
      <c r="T181" s="1">
        <v>11</v>
      </c>
      <c r="U181" s="1">
        <v>15642</v>
      </c>
      <c r="V181" s="1" t="s">
        <v>651</v>
      </c>
      <c r="W181" s="1" t="s">
        <v>170</v>
      </c>
      <c r="X181" t="s">
        <v>2335</v>
      </c>
      <c r="Y181" t="s">
        <v>2336</v>
      </c>
      <c r="AA181" t="s">
        <v>68</v>
      </c>
      <c r="AB181" t="s">
        <v>2337</v>
      </c>
      <c r="AC181" t="s">
        <v>2338</v>
      </c>
      <c r="AD181" t="s">
        <v>2339</v>
      </c>
      <c r="AE181" t="s">
        <v>2315</v>
      </c>
      <c r="AF181" t="s">
        <v>73</v>
      </c>
      <c r="AG181" t="s">
        <v>2340</v>
      </c>
      <c r="AH181" t="s">
        <v>75</v>
      </c>
      <c r="AI181" t="s">
        <v>76</v>
      </c>
      <c r="AJ181" t="s">
        <v>77</v>
      </c>
      <c r="AK181" t="s">
        <v>2341</v>
      </c>
      <c r="AL181" t="s">
        <v>79</v>
      </c>
      <c r="AM181" t="s">
        <v>596</v>
      </c>
      <c r="AN181" t="s">
        <v>81</v>
      </c>
      <c r="AO181" t="s">
        <v>82</v>
      </c>
      <c r="AP181" t="s">
        <v>83</v>
      </c>
      <c r="AQ181">
        <v>2014</v>
      </c>
      <c r="AR181">
        <v>138961</v>
      </c>
      <c r="AS181">
        <v>5284346</v>
      </c>
      <c r="AT181">
        <v>198</v>
      </c>
      <c r="AU181" t="s">
        <v>84</v>
      </c>
      <c r="AV181">
        <v>562</v>
      </c>
      <c r="AW181" t="s">
        <v>85</v>
      </c>
      <c r="AX181" t="s">
        <v>86</v>
      </c>
      <c r="AY181">
        <v>562</v>
      </c>
      <c r="AZ181" t="s">
        <v>2342</v>
      </c>
      <c r="BA181" t="s">
        <v>88</v>
      </c>
      <c r="BC181" t="s">
        <v>2343</v>
      </c>
      <c r="BD181">
        <v>0</v>
      </c>
      <c r="BE181">
        <v>19</v>
      </c>
    </row>
    <row r="182" spans="1:57" hidden="1" x14ac:dyDescent="0.2">
      <c r="A182" t="s">
        <v>2344</v>
      </c>
      <c r="B182" t="s">
        <v>2345</v>
      </c>
      <c r="C182" t="s">
        <v>2332</v>
      </c>
      <c r="D182" t="s">
        <v>2346</v>
      </c>
      <c r="E182" t="s">
        <v>2346</v>
      </c>
      <c r="G182" t="s">
        <v>56</v>
      </c>
      <c r="H182" t="s">
        <v>57</v>
      </c>
      <c r="I182" t="s">
        <v>58</v>
      </c>
      <c r="J182" t="e">
        <v>#N/A</v>
      </c>
      <c r="K182" t="s">
        <v>2276</v>
      </c>
      <c r="L182" t="s">
        <v>2276</v>
      </c>
      <c r="M182" t="s">
        <v>7170</v>
      </c>
      <c r="N182" t="s">
        <v>7165</v>
      </c>
      <c r="O182" s="1" t="s">
        <v>603</v>
      </c>
      <c r="P182" t="s">
        <v>649</v>
      </c>
      <c r="Q182" s="1" t="s">
        <v>674</v>
      </c>
      <c r="R182" s="1" t="s">
        <v>270</v>
      </c>
      <c r="S182" s="1" t="e">
        <v>#N/A</v>
      </c>
      <c r="T182" s="1">
        <v>11</v>
      </c>
      <c r="U182" s="1">
        <v>15642</v>
      </c>
      <c r="V182" s="1" t="s">
        <v>651</v>
      </c>
      <c r="W182" s="1" t="s">
        <v>170</v>
      </c>
      <c r="X182" t="s">
        <v>2347</v>
      </c>
      <c r="Y182" t="s">
        <v>2348</v>
      </c>
      <c r="AA182" t="s">
        <v>68</v>
      </c>
      <c r="AB182" t="s">
        <v>2349</v>
      </c>
      <c r="AC182" t="s">
        <v>2350</v>
      </c>
      <c r="AD182" t="s">
        <v>2351</v>
      </c>
      <c r="AE182" t="s">
        <v>2315</v>
      </c>
      <c r="AF182" t="s">
        <v>73</v>
      </c>
      <c r="AG182" t="s">
        <v>2352</v>
      </c>
      <c r="AH182" t="s">
        <v>75</v>
      </c>
      <c r="AI182" t="s">
        <v>76</v>
      </c>
      <c r="AJ182" t="s">
        <v>77</v>
      </c>
      <c r="AK182" t="s">
        <v>2353</v>
      </c>
      <c r="AL182" t="s">
        <v>79</v>
      </c>
      <c r="AM182" t="s">
        <v>596</v>
      </c>
      <c r="AN182" t="s">
        <v>81</v>
      </c>
      <c r="AO182" t="s">
        <v>82</v>
      </c>
      <c r="AP182" t="s">
        <v>83</v>
      </c>
      <c r="AQ182">
        <v>2014</v>
      </c>
      <c r="AR182">
        <v>152915</v>
      </c>
      <c r="AS182">
        <v>5261428</v>
      </c>
      <c r="AT182">
        <v>146</v>
      </c>
      <c r="AU182" t="s">
        <v>84</v>
      </c>
      <c r="AV182">
        <v>562</v>
      </c>
      <c r="AW182" t="s">
        <v>85</v>
      </c>
      <c r="AX182" t="s">
        <v>86</v>
      </c>
      <c r="AY182">
        <v>562</v>
      </c>
      <c r="AZ182" t="s">
        <v>2354</v>
      </c>
      <c r="BA182" t="s">
        <v>88</v>
      </c>
      <c r="BC182" t="s">
        <v>2343</v>
      </c>
      <c r="BD182">
        <v>0</v>
      </c>
      <c r="BE182">
        <v>19</v>
      </c>
    </row>
    <row r="183" spans="1:57" hidden="1" x14ac:dyDescent="0.2">
      <c r="A183" t="s">
        <v>2355</v>
      </c>
      <c r="B183" t="s">
        <v>2356</v>
      </c>
      <c r="C183" t="s">
        <v>2357</v>
      </c>
      <c r="D183" t="s">
        <v>2358</v>
      </c>
      <c r="E183" t="s">
        <v>2358</v>
      </c>
      <c r="G183" t="s">
        <v>56</v>
      </c>
      <c r="H183" t="s">
        <v>57</v>
      </c>
      <c r="I183" t="s">
        <v>58</v>
      </c>
      <c r="J183" t="e">
        <v>#N/A</v>
      </c>
      <c r="K183" t="s">
        <v>2276</v>
      </c>
      <c r="L183" t="s">
        <v>2276</v>
      </c>
      <c r="M183" t="s">
        <v>7170</v>
      </c>
      <c r="N183" t="s">
        <v>60</v>
      </c>
      <c r="O183" s="1" t="s">
        <v>603</v>
      </c>
      <c r="P183" t="s">
        <v>649</v>
      </c>
      <c r="Q183" s="1" t="s">
        <v>875</v>
      </c>
      <c r="R183" s="1" t="s">
        <v>820</v>
      </c>
      <c r="S183" s="1" t="s">
        <v>2359</v>
      </c>
      <c r="T183" s="1">
        <v>11</v>
      </c>
      <c r="U183" s="1">
        <v>15642</v>
      </c>
      <c r="V183" s="1" t="s">
        <v>169</v>
      </c>
      <c r="W183" s="1" t="s">
        <v>170</v>
      </c>
      <c r="X183" t="s">
        <v>2360</v>
      </c>
      <c r="Y183" t="s">
        <v>2361</v>
      </c>
      <c r="AA183" t="s">
        <v>68</v>
      </c>
      <c r="AB183" t="s">
        <v>2362</v>
      </c>
      <c r="AC183" t="s">
        <v>2363</v>
      </c>
      <c r="AD183" t="s">
        <v>2364</v>
      </c>
      <c r="AE183" t="s">
        <v>2365</v>
      </c>
      <c r="AF183" t="s">
        <v>73</v>
      </c>
      <c r="AG183" t="s">
        <v>2366</v>
      </c>
      <c r="AH183" t="s">
        <v>75</v>
      </c>
      <c r="AI183" t="s">
        <v>76</v>
      </c>
      <c r="AJ183" t="s">
        <v>77</v>
      </c>
      <c r="AK183" t="s">
        <v>2367</v>
      </c>
      <c r="AL183" t="s">
        <v>79</v>
      </c>
      <c r="AM183" t="s">
        <v>596</v>
      </c>
      <c r="AN183" t="s">
        <v>81</v>
      </c>
      <c r="AO183" t="s">
        <v>82</v>
      </c>
      <c r="AP183" t="s">
        <v>83</v>
      </c>
      <c r="AQ183">
        <v>2014</v>
      </c>
      <c r="AR183">
        <v>88999</v>
      </c>
      <c r="AS183">
        <v>5294199</v>
      </c>
      <c r="AT183">
        <v>195</v>
      </c>
      <c r="AU183" t="s">
        <v>84</v>
      </c>
      <c r="AV183">
        <v>562</v>
      </c>
      <c r="AW183" t="s">
        <v>85</v>
      </c>
      <c r="AX183" t="s">
        <v>86</v>
      </c>
      <c r="AY183">
        <v>562</v>
      </c>
      <c r="AZ183" t="s">
        <v>2368</v>
      </c>
      <c r="BA183" t="s">
        <v>88</v>
      </c>
      <c r="BC183" t="s">
        <v>2343</v>
      </c>
      <c r="BD183">
        <v>2</v>
      </c>
      <c r="BE183">
        <v>21</v>
      </c>
    </row>
    <row r="184" spans="1:57" hidden="1" x14ac:dyDescent="0.2">
      <c r="A184" t="s">
        <v>2369</v>
      </c>
      <c r="B184" t="s">
        <v>2370</v>
      </c>
      <c r="C184" t="s">
        <v>2357</v>
      </c>
      <c r="D184" t="s">
        <v>2371</v>
      </c>
      <c r="E184" t="s">
        <v>2371</v>
      </c>
      <c r="G184" t="s">
        <v>56</v>
      </c>
      <c r="H184" t="s">
        <v>57</v>
      </c>
      <c r="I184" t="s">
        <v>58</v>
      </c>
      <c r="J184" t="e">
        <v>#N/A</v>
      </c>
      <c r="K184" t="s">
        <v>2276</v>
      </c>
      <c r="L184" t="s">
        <v>2276</v>
      </c>
      <c r="M184" t="s">
        <v>7170</v>
      </c>
      <c r="N184" t="s">
        <v>60</v>
      </c>
      <c r="O184" s="1" t="s">
        <v>603</v>
      </c>
      <c r="P184" t="s">
        <v>649</v>
      </c>
      <c r="Q184" s="1" t="s">
        <v>674</v>
      </c>
      <c r="R184" s="1" t="s">
        <v>270</v>
      </c>
      <c r="S184" s="1" t="e">
        <v>#N/A</v>
      </c>
      <c r="T184" s="1">
        <v>11</v>
      </c>
      <c r="U184" s="1">
        <v>15642</v>
      </c>
      <c r="V184" s="1" t="s">
        <v>651</v>
      </c>
      <c r="W184" s="1" t="s">
        <v>170</v>
      </c>
      <c r="X184" t="s">
        <v>2372</v>
      </c>
      <c r="Y184" t="s">
        <v>2373</v>
      </c>
      <c r="AA184" t="s">
        <v>68</v>
      </c>
      <c r="AB184" t="s">
        <v>2374</v>
      </c>
      <c r="AC184" t="s">
        <v>2375</v>
      </c>
      <c r="AD184" t="s">
        <v>2376</v>
      </c>
      <c r="AE184" t="s">
        <v>2365</v>
      </c>
      <c r="AF184" t="s">
        <v>73</v>
      </c>
      <c r="AG184" t="s">
        <v>2377</v>
      </c>
      <c r="AH184" t="s">
        <v>75</v>
      </c>
      <c r="AI184" t="s">
        <v>76</v>
      </c>
      <c r="AJ184" t="s">
        <v>77</v>
      </c>
      <c r="AK184" t="s">
        <v>2378</v>
      </c>
      <c r="AL184" t="s">
        <v>79</v>
      </c>
      <c r="AM184" t="s">
        <v>596</v>
      </c>
      <c r="AN184" t="s">
        <v>81</v>
      </c>
      <c r="AO184" t="s">
        <v>82</v>
      </c>
      <c r="AP184" t="s">
        <v>83</v>
      </c>
      <c r="AQ184">
        <v>2014</v>
      </c>
      <c r="AR184">
        <v>138961</v>
      </c>
      <c r="AS184">
        <v>5292690</v>
      </c>
      <c r="AT184">
        <v>172</v>
      </c>
      <c r="AU184" t="s">
        <v>84</v>
      </c>
      <c r="AV184">
        <v>562</v>
      </c>
      <c r="AW184" t="s">
        <v>85</v>
      </c>
      <c r="AX184" t="s">
        <v>86</v>
      </c>
      <c r="AY184">
        <v>562</v>
      </c>
      <c r="AZ184" t="s">
        <v>2379</v>
      </c>
      <c r="BA184" t="s">
        <v>88</v>
      </c>
      <c r="BC184" t="s">
        <v>2343</v>
      </c>
      <c r="BD184">
        <v>2</v>
      </c>
      <c r="BE184">
        <v>21</v>
      </c>
    </row>
    <row r="185" spans="1:57" hidden="1" x14ac:dyDescent="0.2">
      <c r="A185" t="s">
        <v>2380</v>
      </c>
      <c r="B185" t="s">
        <v>2381</v>
      </c>
      <c r="C185" t="s">
        <v>2382</v>
      </c>
      <c r="D185" t="s">
        <v>2383</v>
      </c>
      <c r="E185" t="s">
        <v>2383</v>
      </c>
      <c r="G185" t="s">
        <v>56</v>
      </c>
      <c r="H185" t="s">
        <v>57</v>
      </c>
      <c r="I185" t="s">
        <v>58</v>
      </c>
      <c r="J185" t="e">
        <v>#N/A</v>
      </c>
      <c r="K185" t="s">
        <v>2384</v>
      </c>
      <c r="L185" t="s">
        <v>2384</v>
      </c>
      <c r="M185" t="s">
        <v>7165</v>
      </c>
      <c r="N185" t="s">
        <v>60</v>
      </c>
      <c r="O185" s="1" t="s">
        <v>603</v>
      </c>
      <c r="P185" t="s">
        <v>649</v>
      </c>
      <c r="Q185" s="1" t="s">
        <v>875</v>
      </c>
      <c r="R185" s="1" t="s">
        <v>64</v>
      </c>
      <c r="S185" s="1" t="s">
        <v>675</v>
      </c>
      <c r="T185" s="1">
        <v>11</v>
      </c>
      <c r="U185" s="1">
        <v>51328</v>
      </c>
      <c r="V185" s="1" t="s">
        <v>2104</v>
      </c>
      <c r="W185" s="1" t="s">
        <v>170</v>
      </c>
      <c r="X185" t="s">
        <v>2385</v>
      </c>
      <c r="Y185" t="s">
        <v>2386</v>
      </c>
      <c r="AA185" t="s">
        <v>68</v>
      </c>
      <c r="AB185" t="s">
        <v>2387</v>
      </c>
      <c r="AC185" t="s">
        <v>2388</v>
      </c>
      <c r="AD185" t="s">
        <v>2389</v>
      </c>
      <c r="AE185" t="s">
        <v>2390</v>
      </c>
      <c r="AF185" t="s">
        <v>73</v>
      </c>
      <c r="AG185" t="s">
        <v>2391</v>
      </c>
      <c r="AH185" t="s">
        <v>2126</v>
      </c>
      <c r="AI185" t="s">
        <v>76</v>
      </c>
      <c r="AJ185" t="s">
        <v>77</v>
      </c>
      <c r="AK185" t="s">
        <v>2392</v>
      </c>
      <c r="AL185" t="s">
        <v>1104</v>
      </c>
      <c r="AM185" t="s">
        <v>2127</v>
      </c>
      <c r="AN185" t="s">
        <v>158</v>
      </c>
      <c r="AO185" t="s">
        <v>159</v>
      </c>
      <c r="AP185" t="s">
        <v>83</v>
      </c>
      <c r="AQ185">
        <v>2015</v>
      </c>
      <c r="AR185">
        <v>142773</v>
      </c>
      <c r="AS185">
        <v>5437080</v>
      </c>
      <c r="AT185">
        <v>163</v>
      </c>
      <c r="AU185" t="s">
        <v>84</v>
      </c>
      <c r="AV185">
        <v>562</v>
      </c>
      <c r="AW185" t="s">
        <v>85</v>
      </c>
      <c r="AX185" t="s">
        <v>86</v>
      </c>
      <c r="AY185">
        <v>562</v>
      </c>
      <c r="AZ185" t="s">
        <v>2393</v>
      </c>
      <c r="BA185" t="s">
        <v>88</v>
      </c>
    </row>
    <row r="186" spans="1:57" hidden="1" x14ac:dyDescent="0.2">
      <c r="A186" t="s">
        <v>2394</v>
      </c>
      <c r="B186" t="s">
        <v>2395</v>
      </c>
      <c r="C186" t="s">
        <v>2396</v>
      </c>
      <c r="D186" t="s">
        <v>2397</v>
      </c>
      <c r="E186" t="s">
        <v>2397</v>
      </c>
      <c r="G186" t="s">
        <v>56</v>
      </c>
      <c r="H186" t="s">
        <v>57</v>
      </c>
      <c r="I186" t="s">
        <v>58</v>
      </c>
      <c r="J186" t="e">
        <v>#N/A</v>
      </c>
      <c r="K186" t="s">
        <v>1094</v>
      </c>
      <c r="L186" t="s">
        <v>1094</v>
      </c>
      <c r="M186" t="s">
        <v>7165</v>
      </c>
      <c r="N186" t="s">
        <v>60</v>
      </c>
      <c r="O186" s="1" t="s">
        <v>603</v>
      </c>
      <c r="P186" t="s">
        <v>649</v>
      </c>
      <c r="Q186" s="1" t="s">
        <v>650</v>
      </c>
      <c r="R186" s="1" t="s">
        <v>127</v>
      </c>
      <c r="S186" s="1" t="s">
        <v>606</v>
      </c>
      <c r="T186" s="1">
        <v>11</v>
      </c>
      <c r="U186" s="1">
        <v>2124</v>
      </c>
      <c r="V186" s="1" t="s">
        <v>651</v>
      </c>
      <c r="W186" s="1" t="s">
        <v>170</v>
      </c>
      <c r="X186" t="s">
        <v>2398</v>
      </c>
      <c r="Y186" t="s">
        <v>2399</v>
      </c>
      <c r="AA186" t="s">
        <v>68</v>
      </c>
      <c r="AB186" t="s">
        <v>2400</v>
      </c>
      <c r="AC186" t="s">
        <v>2401</v>
      </c>
      <c r="AD186" t="s">
        <v>2402</v>
      </c>
      <c r="AE186" t="s">
        <v>2365</v>
      </c>
      <c r="AF186" t="s">
        <v>73</v>
      </c>
      <c r="AG186" t="s">
        <v>2403</v>
      </c>
      <c r="AH186" t="s">
        <v>75</v>
      </c>
      <c r="AI186" t="s">
        <v>76</v>
      </c>
      <c r="AJ186" t="s">
        <v>77</v>
      </c>
      <c r="AK186" t="s">
        <v>669</v>
      </c>
      <c r="AL186" t="s">
        <v>615</v>
      </c>
      <c r="AM186" t="s">
        <v>616</v>
      </c>
      <c r="AN186" t="s">
        <v>81</v>
      </c>
      <c r="AO186" t="s">
        <v>82</v>
      </c>
      <c r="AP186" t="s">
        <v>83</v>
      </c>
      <c r="AQ186">
        <v>2015</v>
      </c>
      <c r="AR186">
        <v>147492</v>
      </c>
      <c r="AS186">
        <v>5368731</v>
      </c>
      <c r="AT186">
        <v>167</v>
      </c>
      <c r="AU186" t="s">
        <v>84</v>
      </c>
      <c r="AV186">
        <v>562</v>
      </c>
      <c r="AW186" t="s">
        <v>85</v>
      </c>
      <c r="AX186" t="s">
        <v>86</v>
      </c>
      <c r="AY186">
        <v>562</v>
      </c>
      <c r="AZ186" t="s">
        <v>2404</v>
      </c>
      <c r="BA186" t="s">
        <v>88</v>
      </c>
      <c r="BC186" t="s">
        <v>2405</v>
      </c>
      <c r="BD186">
        <v>2</v>
      </c>
      <c r="BE186">
        <v>10</v>
      </c>
    </row>
    <row r="187" spans="1:57" hidden="1" x14ac:dyDescent="0.2">
      <c r="A187" t="s">
        <v>2406</v>
      </c>
      <c r="B187" t="s">
        <v>2407</v>
      </c>
      <c r="C187" t="s">
        <v>2408</v>
      </c>
      <c r="D187" t="s">
        <v>2409</v>
      </c>
      <c r="E187" t="s">
        <v>2409</v>
      </c>
      <c r="G187" t="s">
        <v>56</v>
      </c>
      <c r="H187" t="s">
        <v>57</v>
      </c>
      <c r="I187" t="s">
        <v>58</v>
      </c>
      <c r="J187" t="e">
        <v>#N/A</v>
      </c>
      <c r="K187" t="s">
        <v>1094</v>
      </c>
      <c r="L187" t="s">
        <v>1094</v>
      </c>
      <c r="M187" t="s">
        <v>7165</v>
      </c>
      <c r="N187" t="s">
        <v>60</v>
      </c>
      <c r="O187" s="1" t="s">
        <v>603</v>
      </c>
      <c r="P187" t="s">
        <v>649</v>
      </c>
      <c r="Q187" s="1" t="s">
        <v>605</v>
      </c>
      <c r="R187" s="1" t="s">
        <v>127</v>
      </c>
      <c r="S187" s="1" t="s">
        <v>606</v>
      </c>
      <c r="T187" s="1">
        <v>11</v>
      </c>
      <c r="U187" s="1">
        <v>2124</v>
      </c>
      <c r="V187" s="1" t="s">
        <v>169</v>
      </c>
      <c r="W187" s="1">
        <v>7324179</v>
      </c>
      <c r="X187" t="s">
        <v>2410</v>
      </c>
      <c r="Y187" t="s">
        <v>2411</v>
      </c>
      <c r="AA187" t="s">
        <v>68</v>
      </c>
      <c r="AB187" t="s">
        <v>2412</v>
      </c>
      <c r="AC187" t="s">
        <v>2413</v>
      </c>
      <c r="AD187" t="s">
        <v>2414</v>
      </c>
      <c r="AE187" t="s">
        <v>2365</v>
      </c>
      <c r="AF187" t="s">
        <v>73</v>
      </c>
      <c r="AG187" t="s">
        <v>2415</v>
      </c>
      <c r="AH187" t="s">
        <v>75</v>
      </c>
      <c r="AI187" t="s">
        <v>76</v>
      </c>
      <c r="AJ187" t="s">
        <v>77</v>
      </c>
      <c r="AK187" t="s">
        <v>630</v>
      </c>
      <c r="AL187" t="s">
        <v>615</v>
      </c>
      <c r="AM187" t="s">
        <v>616</v>
      </c>
      <c r="AN187" t="s">
        <v>81</v>
      </c>
      <c r="AO187" t="s">
        <v>82</v>
      </c>
      <c r="AP187" t="s">
        <v>83</v>
      </c>
      <c r="AQ187">
        <v>2015</v>
      </c>
      <c r="AR187">
        <v>188064</v>
      </c>
      <c r="AS187">
        <v>5341620</v>
      </c>
      <c r="AT187">
        <v>163</v>
      </c>
      <c r="AU187" t="s">
        <v>84</v>
      </c>
      <c r="AV187">
        <v>562</v>
      </c>
      <c r="AW187" t="s">
        <v>85</v>
      </c>
      <c r="AX187" t="s">
        <v>86</v>
      </c>
      <c r="AY187">
        <v>562</v>
      </c>
      <c r="AZ187" t="s">
        <v>2416</v>
      </c>
      <c r="BA187" t="s">
        <v>88</v>
      </c>
      <c r="BC187" t="s">
        <v>1572</v>
      </c>
      <c r="BD187">
        <v>3</v>
      </c>
      <c r="BE187">
        <v>4</v>
      </c>
    </row>
    <row r="188" spans="1:57" hidden="1" x14ac:dyDescent="0.2">
      <c r="A188" t="s">
        <v>2417</v>
      </c>
      <c r="B188" t="s">
        <v>2418</v>
      </c>
      <c r="C188" t="s">
        <v>2419</v>
      </c>
      <c r="D188" t="s">
        <v>2420</v>
      </c>
      <c r="E188" t="s">
        <v>2420</v>
      </c>
      <c r="F188" t="s">
        <v>2035</v>
      </c>
      <c r="G188" t="s">
        <v>56</v>
      </c>
      <c r="H188" t="s">
        <v>57</v>
      </c>
      <c r="I188" t="s">
        <v>58</v>
      </c>
      <c r="J188" t="e">
        <v>#N/A</v>
      </c>
      <c r="K188" t="s">
        <v>2421</v>
      </c>
      <c r="L188" t="s">
        <v>2421</v>
      </c>
      <c r="M188" t="s">
        <v>7165</v>
      </c>
      <c r="N188" t="s">
        <v>60</v>
      </c>
      <c r="O188" s="1" t="s">
        <v>603</v>
      </c>
      <c r="P188" t="s">
        <v>649</v>
      </c>
      <c r="Q188" s="1" t="s">
        <v>875</v>
      </c>
      <c r="R188" s="1" t="s">
        <v>270</v>
      </c>
      <c r="S188" s="1" t="s">
        <v>2422</v>
      </c>
      <c r="T188" s="1">
        <v>11</v>
      </c>
      <c r="U188" s="1">
        <v>15642</v>
      </c>
      <c r="V188" s="1" t="s">
        <v>169</v>
      </c>
      <c r="W188" s="1">
        <v>7384536</v>
      </c>
      <c r="X188" t="s">
        <v>2423</v>
      </c>
      <c r="Y188" t="s">
        <v>2424</v>
      </c>
      <c r="AA188" t="s">
        <v>68</v>
      </c>
      <c r="AB188" t="s">
        <v>2425</v>
      </c>
      <c r="AC188" t="s">
        <v>2426</v>
      </c>
      <c r="AD188" t="s">
        <v>2427</v>
      </c>
      <c r="AE188" t="s">
        <v>2428</v>
      </c>
      <c r="AF188" t="s">
        <v>73</v>
      </c>
      <c r="AG188" t="s">
        <v>2429</v>
      </c>
      <c r="AH188" t="s">
        <v>75</v>
      </c>
      <c r="AI188" t="s">
        <v>76</v>
      </c>
      <c r="AJ188" t="s">
        <v>77</v>
      </c>
      <c r="AK188" t="s">
        <v>2430</v>
      </c>
      <c r="AL188" t="s">
        <v>79</v>
      </c>
      <c r="AM188" t="s">
        <v>596</v>
      </c>
      <c r="AN188" t="s">
        <v>81</v>
      </c>
      <c r="AO188" t="s">
        <v>82</v>
      </c>
      <c r="AP188" t="s">
        <v>83</v>
      </c>
      <c r="AQ188">
        <v>2015</v>
      </c>
      <c r="AR188">
        <v>84827</v>
      </c>
      <c r="AS188">
        <v>5244342</v>
      </c>
      <c r="AT188">
        <v>217</v>
      </c>
      <c r="AU188" t="s">
        <v>84</v>
      </c>
      <c r="AV188">
        <v>562</v>
      </c>
      <c r="AW188" t="s">
        <v>85</v>
      </c>
      <c r="AX188" t="s">
        <v>86</v>
      </c>
      <c r="AY188">
        <v>562</v>
      </c>
      <c r="AZ188" t="s">
        <v>2431</v>
      </c>
      <c r="BA188" t="s">
        <v>88</v>
      </c>
      <c r="BC188" t="s">
        <v>2343</v>
      </c>
      <c r="BD188">
        <v>13</v>
      </c>
      <c r="BE188">
        <v>10</v>
      </c>
    </row>
    <row r="189" spans="1:57" hidden="1" x14ac:dyDescent="0.2">
      <c r="A189" t="s">
        <v>2432</v>
      </c>
      <c r="B189" t="s">
        <v>2433</v>
      </c>
      <c r="C189" t="s">
        <v>2434</v>
      </c>
      <c r="D189" t="s">
        <v>2435</v>
      </c>
      <c r="E189" t="s">
        <v>2435</v>
      </c>
      <c r="G189" t="s">
        <v>56</v>
      </c>
      <c r="H189" t="s">
        <v>57</v>
      </c>
      <c r="I189" t="s">
        <v>58</v>
      </c>
      <c r="J189" t="e">
        <v>#N/A</v>
      </c>
      <c r="K189" t="s">
        <v>1094</v>
      </c>
      <c r="L189" t="s">
        <v>1094</v>
      </c>
      <c r="M189" t="s">
        <v>7165</v>
      </c>
      <c r="N189" t="s">
        <v>60</v>
      </c>
      <c r="O189" s="1" t="s">
        <v>603</v>
      </c>
      <c r="P189" t="s">
        <v>649</v>
      </c>
      <c r="Q189" s="1" t="s">
        <v>605</v>
      </c>
      <c r="R189" s="1" t="s">
        <v>127</v>
      </c>
      <c r="S189" s="1" t="s">
        <v>606</v>
      </c>
      <c r="T189" s="1">
        <v>11</v>
      </c>
      <c r="U189" s="1">
        <v>2124</v>
      </c>
      <c r="V189" s="1" t="s">
        <v>169</v>
      </c>
      <c r="W189" s="1">
        <v>7384536</v>
      </c>
      <c r="X189" t="s">
        <v>2436</v>
      </c>
      <c r="Y189" t="s">
        <v>2437</v>
      </c>
      <c r="AA189" t="s">
        <v>68</v>
      </c>
      <c r="AB189" t="s">
        <v>2438</v>
      </c>
      <c r="AC189" t="s">
        <v>2439</v>
      </c>
      <c r="AD189" t="s">
        <v>2440</v>
      </c>
      <c r="AE189" t="s">
        <v>2428</v>
      </c>
      <c r="AF189" t="s">
        <v>73</v>
      </c>
      <c r="AG189" t="s">
        <v>2441</v>
      </c>
      <c r="AH189" t="s">
        <v>75</v>
      </c>
      <c r="AI189" t="s">
        <v>76</v>
      </c>
      <c r="AJ189" t="s">
        <v>77</v>
      </c>
      <c r="AK189" t="s">
        <v>669</v>
      </c>
      <c r="AL189" t="s">
        <v>615</v>
      </c>
      <c r="AM189" t="s">
        <v>616</v>
      </c>
      <c r="AN189" t="s">
        <v>81</v>
      </c>
      <c r="AO189" t="s">
        <v>82</v>
      </c>
      <c r="AP189" t="s">
        <v>83</v>
      </c>
      <c r="AQ189">
        <v>2015</v>
      </c>
      <c r="AR189">
        <v>160449</v>
      </c>
      <c r="AS189">
        <v>5356110</v>
      </c>
      <c r="AT189">
        <v>156</v>
      </c>
      <c r="AU189" t="s">
        <v>84</v>
      </c>
      <c r="AV189">
        <v>562</v>
      </c>
      <c r="AW189" t="s">
        <v>85</v>
      </c>
      <c r="AX189" t="s">
        <v>86</v>
      </c>
      <c r="AY189">
        <v>562</v>
      </c>
      <c r="AZ189" t="s">
        <v>2442</v>
      </c>
      <c r="BA189" t="s">
        <v>88</v>
      </c>
      <c r="BC189" t="s">
        <v>1572</v>
      </c>
      <c r="BD189">
        <v>3</v>
      </c>
      <c r="BE189">
        <v>7</v>
      </c>
    </row>
    <row r="190" spans="1:57" hidden="1" x14ac:dyDescent="0.2">
      <c r="A190" t="s">
        <v>2443</v>
      </c>
      <c r="B190" t="s">
        <v>2444</v>
      </c>
      <c r="C190" t="s">
        <v>2445</v>
      </c>
      <c r="D190" t="s">
        <v>2446</v>
      </c>
      <c r="E190" t="s">
        <v>2446</v>
      </c>
      <c r="G190" t="s">
        <v>56</v>
      </c>
      <c r="H190" t="s">
        <v>57</v>
      </c>
      <c r="I190" t="s">
        <v>58</v>
      </c>
      <c r="J190" t="e">
        <v>#N/A</v>
      </c>
      <c r="K190" t="s">
        <v>2447</v>
      </c>
      <c r="L190" t="s">
        <v>2447</v>
      </c>
      <c r="M190" t="s">
        <v>7168</v>
      </c>
      <c r="N190" t="s">
        <v>60</v>
      </c>
      <c r="O190" s="1" t="s">
        <v>603</v>
      </c>
      <c r="P190" t="s">
        <v>604</v>
      </c>
      <c r="Q190" s="1" t="s">
        <v>605</v>
      </c>
      <c r="R190" s="1" t="s">
        <v>127</v>
      </c>
      <c r="S190" s="1" t="s">
        <v>606</v>
      </c>
      <c r="T190" s="1">
        <v>11</v>
      </c>
      <c r="U190" s="1">
        <v>2124</v>
      </c>
      <c r="V190" s="1" t="s">
        <v>169</v>
      </c>
      <c r="W190" s="1" t="s">
        <v>170</v>
      </c>
      <c r="X190" t="s">
        <v>2448</v>
      </c>
      <c r="Y190" t="s">
        <v>2449</v>
      </c>
      <c r="AA190" t="s">
        <v>68</v>
      </c>
      <c r="AB190" t="s">
        <v>2450</v>
      </c>
      <c r="AC190" t="s">
        <v>2451</v>
      </c>
      <c r="AD190" t="s">
        <v>2452</v>
      </c>
      <c r="AE190" t="s">
        <v>2428</v>
      </c>
      <c r="AF190" t="s">
        <v>73</v>
      </c>
      <c r="AG190" t="s">
        <v>2453</v>
      </c>
      <c r="AH190" t="s">
        <v>75</v>
      </c>
      <c r="AI190" t="s">
        <v>76</v>
      </c>
      <c r="AJ190" t="s">
        <v>77</v>
      </c>
      <c r="AK190" t="s">
        <v>630</v>
      </c>
      <c r="AL190" t="s">
        <v>615</v>
      </c>
      <c r="AM190" t="s">
        <v>616</v>
      </c>
      <c r="AN190" t="s">
        <v>81</v>
      </c>
      <c r="AO190" t="s">
        <v>82</v>
      </c>
      <c r="AP190" t="s">
        <v>83</v>
      </c>
      <c r="AQ190">
        <v>2015</v>
      </c>
      <c r="AR190">
        <v>146538</v>
      </c>
      <c r="AS190">
        <v>5376533</v>
      </c>
      <c r="AT190">
        <v>219</v>
      </c>
      <c r="AU190" t="s">
        <v>84</v>
      </c>
      <c r="AV190">
        <v>562</v>
      </c>
      <c r="AW190" t="s">
        <v>85</v>
      </c>
      <c r="AX190" t="s">
        <v>86</v>
      </c>
      <c r="AY190">
        <v>562</v>
      </c>
      <c r="AZ190" t="s">
        <v>2454</v>
      </c>
      <c r="BA190" t="s">
        <v>88</v>
      </c>
      <c r="BC190" t="s">
        <v>2405</v>
      </c>
      <c r="BD190">
        <v>2</v>
      </c>
      <c r="BE190">
        <v>12</v>
      </c>
    </row>
    <row r="191" spans="1:57" hidden="1" x14ac:dyDescent="0.2">
      <c r="A191" t="s">
        <v>2455</v>
      </c>
      <c r="B191" t="s">
        <v>2456</v>
      </c>
      <c r="C191" t="s">
        <v>2457</v>
      </c>
      <c r="D191" t="s">
        <v>2458</v>
      </c>
      <c r="E191" t="s">
        <v>2458</v>
      </c>
      <c r="G191" t="s">
        <v>56</v>
      </c>
      <c r="H191" t="s">
        <v>57</v>
      </c>
      <c r="I191" t="s">
        <v>58</v>
      </c>
      <c r="J191" t="e">
        <v>#N/A</v>
      </c>
      <c r="K191" t="s">
        <v>2459</v>
      </c>
      <c r="L191" t="s">
        <v>1327</v>
      </c>
      <c r="M191" t="s">
        <v>7165</v>
      </c>
      <c r="N191" t="s">
        <v>60</v>
      </c>
      <c r="O191" s="1" t="s">
        <v>603</v>
      </c>
      <c r="P191" t="s">
        <v>649</v>
      </c>
      <c r="Q191" s="1" t="s">
        <v>605</v>
      </c>
      <c r="R191" s="1" t="s">
        <v>127</v>
      </c>
      <c r="S191" s="1" t="s">
        <v>606</v>
      </c>
      <c r="T191" s="1">
        <v>11</v>
      </c>
      <c r="U191" s="1">
        <v>2124</v>
      </c>
      <c r="V191" s="1" t="s">
        <v>169</v>
      </c>
      <c r="W191" s="1">
        <v>8816512</v>
      </c>
      <c r="X191" t="s">
        <v>2460</v>
      </c>
      <c r="Y191" t="s">
        <v>2461</v>
      </c>
      <c r="AA191" t="s">
        <v>68</v>
      </c>
      <c r="AB191" t="s">
        <v>2462</v>
      </c>
      <c r="AC191" t="s">
        <v>2463</v>
      </c>
      <c r="AD191" t="s">
        <v>2464</v>
      </c>
      <c r="AE191" t="s">
        <v>2465</v>
      </c>
      <c r="AF191" t="s">
        <v>73</v>
      </c>
      <c r="AG191" t="s">
        <v>2466</v>
      </c>
      <c r="AH191" t="s">
        <v>75</v>
      </c>
      <c r="AI191" t="s">
        <v>76</v>
      </c>
      <c r="AJ191" t="s">
        <v>77</v>
      </c>
      <c r="AK191" t="s">
        <v>2467</v>
      </c>
      <c r="AL191" t="s">
        <v>615</v>
      </c>
      <c r="AM191" t="s">
        <v>616</v>
      </c>
      <c r="AN191" t="s">
        <v>81</v>
      </c>
      <c r="AO191" t="s">
        <v>82</v>
      </c>
      <c r="AP191" t="s">
        <v>83</v>
      </c>
      <c r="AQ191">
        <v>2016</v>
      </c>
      <c r="AR191">
        <v>160449</v>
      </c>
      <c r="AS191">
        <v>5498286</v>
      </c>
      <c r="AT191">
        <v>198</v>
      </c>
      <c r="AU191" t="s">
        <v>84</v>
      </c>
      <c r="AV191">
        <v>562</v>
      </c>
      <c r="AW191" t="s">
        <v>85</v>
      </c>
      <c r="AX191" t="s">
        <v>86</v>
      </c>
      <c r="AY191">
        <v>562</v>
      </c>
      <c r="AZ191" t="s">
        <v>2468</v>
      </c>
      <c r="BA191" t="s">
        <v>88</v>
      </c>
    </row>
    <row r="192" spans="1:57" hidden="1" x14ac:dyDescent="0.2">
      <c r="A192" t="s">
        <v>2469</v>
      </c>
      <c r="B192" t="s">
        <v>2470</v>
      </c>
      <c r="C192" t="s">
        <v>2471</v>
      </c>
      <c r="D192" t="s">
        <v>2472</v>
      </c>
      <c r="E192" t="s">
        <v>2472</v>
      </c>
      <c r="G192" t="s">
        <v>56</v>
      </c>
      <c r="H192" t="s">
        <v>57</v>
      </c>
      <c r="I192" t="s">
        <v>58</v>
      </c>
      <c r="J192" t="e">
        <v>#N/A</v>
      </c>
      <c r="K192" t="s">
        <v>2459</v>
      </c>
      <c r="L192" t="s">
        <v>1094</v>
      </c>
      <c r="M192" t="s">
        <v>7165</v>
      </c>
      <c r="N192" t="s">
        <v>60</v>
      </c>
      <c r="O192" s="1" t="s">
        <v>603</v>
      </c>
      <c r="P192" t="s">
        <v>2473</v>
      </c>
      <c r="Q192" s="1" t="s">
        <v>875</v>
      </c>
      <c r="R192" s="1" t="s">
        <v>270</v>
      </c>
      <c r="S192" s="1" t="s">
        <v>701</v>
      </c>
      <c r="T192" s="1">
        <v>11</v>
      </c>
      <c r="U192" s="1">
        <v>2124</v>
      </c>
      <c r="V192" s="1" t="s">
        <v>169</v>
      </c>
      <c r="W192" s="1">
        <v>8758949</v>
      </c>
      <c r="X192" t="s">
        <v>2474</v>
      </c>
      <c r="Y192" t="s">
        <v>2475</v>
      </c>
      <c r="AA192" t="s">
        <v>68</v>
      </c>
      <c r="AB192" t="s">
        <v>2476</v>
      </c>
      <c r="AC192" t="s">
        <v>2477</v>
      </c>
      <c r="AD192" t="s">
        <v>2478</v>
      </c>
      <c r="AE192" t="s">
        <v>2479</v>
      </c>
      <c r="AF192" t="s">
        <v>73</v>
      </c>
      <c r="AG192" t="s">
        <v>2480</v>
      </c>
      <c r="AH192" t="s">
        <v>75</v>
      </c>
      <c r="AI192" t="s">
        <v>76</v>
      </c>
      <c r="AJ192" t="s">
        <v>77</v>
      </c>
      <c r="AK192" t="s">
        <v>2481</v>
      </c>
      <c r="AL192" t="s">
        <v>615</v>
      </c>
      <c r="AM192" t="s">
        <v>616</v>
      </c>
      <c r="AN192" t="s">
        <v>81</v>
      </c>
      <c r="AO192" t="s">
        <v>82</v>
      </c>
      <c r="AP192" t="s">
        <v>83</v>
      </c>
      <c r="AQ192">
        <v>2016</v>
      </c>
      <c r="AR192">
        <v>142520</v>
      </c>
      <c r="AS192">
        <v>5338341</v>
      </c>
      <c r="AT192">
        <v>211</v>
      </c>
      <c r="AU192" t="s">
        <v>84</v>
      </c>
      <c r="AV192">
        <v>562</v>
      </c>
      <c r="AW192" t="s">
        <v>85</v>
      </c>
      <c r="AX192" t="s">
        <v>86</v>
      </c>
      <c r="AY192">
        <v>562</v>
      </c>
      <c r="AZ192" t="s">
        <v>2482</v>
      </c>
      <c r="BA192" t="s">
        <v>88</v>
      </c>
    </row>
    <row r="193" spans="1:57" hidden="1" x14ac:dyDescent="0.2">
      <c r="A193" t="s">
        <v>2483</v>
      </c>
      <c r="B193" t="s">
        <v>2484</v>
      </c>
      <c r="C193" t="s">
        <v>2485</v>
      </c>
      <c r="D193" t="s">
        <v>2486</v>
      </c>
      <c r="E193" t="s">
        <v>2486</v>
      </c>
      <c r="G193" t="s">
        <v>56</v>
      </c>
      <c r="H193" t="s">
        <v>57</v>
      </c>
      <c r="I193" t="s">
        <v>58</v>
      </c>
      <c r="J193" t="e">
        <v>#N/A</v>
      </c>
      <c r="K193" t="s">
        <v>2487</v>
      </c>
      <c r="L193" t="s">
        <v>2487</v>
      </c>
      <c r="M193" t="s">
        <v>7165</v>
      </c>
      <c r="N193" t="s">
        <v>60</v>
      </c>
      <c r="O193" s="1" t="s">
        <v>603</v>
      </c>
      <c r="P193" t="s">
        <v>649</v>
      </c>
      <c r="Q193" s="1" t="s">
        <v>650</v>
      </c>
      <c r="R193" s="1" t="s">
        <v>127</v>
      </c>
      <c r="S193" s="1" t="s">
        <v>606</v>
      </c>
      <c r="T193" s="1">
        <v>11</v>
      </c>
      <c r="U193" s="1">
        <v>2124</v>
      </c>
      <c r="V193" s="1" t="s">
        <v>651</v>
      </c>
      <c r="W193" s="1" t="s">
        <v>170</v>
      </c>
      <c r="X193" t="s">
        <v>2488</v>
      </c>
      <c r="Y193" t="s">
        <v>2489</v>
      </c>
      <c r="AA193" t="s">
        <v>68</v>
      </c>
      <c r="AB193" t="s">
        <v>2490</v>
      </c>
      <c r="AC193" t="s">
        <v>2491</v>
      </c>
      <c r="AD193" t="s">
        <v>2492</v>
      </c>
      <c r="AE193" t="s">
        <v>2493</v>
      </c>
      <c r="AF193" t="s">
        <v>73</v>
      </c>
      <c r="AG193" t="s">
        <v>2494</v>
      </c>
      <c r="AH193" t="s">
        <v>75</v>
      </c>
      <c r="AI193" t="s">
        <v>76</v>
      </c>
      <c r="AJ193" t="s">
        <v>77</v>
      </c>
      <c r="AK193" t="s">
        <v>669</v>
      </c>
      <c r="AL193" t="s">
        <v>615</v>
      </c>
      <c r="AM193" t="s">
        <v>616</v>
      </c>
      <c r="AN193" t="s">
        <v>81</v>
      </c>
      <c r="AO193" t="s">
        <v>82</v>
      </c>
      <c r="AP193" t="s">
        <v>83</v>
      </c>
      <c r="AQ193">
        <v>2016</v>
      </c>
      <c r="AR193">
        <v>188064</v>
      </c>
      <c r="AS193">
        <v>5346823</v>
      </c>
      <c r="AT193">
        <v>160</v>
      </c>
      <c r="AU193" t="s">
        <v>84</v>
      </c>
      <c r="AV193">
        <v>562</v>
      </c>
      <c r="AW193" t="s">
        <v>85</v>
      </c>
      <c r="AX193" t="s">
        <v>86</v>
      </c>
      <c r="AY193">
        <v>562</v>
      </c>
      <c r="AZ193" t="s">
        <v>2495</v>
      </c>
      <c r="BA193" t="s">
        <v>88</v>
      </c>
      <c r="BC193" t="s">
        <v>841</v>
      </c>
      <c r="BD193">
        <v>0</v>
      </c>
      <c r="BE193">
        <v>0</v>
      </c>
    </row>
    <row r="194" spans="1:57" hidden="1" x14ac:dyDescent="0.2">
      <c r="A194" t="s">
        <v>2496</v>
      </c>
      <c r="B194" t="s">
        <v>2497</v>
      </c>
      <c r="C194" t="s">
        <v>2498</v>
      </c>
      <c r="D194" t="s">
        <v>2499</v>
      </c>
      <c r="E194" t="s">
        <v>2499</v>
      </c>
      <c r="F194" t="s">
        <v>2035</v>
      </c>
      <c r="G194" t="s">
        <v>56</v>
      </c>
      <c r="H194" t="s">
        <v>57</v>
      </c>
      <c r="I194" t="s">
        <v>58</v>
      </c>
      <c r="J194" t="e">
        <v>#N/A</v>
      </c>
      <c r="K194" t="s">
        <v>2500</v>
      </c>
      <c r="L194" t="s">
        <v>2500</v>
      </c>
      <c r="M194" t="s">
        <v>7165</v>
      </c>
      <c r="N194" t="s">
        <v>60</v>
      </c>
      <c r="O194" s="1" t="s">
        <v>603</v>
      </c>
      <c r="P194" t="s">
        <v>649</v>
      </c>
      <c r="Q194" s="1" t="s">
        <v>605</v>
      </c>
      <c r="R194" s="1" t="s">
        <v>127</v>
      </c>
      <c r="S194" s="1" t="s">
        <v>606</v>
      </c>
      <c r="T194" s="1">
        <v>11</v>
      </c>
      <c r="U194" s="1">
        <v>2124</v>
      </c>
      <c r="V194" s="1" t="s">
        <v>169</v>
      </c>
      <c r="W194" s="1">
        <v>7835031</v>
      </c>
      <c r="X194" t="s">
        <v>2501</v>
      </c>
      <c r="Y194" t="s">
        <v>2502</v>
      </c>
      <c r="AA194" t="s">
        <v>68</v>
      </c>
      <c r="AB194" t="s">
        <v>2503</v>
      </c>
      <c r="AC194" t="s">
        <v>2504</v>
      </c>
      <c r="AD194" t="s">
        <v>2505</v>
      </c>
      <c r="AE194" t="s">
        <v>2493</v>
      </c>
      <c r="AF194" t="s">
        <v>73</v>
      </c>
      <c r="AG194" t="s">
        <v>2506</v>
      </c>
      <c r="AH194" t="s">
        <v>75</v>
      </c>
      <c r="AI194" t="s">
        <v>76</v>
      </c>
      <c r="AJ194" t="s">
        <v>77</v>
      </c>
      <c r="AK194" t="s">
        <v>2507</v>
      </c>
      <c r="AL194" t="s">
        <v>615</v>
      </c>
      <c r="AM194" t="s">
        <v>616</v>
      </c>
      <c r="AN194" t="s">
        <v>81</v>
      </c>
      <c r="AO194" t="s">
        <v>82</v>
      </c>
      <c r="AP194" t="s">
        <v>83</v>
      </c>
      <c r="AQ194">
        <v>2016</v>
      </c>
      <c r="AR194">
        <v>45000</v>
      </c>
      <c r="AS194">
        <v>5291366</v>
      </c>
      <c r="AT194">
        <v>343</v>
      </c>
      <c r="AU194" t="s">
        <v>84</v>
      </c>
      <c r="AV194">
        <v>562</v>
      </c>
      <c r="AW194" t="s">
        <v>85</v>
      </c>
      <c r="AX194" t="s">
        <v>86</v>
      </c>
      <c r="AY194">
        <v>562</v>
      </c>
      <c r="AZ194" t="s">
        <v>2508</v>
      </c>
      <c r="BA194" t="s">
        <v>88</v>
      </c>
      <c r="BC194" t="s">
        <v>918</v>
      </c>
      <c r="BD194">
        <v>9</v>
      </c>
      <c r="BE194">
        <v>10</v>
      </c>
    </row>
    <row r="195" spans="1:57" hidden="1" x14ac:dyDescent="0.2">
      <c r="A195" t="s">
        <v>2509</v>
      </c>
      <c r="B195" t="s">
        <v>2510</v>
      </c>
      <c r="C195" t="s">
        <v>2511</v>
      </c>
      <c r="D195" t="s">
        <v>2512</v>
      </c>
      <c r="E195" t="s">
        <v>2512</v>
      </c>
      <c r="F195" t="s">
        <v>2035</v>
      </c>
      <c r="G195" t="s">
        <v>56</v>
      </c>
      <c r="H195" t="s">
        <v>57</v>
      </c>
      <c r="I195" t="s">
        <v>58</v>
      </c>
      <c r="J195" t="e">
        <v>#N/A</v>
      </c>
      <c r="K195" t="s">
        <v>2513</v>
      </c>
      <c r="L195" t="s">
        <v>2513</v>
      </c>
      <c r="M195" t="s">
        <v>7165</v>
      </c>
      <c r="N195" t="s">
        <v>60</v>
      </c>
      <c r="O195" s="1" t="s">
        <v>603</v>
      </c>
      <c r="P195" t="s">
        <v>604</v>
      </c>
      <c r="Q195" s="1" t="s">
        <v>605</v>
      </c>
      <c r="R195" s="1" t="s">
        <v>250</v>
      </c>
      <c r="S195" s="1" t="s">
        <v>606</v>
      </c>
      <c r="T195" s="1">
        <v>11</v>
      </c>
      <c r="U195" s="1">
        <v>2124</v>
      </c>
      <c r="V195" s="1" t="s">
        <v>169</v>
      </c>
      <c r="W195" s="1" t="s">
        <v>170</v>
      </c>
      <c r="X195" t="s">
        <v>2514</v>
      </c>
      <c r="Y195" t="s">
        <v>2515</v>
      </c>
      <c r="AA195" t="s">
        <v>68</v>
      </c>
      <c r="AB195" t="s">
        <v>2516</v>
      </c>
      <c r="AC195" t="s">
        <v>2517</v>
      </c>
      <c r="AD195" t="s">
        <v>2518</v>
      </c>
      <c r="AE195" t="s">
        <v>2493</v>
      </c>
      <c r="AF195" t="s">
        <v>73</v>
      </c>
      <c r="AG195" t="s">
        <v>2519</v>
      </c>
      <c r="AH195" t="s">
        <v>75</v>
      </c>
      <c r="AI195" t="s">
        <v>76</v>
      </c>
      <c r="AJ195" t="s">
        <v>77</v>
      </c>
      <c r="AK195" t="s">
        <v>2520</v>
      </c>
      <c r="AL195" t="s">
        <v>615</v>
      </c>
      <c r="AM195" t="s">
        <v>616</v>
      </c>
      <c r="AN195" t="s">
        <v>81</v>
      </c>
      <c r="AO195" t="s">
        <v>82</v>
      </c>
      <c r="AP195" t="s">
        <v>83</v>
      </c>
      <c r="AQ195">
        <v>2016</v>
      </c>
      <c r="AR195">
        <v>188435</v>
      </c>
      <c r="AS195">
        <v>5373985</v>
      </c>
      <c r="AT195">
        <v>136</v>
      </c>
      <c r="AU195" t="s">
        <v>84</v>
      </c>
      <c r="AV195">
        <v>562</v>
      </c>
      <c r="AW195" t="s">
        <v>85</v>
      </c>
      <c r="AX195" t="s">
        <v>86</v>
      </c>
      <c r="AY195">
        <v>562</v>
      </c>
      <c r="AZ195" t="s">
        <v>2521</v>
      </c>
      <c r="BA195" t="s">
        <v>88</v>
      </c>
      <c r="BC195" t="s">
        <v>918</v>
      </c>
      <c r="BD195">
        <v>0</v>
      </c>
      <c r="BE195">
        <v>1</v>
      </c>
    </row>
    <row r="196" spans="1:57" hidden="1" x14ac:dyDescent="0.2">
      <c r="A196" t="s">
        <v>2522</v>
      </c>
      <c r="B196" t="s">
        <v>2523</v>
      </c>
      <c r="C196" t="s">
        <v>2498</v>
      </c>
      <c r="D196" t="s">
        <v>2524</v>
      </c>
      <c r="E196" t="s">
        <v>2524</v>
      </c>
      <c r="F196" t="s">
        <v>2035</v>
      </c>
      <c r="G196" t="s">
        <v>56</v>
      </c>
      <c r="H196" t="s">
        <v>57</v>
      </c>
      <c r="I196" t="s">
        <v>58</v>
      </c>
      <c r="J196" t="e">
        <v>#N/A</v>
      </c>
      <c r="K196" t="s">
        <v>2500</v>
      </c>
      <c r="L196" t="s">
        <v>2500</v>
      </c>
      <c r="M196" t="s">
        <v>7165</v>
      </c>
      <c r="N196" t="s">
        <v>7165</v>
      </c>
      <c r="O196" s="1" t="s">
        <v>603</v>
      </c>
      <c r="P196" t="s">
        <v>649</v>
      </c>
      <c r="Q196" s="1" t="s">
        <v>605</v>
      </c>
      <c r="R196" s="1" t="s">
        <v>127</v>
      </c>
      <c r="S196" s="1" t="s">
        <v>606</v>
      </c>
      <c r="T196" s="1">
        <v>11</v>
      </c>
      <c r="U196" s="1">
        <v>2124</v>
      </c>
      <c r="V196" s="1" t="s">
        <v>169</v>
      </c>
      <c r="W196" s="1">
        <v>7835031</v>
      </c>
      <c r="X196" t="s">
        <v>2525</v>
      </c>
      <c r="Y196" t="s">
        <v>2526</v>
      </c>
      <c r="AA196" t="s">
        <v>68</v>
      </c>
      <c r="AB196" t="s">
        <v>2527</v>
      </c>
      <c r="AC196" t="s">
        <v>2528</v>
      </c>
      <c r="AD196" t="s">
        <v>2529</v>
      </c>
      <c r="AE196" t="s">
        <v>2530</v>
      </c>
      <c r="AF196" t="s">
        <v>73</v>
      </c>
      <c r="AG196" t="s">
        <v>2531</v>
      </c>
      <c r="AH196" t="s">
        <v>75</v>
      </c>
      <c r="AI196" t="s">
        <v>76</v>
      </c>
      <c r="AJ196" t="s">
        <v>77</v>
      </c>
      <c r="AK196" t="s">
        <v>2532</v>
      </c>
      <c r="AL196" t="s">
        <v>615</v>
      </c>
      <c r="AM196" t="s">
        <v>616</v>
      </c>
      <c r="AN196" t="s">
        <v>81</v>
      </c>
      <c r="AO196" t="s">
        <v>82</v>
      </c>
      <c r="AP196" t="s">
        <v>83</v>
      </c>
      <c r="AQ196">
        <v>2016</v>
      </c>
      <c r="AR196">
        <v>46758</v>
      </c>
      <c r="AS196">
        <v>5316518</v>
      </c>
      <c r="AT196">
        <v>307</v>
      </c>
      <c r="AU196" t="s">
        <v>84</v>
      </c>
      <c r="AV196">
        <v>562</v>
      </c>
      <c r="AW196" t="s">
        <v>85</v>
      </c>
      <c r="AX196" t="s">
        <v>86</v>
      </c>
      <c r="AY196">
        <v>562</v>
      </c>
      <c r="AZ196" t="s">
        <v>2533</v>
      </c>
      <c r="BA196" t="s">
        <v>88</v>
      </c>
      <c r="BC196" t="s">
        <v>918</v>
      </c>
      <c r="BD196">
        <v>4</v>
      </c>
      <c r="BE196">
        <v>5</v>
      </c>
    </row>
    <row r="197" spans="1:57" hidden="1" x14ac:dyDescent="0.2">
      <c r="A197" t="s">
        <v>2534</v>
      </c>
      <c r="B197" t="s">
        <v>2535</v>
      </c>
      <c r="C197" t="s">
        <v>2536</v>
      </c>
      <c r="D197" t="s">
        <v>2537</v>
      </c>
      <c r="E197" t="s">
        <v>2537</v>
      </c>
      <c r="F197" t="s">
        <v>2035</v>
      </c>
      <c r="G197" t="s">
        <v>56</v>
      </c>
      <c r="H197" t="s">
        <v>57</v>
      </c>
      <c r="I197" t="s">
        <v>58</v>
      </c>
      <c r="J197" t="e">
        <v>#N/A</v>
      </c>
      <c r="K197" t="s">
        <v>2500</v>
      </c>
      <c r="L197" t="s">
        <v>2500</v>
      </c>
      <c r="M197" t="s">
        <v>7165</v>
      </c>
      <c r="N197" t="s">
        <v>7165</v>
      </c>
      <c r="O197" s="1" t="s">
        <v>603</v>
      </c>
      <c r="P197" t="s">
        <v>649</v>
      </c>
      <c r="Q197" s="1" t="s">
        <v>605</v>
      </c>
      <c r="R197" s="1" t="s">
        <v>127</v>
      </c>
      <c r="S197" s="1" t="s">
        <v>606</v>
      </c>
      <c r="T197" s="1">
        <v>11</v>
      </c>
      <c r="U197" s="1">
        <v>2124</v>
      </c>
      <c r="V197" s="1" t="s">
        <v>169</v>
      </c>
      <c r="W197" s="1">
        <v>7835031</v>
      </c>
      <c r="X197" t="s">
        <v>2538</v>
      </c>
      <c r="Y197" t="s">
        <v>2539</v>
      </c>
      <c r="AA197" t="s">
        <v>68</v>
      </c>
      <c r="AB197" t="s">
        <v>2540</v>
      </c>
      <c r="AC197" t="s">
        <v>2541</v>
      </c>
      <c r="AD197" t="s">
        <v>2542</v>
      </c>
      <c r="AE197" t="s">
        <v>2530</v>
      </c>
      <c r="AF197" t="s">
        <v>73</v>
      </c>
      <c r="AG197" t="s">
        <v>2543</v>
      </c>
      <c r="AH197" t="s">
        <v>75</v>
      </c>
      <c r="AI197" t="s">
        <v>76</v>
      </c>
      <c r="AJ197" t="s">
        <v>77</v>
      </c>
      <c r="AK197" t="s">
        <v>2544</v>
      </c>
      <c r="AL197" t="s">
        <v>615</v>
      </c>
      <c r="AM197" t="s">
        <v>616</v>
      </c>
      <c r="AN197" t="s">
        <v>81</v>
      </c>
      <c r="AO197" t="s">
        <v>82</v>
      </c>
      <c r="AP197" t="s">
        <v>83</v>
      </c>
      <c r="AQ197">
        <v>2016</v>
      </c>
      <c r="AR197">
        <v>43500</v>
      </c>
      <c r="AS197">
        <v>5280162</v>
      </c>
      <c r="AT197">
        <v>325</v>
      </c>
      <c r="AU197" t="s">
        <v>84</v>
      </c>
      <c r="AV197">
        <v>562</v>
      </c>
      <c r="AW197" t="s">
        <v>85</v>
      </c>
      <c r="AX197" t="s">
        <v>86</v>
      </c>
      <c r="AY197">
        <v>562</v>
      </c>
      <c r="AZ197" t="s">
        <v>2545</v>
      </c>
      <c r="BA197" t="s">
        <v>88</v>
      </c>
      <c r="BC197" t="s">
        <v>918</v>
      </c>
      <c r="BD197">
        <v>3</v>
      </c>
      <c r="BE197">
        <v>4</v>
      </c>
    </row>
    <row r="198" spans="1:57" hidden="1" x14ac:dyDescent="0.2">
      <c r="A198" t="s">
        <v>2546</v>
      </c>
      <c r="B198" t="s">
        <v>2547</v>
      </c>
      <c r="C198" t="s">
        <v>2548</v>
      </c>
      <c r="D198" t="s">
        <v>2549</v>
      </c>
      <c r="E198" t="s">
        <v>2549</v>
      </c>
      <c r="F198" t="s">
        <v>2035</v>
      </c>
      <c r="G198" t="s">
        <v>56</v>
      </c>
      <c r="H198" t="s">
        <v>57</v>
      </c>
      <c r="I198" t="s">
        <v>58</v>
      </c>
      <c r="J198" t="e">
        <v>#N/A</v>
      </c>
      <c r="K198" t="s">
        <v>2513</v>
      </c>
      <c r="L198" t="s">
        <v>2513</v>
      </c>
      <c r="M198" t="s">
        <v>7165</v>
      </c>
      <c r="N198" t="s">
        <v>7165</v>
      </c>
      <c r="O198" s="1" t="s">
        <v>603</v>
      </c>
      <c r="P198" t="s">
        <v>649</v>
      </c>
      <c r="Q198" s="1" t="s">
        <v>605</v>
      </c>
      <c r="R198" s="1" t="s">
        <v>250</v>
      </c>
      <c r="S198" s="1" t="s">
        <v>606</v>
      </c>
      <c r="T198" s="1">
        <v>11</v>
      </c>
      <c r="U198" s="1">
        <v>2124</v>
      </c>
      <c r="V198" s="1" t="s">
        <v>169</v>
      </c>
      <c r="W198" s="1">
        <v>7835031</v>
      </c>
      <c r="X198" t="s">
        <v>2550</v>
      </c>
      <c r="Y198" t="s">
        <v>2551</v>
      </c>
      <c r="AA198" t="s">
        <v>68</v>
      </c>
      <c r="AB198" t="s">
        <v>2552</v>
      </c>
      <c r="AC198" t="s">
        <v>2553</v>
      </c>
      <c r="AD198" t="s">
        <v>2554</v>
      </c>
      <c r="AE198" t="s">
        <v>2530</v>
      </c>
      <c r="AF198" t="s">
        <v>73</v>
      </c>
      <c r="AG198" t="s">
        <v>2555</v>
      </c>
      <c r="AH198" t="s">
        <v>75</v>
      </c>
      <c r="AI198" t="s">
        <v>76</v>
      </c>
      <c r="AJ198" t="s">
        <v>77</v>
      </c>
      <c r="AK198" t="s">
        <v>2556</v>
      </c>
      <c r="AL198" t="s">
        <v>615</v>
      </c>
      <c r="AM198" t="s">
        <v>616</v>
      </c>
      <c r="AN198" t="s">
        <v>81</v>
      </c>
      <c r="AO198" t="s">
        <v>82</v>
      </c>
      <c r="AP198" t="s">
        <v>83</v>
      </c>
      <c r="AQ198">
        <v>2016</v>
      </c>
      <c r="AR198">
        <v>84168</v>
      </c>
      <c r="AS198">
        <v>5332423</v>
      </c>
      <c r="AT198">
        <v>233</v>
      </c>
      <c r="AU198" t="s">
        <v>84</v>
      </c>
      <c r="AV198">
        <v>562</v>
      </c>
      <c r="AW198" t="s">
        <v>85</v>
      </c>
      <c r="AX198" t="s">
        <v>86</v>
      </c>
      <c r="AY198">
        <v>562</v>
      </c>
      <c r="AZ198" t="s">
        <v>2557</v>
      </c>
      <c r="BA198" t="s">
        <v>88</v>
      </c>
      <c r="BC198" t="s">
        <v>918</v>
      </c>
      <c r="BD198">
        <v>1</v>
      </c>
      <c r="BE198">
        <v>2</v>
      </c>
    </row>
    <row r="199" spans="1:57" hidden="1" x14ac:dyDescent="0.2">
      <c r="A199" t="s">
        <v>2558</v>
      </c>
      <c r="B199" t="s">
        <v>2559</v>
      </c>
      <c r="C199" t="s">
        <v>2548</v>
      </c>
      <c r="D199" t="s">
        <v>2560</v>
      </c>
      <c r="E199" t="s">
        <v>2560</v>
      </c>
      <c r="F199" t="s">
        <v>2035</v>
      </c>
      <c r="G199" t="s">
        <v>56</v>
      </c>
      <c r="H199" t="s">
        <v>57</v>
      </c>
      <c r="I199" t="s">
        <v>58</v>
      </c>
      <c r="J199" t="e">
        <v>#N/A</v>
      </c>
      <c r="K199" t="s">
        <v>2513</v>
      </c>
      <c r="L199" t="s">
        <v>2513</v>
      </c>
      <c r="M199" t="s">
        <v>7165</v>
      </c>
      <c r="N199" t="s">
        <v>7165</v>
      </c>
      <c r="O199" s="1" t="s">
        <v>603</v>
      </c>
      <c r="P199" t="s">
        <v>649</v>
      </c>
      <c r="Q199" s="1" t="s">
        <v>605</v>
      </c>
      <c r="R199" s="1" t="s">
        <v>250</v>
      </c>
      <c r="S199" s="1" t="s">
        <v>606</v>
      </c>
      <c r="T199" s="1">
        <v>11</v>
      </c>
      <c r="U199" s="1">
        <v>2124</v>
      </c>
      <c r="V199" s="1" t="s">
        <v>169</v>
      </c>
      <c r="W199" s="1">
        <v>7835031</v>
      </c>
      <c r="X199" t="s">
        <v>2561</v>
      </c>
      <c r="Y199" t="s">
        <v>2562</v>
      </c>
      <c r="AA199" t="s">
        <v>68</v>
      </c>
      <c r="AB199" t="s">
        <v>2563</v>
      </c>
      <c r="AC199" t="s">
        <v>2564</v>
      </c>
      <c r="AD199" t="s">
        <v>2565</v>
      </c>
      <c r="AE199" t="s">
        <v>2530</v>
      </c>
      <c r="AF199" t="s">
        <v>73</v>
      </c>
      <c r="AG199" t="s">
        <v>2566</v>
      </c>
      <c r="AH199" t="s">
        <v>75</v>
      </c>
      <c r="AI199" t="s">
        <v>76</v>
      </c>
      <c r="AJ199" t="s">
        <v>77</v>
      </c>
      <c r="AK199" t="s">
        <v>2567</v>
      </c>
      <c r="AL199" t="s">
        <v>615</v>
      </c>
      <c r="AM199" t="s">
        <v>616</v>
      </c>
      <c r="AN199" t="s">
        <v>81</v>
      </c>
      <c r="AO199" t="s">
        <v>82</v>
      </c>
      <c r="AP199" t="s">
        <v>83</v>
      </c>
      <c r="AQ199">
        <v>2016</v>
      </c>
      <c r="AR199">
        <v>148434</v>
      </c>
      <c r="AS199">
        <v>5369228</v>
      </c>
      <c r="AT199">
        <v>166</v>
      </c>
      <c r="AU199" t="s">
        <v>84</v>
      </c>
      <c r="AV199">
        <v>562</v>
      </c>
      <c r="AW199" t="s">
        <v>85</v>
      </c>
      <c r="AX199" t="s">
        <v>86</v>
      </c>
      <c r="AY199">
        <v>562</v>
      </c>
      <c r="AZ199" t="s">
        <v>2568</v>
      </c>
      <c r="BA199" t="s">
        <v>88</v>
      </c>
      <c r="BC199" t="s">
        <v>918</v>
      </c>
      <c r="BD199">
        <v>1</v>
      </c>
      <c r="BE199">
        <v>2</v>
      </c>
    </row>
    <row r="200" spans="1:57" hidden="1" x14ac:dyDescent="0.2">
      <c r="A200" t="s">
        <v>2569</v>
      </c>
      <c r="B200" t="s">
        <v>2570</v>
      </c>
      <c r="C200" t="s">
        <v>2571</v>
      </c>
      <c r="D200" t="s">
        <v>2572</v>
      </c>
      <c r="E200" t="s">
        <v>2572</v>
      </c>
      <c r="G200" t="s">
        <v>56</v>
      </c>
      <c r="H200" t="s">
        <v>57</v>
      </c>
      <c r="I200" t="s">
        <v>58</v>
      </c>
      <c r="J200" t="e">
        <v>#N/A</v>
      </c>
      <c r="K200" t="s">
        <v>2513</v>
      </c>
      <c r="L200" t="s">
        <v>2513</v>
      </c>
      <c r="M200" t="s">
        <v>7165</v>
      </c>
      <c r="N200" t="s">
        <v>7165</v>
      </c>
      <c r="O200" s="1" t="s">
        <v>603</v>
      </c>
      <c r="P200" t="s">
        <v>649</v>
      </c>
      <c r="Q200" s="1" t="s">
        <v>605</v>
      </c>
      <c r="R200" s="1" t="s">
        <v>250</v>
      </c>
      <c r="S200" s="1" t="s">
        <v>606</v>
      </c>
      <c r="T200" s="1">
        <v>11</v>
      </c>
      <c r="U200" s="1">
        <v>2124</v>
      </c>
      <c r="V200" s="1" t="s">
        <v>169</v>
      </c>
      <c r="W200" s="1" t="s">
        <v>170</v>
      </c>
      <c r="X200" t="s">
        <v>2573</v>
      </c>
      <c r="Y200" t="s">
        <v>2574</v>
      </c>
      <c r="AA200" t="s">
        <v>68</v>
      </c>
      <c r="AB200" t="s">
        <v>2575</v>
      </c>
      <c r="AC200" t="s">
        <v>2576</v>
      </c>
      <c r="AD200" t="s">
        <v>2577</v>
      </c>
      <c r="AE200" t="s">
        <v>2530</v>
      </c>
      <c r="AF200" t="s">
        <v>73</v>
      </c>
      <c r="AG200" t="s">
        <v>2578</v>
      </c>
      <c r="AH200" t="s">
        <v>75</v>
      </c>
      <c r="AI200" t="s">
        <v>76</v>
      </c>
      <c r="AJ200" t="s">
        <v>77</v>
      </c>
      <c r="AK200" t="s">
        <v>2520</v>
      </c>
      <c r="AL200" t="s">
        <v>615</v>
      </c>
      <c r="AM200" t="s">
        <v>616</v>
      </c>
      <c r="AN200" t="s">
        <v>81</v>
      </c>
      <c r="AO200" t="s">
        <v>82</v>
      </c>
      <c r="AP200" t="s">
        <v>83</v>
      </c>
      <c r="AQ200">
        <v>2016</v>
      </c>
      <c r="AR200">
        <v>160449</v>
      </c>
      <c r="AS200">
        <v>5361179</v>
      </c>
      <c r="AT200">
        <v>165</v>
      </c>
      <c r="AU200" t="s">
        <v>84</v>
      </c>
      <c r="AV200">
        <v>562</v>
      </c>
      <c r="AW200" t="s">
        <v>85</v>
      </c>
      <c r="AX200" t="s">
        <v>86</v>
      </c>
      <c r="AY200">
        <v>562</v>
      </c>
      <c r="AZ200" t="s">
        <v>2579</v>
      </c>
      <c r="BA200" t="s">
        <v>88</v>
      </c>
      <c r="BC200" t="s">
        <v>918</v>
      </c>
      <c r="BD200">
        <v>0</v>
      </c>
      <c r="BE200">
        <v>1</v>
      </c>
    </row>
    <row r="201" spans="1:57" hidden="1" x14ac:dyDescent="0.2">
      <c r="A201" t="s">
        <v>2580</v>
      </c>
      <c r="B201" t="s">
        <v>2581</v>
      </c>
      <c r="C201" t="s">
        <v>2580</v>
      </c>
      <c r="D201" t="s">
        <v>2582</v>
      </c>
      <c r="E201" t="s">
        <v>2582</v>
      </c>
      <c r="F201" t="s">
        <v>2035</v>
      </c>
      <c r="G201" t="s">
        <v>56</v>
      </c>
      <c r="H201" t="s">
        <v>57</v>
      </c>
      <c r="I201" t="s">
        <v>58</v>
      </c>
      <c r="J201" t="e">
        <v>#N/A</v>
      </c>
      <c r="K201" t="s">
        <v>2583</v>
      </c>
      <c r="L201" t="s">
        <v>2513</v>
      </c>
      <c r="M201" t="s">
        <v>7165</v>
      </c>
      <c r="N201" t="s">
        <v>7165</v>
      </c>
      <c r="O201" s="1" t="s">
        <v>603</v>
      </c>
      <c r="P201" t="s">
        <v>603</v>
      </c>
      <c r="Q201" s="1" t="s">
        <v>650</v>
      </c>
      <c r="R201" s="1" t="s">
        <v>250</v>
      </c>
      <c r="S201" s="1" t="s">
        <v>606</v>
      </c>
      <c r="T201" s="1">
        <v>11</v>
      </c>
      <c r="U201" s="1">
        <v>2124</v>
      </c>
      <c r="V201" s="1" t="s">
        <v>651</v>
      </c>
      <c r="W201" s="1">
        <v>0</v>
      </c>
      <c r="X201" t="s">
        <v>2584</v>
      </c>
      <c r="Y201" t="s">
        <v>2585</v>
      </c>
      <c r="AA201" t="s">
        <v>68</v>
      </c>
      <c r="AB201" t="s">
        <v>2586</v>
      </c>
      <c r="AC201" t="s">
        <v>2587</v>
      </c>
      <c r="AD201" t="s">
        <v>2588</v>
      </c>
      <c r="AE201" t="s">
        <v>2589</v>
      </c>
      <c r="AF201" t="s">
        <v>73</v>
      </c>
      <c r="AG201" t="s">
        <v>2590</v>
      </c>
      <c r="AH201" t="s">
        <v>75</v>
      </c>
      <c r="AI201" t="s">
        <v>76</v>
      </c>
      <c r="AJ201" t="s">
        <v>77</v>
      </c>
      <c r="AK201" t="s">
        <v>2520</v>
      </c>
      <c r="AL201" t="s">
        <v>615</v>
      </c>
      <c r="AM201" t="s">
        <v>616</v>
      </c>
      <c r="AN201" t="s">
        <v>81</v>
      </c>
      <c r="AO201" t="s">
        <v>82</v>
      </c>
      <c r="AP201" t="s">
        <v>83</v>
      </c>
      <c r="AQ201">
        <v>2016</v>
      </c>
      <c r="AR201">
        <v>148116</v>
      </c>
      <c r="AS201">
        <v>5330676</v>
      </c>
      <c r="AT201">
        <v>151</v>
      </c>
      <c r="AU201" t="s">
        <v>84</v>
      </c>
      <c r="AV201">
        <v>562</v>
      </c>
      <c r="AW201" t="s">
        <v>85</v>
      </c>
      <c r="AX201" t="s">
        <v>86</v>
      </c>
      <c r="AY201">
        <v>562</v>
      </c>
      <c r="AZ201" t="s">
        <v>2591</v>
      </c>
      <c r="BA201" t="s">
        <v>88</v>
      </c>
      <c r="BC201" t="s">
        <v>918</v>
      </c>
      <c r="BD201">
        <v>0</v>
      </c>
      <c r="BE201">
        <v>1</v>
      </c>
    </row>
    <row r="202" spans="1:57" hidden="1" x14ac:dyDescent="0.2">
      <c r="A202" t="s">
        <v>2592</v>
      </c>
      <c r="B202" t="s">
        <v>2593</v>
      </c>
      <c r="C202" t="s">
        <v>2511</v>
      </c>
      <c r="D202" t="s">
        <v>2594</v>
      </c>
      <c r="E202" t="s">
        <v>2594</v>
      </c>
      <c r="F202" t="s">
        <v>2035</v>
      </c>
      <c r="G202" t="s">
        <v>56</v>
      </c>
      <c r="H202" t="s">
        <v>57</v>
      </c>
      <c r="I202" t="s">
        <v>58</v>
      </c>
      <c r="J202" t="e">
        <v>#N/A</v>
      </c>
      <c r="K202" t="s">
        <v>2513</v>
      </c>
      <c r="L202" t="s">
        <v>2513</v>
      </c>
      <c r="M202" t="s">
        <v>7165</v>
      </c>
      <c r="N202" t="s">
        <v>7165</v>
      </c>
      <c r="O202" s="1" t="s">
        <v>603</v>
      </c>
      <c r="P202" t="s">
        <v>649</v>
      </c>
      <c r="Q202" s="1" t="s">
        <v>605</v>
      </c>
      <c r="R202" s="1" t="s">
        <v>250</v>
      </c>
      <c r="S202" s="1" t="s">
        <v>606</v>
      </c>
      <c r="T202" s="1">
        <v>11</v>
      </c>
      <c r="U202" s="1">
        <v>2124</v>
      </c>
      <c r="V202" s="1" t="s">
        <v>169</v>
      </c>
      <c r="W202" s="1">
        <v>7835031</v>
      </c>
      <c r="X202" t="s">
        <v>2595</v>
      </c>
      <c r="Y202" t="s">
        <v>2596</v>
      </c>
      <c r="AA202" t="s">
        <v>68</v>
      </c>
      <c r="AB202" t="s">
        <v>2597</v>
      </c>
      <c r="AC202" t="s">
        <v>2598</v>
      </c>
      <c r="AD202" t="s">
        <v>2599</v>
      </c>
      <c r="AE202" t="s">
        <v>2589</v>
      </c>
      <c r="AF202" t="s">
        <v>73</v>
      </c>
      <c r="AG202" t="s">
        <v>2600</v>
      </c>
      <c r="AH202" t="s">
        <v>75</v>
      </c>
      <c r="AI202" t="s">
        <v>76</v>
      </c>
      <c r="AJ202" t="s">
        <v>77</v>
      </c>
      <c r="AK202" t="s">
        <v>2601</v>
      </c>
      <c r="AL202" t="s">
        <v>615</v>
      </c>
      <c r="AM202" t="s">
        <v>616</v>
      </c>
      <c r="AN202" t="s">
        <v>81</v>
      </c>
      <c r="AO202" t="s">
        <v>82</v>
      </c>
      <c r="AP202" t="s">
        <v>83</v>
      </c>
      <c r="AQ202">
        <v>2016</v>
      </c>
      <c r="AR202">
        <v>157712</v>
      </c>
      <c r="AS202">
        <v>5352570</v>
      </c>
      <c r="AT202">
        <v>175</v>
      </c>
      <c r="AU202" t="s">
        <v>84</v>
      </c>
      <c r="AV202">
        <v>562</v>
      </c>
      <c r="AW202" t="s">
        <v>85</v>
      </c>
      <c r="AX202" t="s">
        <v>86</v>
      </c>
      <c r="AY202">
        <v>562</v>
      </c>
      <c r="AZ202" t="s">
        <v>2602</v>
      </c>
      <c r="BA202" t="s">
        <v>88</v>
      </c>
      <c r="BC202" t="s">
        <v>918</v>
      </c>
      <c r="BD202">
        <v>0</v>
      </c>
      <c r="BE202">
        <v>1</v>
      </c>
    </row>
    <row r="203" spans="1:57" hidden="1" x14ac:dyDescent="0.2">
      <c r="A203" t="s">
        <v>2603</v>
      </c>
      <c r="B203" t="s">
        <v>2604</v>
      </c>
      <c r="C203" t="s">
        <v>2605</v>
      </c>
      <c r="D203" t="s">
        <v>2606</v>
      </c>
      <c r="E203" t="s">
        <v>2606</v>
      </c>
      <c r="G203" t="s">
        <v>56</v>
      </c>
      <c r="H203" t="s">
        <v>57</v>
      </c>
      <c r="I203" t="s">
        <v>58</v>
      </c>
      <c r="J203" t="e">
        <v>#N/A</v>
      </c>
      <c r="K203" t="s">
        <v>2607</v>
      </c>
      <c r="L203" t="s">
        <v>2607</v>
      </c>
      <c r="M203" t="s">
        <v>7165</v>
      </c>
      <c r="N203" t="s">
        <v>7165</v>
      </c>
      <c r="O203" s="1" t="s">
        <v>603</v>
      </c>
      <c r="P203" t="s">
        <v>649</v>
      </c>
      <c r="Q203" s="1" t="s">
        <v>605</v>
      </c>
      <c r="R203" s="1" t="s">
        <v>127</v>
      </c>
      <c r="S203" s="1" t="s">
        <v>606</v>
      </c>
      <c r="T203" s="1">
        <v>11</v>
      </c>
      <c r="U203" s="1">
        <v>2124</v>
      </c>
      <c r="V203" s="1" t="s">
        <v>169</v>
      </c>
      <c r="W203" s="1">
        <v>7979703</v>
      </c>
      <c r="X203" t="s">
        <v>2608</v>
      </c>
      <c r="Y203" t="s">
        <v>2609</v>
      </c>
      <c r="AA203" t="s">
        <v>68</v>
      </c>
      <c r="AB203" t="s">
        <v>2610</v>
      </c>
      <c r="AC203" t="s">
        <v>2611</v>
      </c>
      <c r="AD203" t="s">
        <v>2612</v>
      </c>
      <c r="AE203" t="s">
        <v>2589</v>
      </c>
      <c r="AF203" t="s">
        <v>73</v>
      </c>
      <c r="AG203" t="s">
        <v>2613</v>
      </c>
      <c r="AH203" t="s">
        <v>75</v>
      </c>
      <c r="AI203" t="s">
        <v>76</v>
      </c>
      <c r="AJ203" t="s">
        <v>77</v>
      </c>
      <c r="AK203" t="s">
        <v>669</v>
      </c>
      <c r="AL203" t="s">
        <v>615</v>
      </c>
      <c r="AM203" t="s">
        <v>616</v>
      </c>
      <c r="AN203" t="s">
        <v>81</v>
      </c>
      <c r="AO203" t="s">
        <v>82</v>
      </c>
      <c r="AP203" t="s">
        <v>83</v>
      </c>
      <c r="AQ203">
        <v>2016</v>
      </c>
      <c r="AR203">
        <v>157717</v>
      </c>
      <c r="AS203">
        <v>5306642</v>
      </c>
      <c r="AT203">
        <v>148</v>
      </c>
      <c r="AU203" t="s">
        <v>84</v>
      </c>
      <c r="AV203">
        <v>562</v>
      </c>
      <c r="AW203" t="s">
        <v>85</v>
      </c>
      <c r="AX203" t="s">
        <v>86</v>
      </c>
      <c r="AY203">
        <v>562</v>
      </c>
      <c r="AZ203" t="s">
        <v>2614</v>
      </c>
      <c r="BA203" t="s">
        <v>88</v>
      </c>
      <c r="BC203" t="s">
        <v>841</v>
      </c>
      <c r="BD203">
        <v>5</v>
      </c>
      <c r="BE203">
        <v>7</v>
      </c>
    </row>
    <row r="204" spans="1:57" hidden="1" x14ac:dyDescent="0.2">
      <c r="A204" t="s">
        <v>2615</v>
      </c>
      <c r="B204" t="s">
        <v>2616</v>
      </c>
      <c r="C204" t="s">
        <v>2605</v>
      </c>
      <c r="D204" t="s">
        <v>2617</v>
      </c>
      <c r="E204" t="s">
        <v>2617</v>
      </c>
      <c r="G204" t="s">
        <v>56</v>
      </c>
      <c r="H204" t="s">
        <v>57</v>
      </c>
      <c r="I204" t="s">
        <v>58</v>
      </c>
      <c r="J204" t="e">
        <v>#N/A</v>
      </c>
      <c r="K204" t="s">
        <v>2607</v>
      </c>
      <c r="L204" t="s">
        <v>2607</v>
      </c>
      <c r="M204" t="s">
        <v>7165</v>
      </c>
      <c r="N204" t="s">
        <v>60</v>
      </c>
      <c r="O204" s="1" t="s">
        <v>603</v>
      </c>
      <c r="P204" t="s">
        <v>649</v>
      </c>
      <c r="Q204" s="1" t="s">
        <v>605</v>
      </c>
      <c r="R204" s="1" t="s">
        <v>127</v>
      </c>
      <c r="S204" s="1" t="s">
        <v>606</v>
      </c>
      <c r="T204" s="1">
        <v>11</v>
      </c>
      <c r="U204" s="1">
        <v>2124</v>
      </c>
      <c r="V204" s="1" t="s">
        <v>169</v>
      </c>
      <c r="W204" s="1">
        <v>7979703</v>
      </c>
      <c r="X204" t="s">
        <v>2618</v>
      </c>
      <c r="Y204" t="s">
        <v>2619</v>
      </c>
      <c r="AA204" t="s">
        <v>68</v>
      </c>
      <c r="AB204" t="s">
        <v>2620</v>
      </c>
      <c r="AC204" t="s">
        <v>2621</v>
      </c>
      <c r="AD204" t="s">
        <v>2622</v>
      </c>
      <c r="AE204" t="s">
        <v>2079</v>
      </c>
      <c r="AF204" t="s">
        <v>73</v>
      </c>
      <c r="AG204" t="s">
        <v>2623</v>
      </c>
      <c r="AH204" t="s">
        <v>75</v>
      </c>
      <c r="AI204" t="s">
        <v>76</v>
      </c>
      <c r="AJ204" t="s">
        <v>77</v>
      </c>
      <c r="AK204" t="s">
        <v>669</v>
      </c>
      <c r="AL204" t="s">
        <v>615</v>
      </c>
      <c r="AM204" t="s">
        <v>616</v>
      </c>
      <c r="AN204" t="s">
        <v>81</v>
      </c>
      <c r="AO204" t="s">
        <v>82</v>
      </c>
      <c r="AP204" t="s">
        <v>83</v>
      </c>
      <c r="AQ204">
        <v>2016</v>
      </c>
      <c r="AR204">
        <v>188435</v>
      </c>
      <c r="AS204">
        <v>5343257</v>
      </c>
      <c r="AT204">
        <v>147</v>
      </c>
      <c r="AU204" t="s">
        <v>84</v>
      </c>
      <c r="AV204">
        <v>562</v>
      </c>
      <c r="AW204" t="s">
        <v>85</v>
      </c>
      <c r="AX204" t="s">
        <v>86</v>
      </c>
      <c r="AY204">
        <v>562</v>
      </c>
      <c r="AZ204" t="s">
        <v>2624</v>
      </c>
      <c r="BA204" t="s">
        <v>88</v>
      </c>
      <c r="BC204" t="s">
        <v>841</v>
      </c>
      <c r="BD204">
        <v>4</v>
      </c>
      <c r="BE204">
        <v>4</v>
      </c>
    </row>
    <row r="205" spans="1:57" hidden="1" x14ac:dyDescent="0.2">
      <c r="A205" t="s">
        <v>2625</v>
      </c>
      <c r="B205" t="s">
        <v>2626</v>
      </c>
      <c r="C205" t="s">
        <v>2627</v>
      </c>
      <c r="D205" t="s">
        <v>2628</v>
      </c>
      <c r="E205" t="s">
        <v>2628</v>
      </c>
      <c r="G205" t="s">
        <v>56</v>
      </c>
      <c r="H205" t="s">
        <v>57</v>
      </c>
      <c r="I205" t="s">
        <v>58</v>
      </c>
      <c r="J205" t="e">
        <v>#N/A</v>
      </c>
      <c r="K205" t="s">
        <v>1094</v>
      </c>
      <c r="L205" t="s">
        <v>1094</v>
      </c>
      <c r="M205" t="s">
        <v>7165</v>
      </c>
      <c r="N205" t="s">
        <v>60</v>
      </c>
      <c r="O205" s="1" t="s">
        <v>603</v>
      </c>
      <c r="P205" t="s">
        <v>649</v>
      </c>
      <c r="Q205" s="1" t="s">
        <v>875</v>
      </c>
      <c r="R205" s="1" t="s">
        <v>64</v>
      </c>
      <c r="S205" s="1" t="s">
        <v>713</v>
      </c>
      <c r="T205" s="1">
        <v>11</v>
      </c>
      <c r="U205" s="1">
        <v>2131</v>
      </c>
      <c r="V205" s="1" t="s">
        <v>169</v>
      </c>
      <c r="W205" s="1">
        <v>7986852</v>
      </c>
      <c r="X205" t="s">
        <v>2629</v>
      </c>
      <c r="Y205" t="s">
        <v>2630</v>
      </c>
      <c r="AA205" t="s">
        <v>68</v>
      </c>
      <c r="AB205" t="s">
        <v>2631</v>
      </c>
      <c r="AC205" t="s">
        <v>2632</v>
      </c>
      <c r="AD205" t="s">
        <v>2633</v>
      </c>
      <c r="AE205" t="s">
        <v>2200</v>
      </c>
      <c r="AF205" t="s">
        <v>73</v>
      </c>
      <c r="AG205" t="s">
        <v>2634</v>
      </c>
      <c r="AI205" t="s">
        <v>76</v>
      </c>
      <c r="AJ205" t="s">
        <v>77</v>
      </c>
      <c r="AK205" t="s">
        <v>2635</v>
      </c>
      <c r="AL205" t="s">
        <v>615</v>
      </c>
      <c r="AM205" t="s">
        <v>721</v>
      </c>
      <c r="AN205" t="s">
        <v>532</v>
      </c>
      <c r="AO205" t="s">
        <v>533</v>
      </c>
      <c r="AP205" t="s">
        <v>83</v>
      </c>
      <c r="AQ205">
        <v>2016</v>
      </c>
      <c r="AR205">
        <v>188306</v>
      </c>
      <c r="AS205">
        <v>5374188</v>
      </c>
      <c r="AT205">
        <v>162</v>
      </c>
      <c r="AU205" t="s">
        <v>84</v>
      </c>
      <c r="AV205">
        <v>562</v>
      </c>
      <c r="AW205" t="s">
        <v>85</v>
      </c>
      <c r="AX205" t="s">
        <v>86</v>
      </c>
      <c r="AY205">
        <v>562</v>
      </c>
      <c r="AZ205" t="s">
        <v>2636</v>
      </c>
      <c r="BA205" t="s">
        <v>88</v>
      </c>
      <c r="BC205" t="s">
        <v>710</v>
      </c>
      <c r="BD205">
        <v>19</v>
      </c>
      <c r="BE205">
        <v>12</v>
      </c>
    </row>
    <row r="206" spans="1:57" hidden="1" x14ac:dyDescent="0.2">
      <c r="A206" t="s">
        <v>2637</v>
      </c>
      <c r="B206" t="s">
        <v>2638</v>
      </c>
      <c r="C206" t="s">
        <v>2639</v>
      </c>
      <c r="D206" t="s">
        <v>2640</v>
      </c>
      <c r="E206" t="s">
        <v>2640</v>
      </c>
      <c r="G206" t="s">
        <v>56</v>
      </c>
      <c r="H206" t="s">
        <v>57</v>
      </c>
      <c r="I206" t="s">
        <v>58</v>
      </c>
      <c r="J206" t="e">
        <v>#N/A</v>
      </c>
      <c r="K206" t="s">
        <v>2641</v>
      </c>
      <c r="L206" t="s">
        <v>1094</v>
      </c>
      <c r="M206" t="s">
        <v>7165</v>
      </c>
      <c r="N206" t="s">
        <v>60</v>
      </c>
      <c r="O206" s="1" t="s">
        <v>603</v>
      </c>
      <c r="P206" t="s">
        <v>649</v>
      </c>
      <c r="Q206" s="1" t="s">
        <v>875</v>
      </c>
      <c r="R206" s="1" t="s">
        <v>270</v>
      </c>
      <c r="S206" s="1" t="s">
        <v>701</v>
      </c>
      <c r="T206" s="1">
        <v>11</v>
      </c>
      <c r="U206" s="1">
        <v>2117</v>
      </c>
      <c r="V206" s="1" t="s">
        <v>169</v>
      </c>
      <c r="W206" s="1">
        <v>8134081</v>
      </c>
      <c r="X206" t="s">
        <v>2642</v>
      </c>
      <c r="Y206" t="s">
        <v>2643</v>
      </c>
      <c r="AA206" t="s">
        <v>68</v>
      </c>
      <c r="AB206" t="s">
        <v>2644</v>
      </c>
      <c r="AC206" t="s">
        <v>2645</v>
      </c>
      <c r="AD206" t="s">
        <v>2646</v>
      </c>
      <c r="AE206" t="s">
        <v>2315</v>
      </c>
      <c r="AF206" t="s">
        <v>73</v>
      </c>
      <c r="AG206" t="s">
        <v>2647</v>
      </c>
      <c r="AH206" t="s">
        <v>75</v>
      </c>
      <c r="AI206" t="s">
        <v>76</v>
      </c>
      <c r="AJ206" t="s">
        <v>77</v>
      </c>
      <c r="AK206" t="s">
        <v>1137</v>
      </c>
      <c r="AL206" t="s">
        <v>1253</v>
      </c>
      <c r="AM206" t="s">
        <v>616</v>
      </c>
      <c r="AN206" t="s">
        <v>81</v>
      </c>
      <c r="AO206" t="s">
        <v>82</v>
      </c>
      <c r="AP206" t="s">
        <v>83</v>
      </c>
      <c r="AQ206">
        <v>2016</v>
      </c>
      <c r="AR206">
        <v>138860</v>
      </c>
      <c r="AS206">
        <v>5301573</v>
      </c>
      <c r="AT206">
        <v>193</v>
      </c>
      <c r="AU206" t="s">
        <v>84</v>
      </c>
      <c r="AV206">
        <v>562</v>
      </c>
      <c r="AW206" t="s">
        <v>85</v>
      </c>
      <c r="AX206" t="s">
        <v>86</v>
      </c>
      <c r="AY206">
        <v>562</v>
      </c>
      <c r="AZ206" t="s">
        <v>2648</v>
      </c>
      <c r="BA206" t="s">
        <v>88</v>
      </c>
      <c r="BC206" t="s">
        <v>1508</v>
      </c>
      <c r="BD206">
        <v>1</v>
      </c>
    </row>
    <row r="207" spans="1:57" hidden="1" x14ac:dyDescent="0.2">
      <c r="A207" t="s">
        <v>2649</v>
      </c>
      <c r="B207" t="s">
        <v>2650</v>
      </c>
      <c r="C207" t="s">
        <v>2639</v>
      </c>
      <c r="D207" t="s">
        <v>2651</v>
      </c>
      <c r="E207" t="s">
        <v>2651</v>
      </c>
      <c r="G207" t="s">
        <v>56</v>
      </c>
      <c r="H207" t="s">
        <v>57</v>
      </c>
      <c r="I207" t="s">
        <v>58</v>
      </c>
      <c r="J207" t="e">
        <v>#N/A</v>
      </c>
      <c r="K207" t="s">
        <v>1094</v>
      </c>
      <c r="L207" t="s">
        <v>1094</v>
      </c>
      <c r="M207" t="s">
        <v>7165</v>
      </c>
      <c r="N207" t="s">
        <v>60</v>
      </c>
      <c r="O207" s="1" t="s">
        <v>603</v>
      </c>
      <c r="P207" t="s">
        <v>649</v>
      </c>
      <c r="Q207" s="1" t="s">
        <v>875</v>
      </c>
      <c r="R207" s="1" t="s">
        <v>270</v>
      </c>
      <c r="S207" s="1" t="s">
        <v>701</v>
      </c>
      <c r="T207" s="1">
        <v>11</v>
      </c>
      <c r="U207" s="1">
        <v>2117</v>
      </c>
      <c r="V207" s="1" t="s">
        <v>169</v>
      </c>
      <c r="W207" s="1">
        <v>8134081</v>
      </c>
      <c r="X207" t="s">
        <v>2652</v>
      </c>
      <c r="Y207" t="s">
        <v>2653</v>
      </c>
      <c r="AA207" t="s">
        <v>68</v>
      </c>
      <c r="AB207" t="s">
        <v>2654</v>
      </c>
      <c r="AC207" t="s">
        <v>2655</v>
      </c>
      <c r="AD207" t="s">
        <v>2656</v>
      </c>
      <c r="AE207" t="s">
        <v>2428</v>
      </c>
      <c r="AF207" t="s">
        <v>73</v>
      </c>
      <c r="AG207" t="s">
        <v>2657</v>
      </c>
      <c r="AH207" t="s">
        <v>75</v>
      </c>
      <c r="AI207" t="s">
        <v>76</v>
      </c>
      <c r="AJ207" t="s">
        <v>77</v>
      </c>
      <c r="AK207" t="s">
        <v>708</v>
      </c>
      <c r="AL207" t="s">
        <v>1253</v>
      </c>
      <c r="AM207" t="s">
        <v>616</v>
      </c>
      <c r="AN207" t="s">
        <v>81</v>
      </c>
      <c r="AO207" t="s">
        <v>82</v>
      </c>
      <c r="AP207" t="s">
        <v>83</v>
      </c>
      <c r="AQ207">
        <v>2016</v>
      </c>
      <c r="AR207">
        <v>145289</v>
      </c>
      <c r="AS207">
        <v>5308064</v>
      </c>
      <c r="AT207">
        <v>184</v>
      </c>
      <c r="AU207" t="s">
        <v>84</v>
      </c>
      <c r="AV207">
        <v>562</v>
      </c>
      <c r="AW207" t="s">
        <v>85</v>
      </c>
      <c r="AX207" t="s">
        <v>86</v>
      </c>
      <c r="AY207">
        <v>562</v>
      </c>
      <c r="AZ207" t="s">
        <v>2658</v>
      </c>
      <c r="BA207" t="s">
        <v>88</v>
      </c>
      <c r="BC207" t="s">
        <v>1508</v>
      </c>
      <c r="BD207">
        <v>1</v>
      </c>
    </row>
    <row r="208" spans="1:57" hidden="1" x14ac:dyDescent="0.2">
      <c r="A208" t="s">
        <v>2659</v>
      </c>
      <c r="B208" t="s">
        <v>2660</v>
      </c>
      <c r="C208" t="s">
        <v>2661</v>
      </c>
      <c r="D208" t="s">
        <v>2662</v>
      </c>
      <c r="E208" t="s">
        <v>2662</v>
      </c>
      <c r="G208" t="s">
        <v>56</v>
      </c>
      <c r="H208" t="s">
        <v>57</v>
      </c>
      <c r="I208" t="s">
        <v>58</v>
      </c>
      <c r="J208" t="e">
        <v>#N/A</v>
      </c>
      <c r="K208" t="s">
        <v>2663</v>
      </c>
      <c r="L208" t="s">
        <v>2663</v>
      </c>
      <c r="M208" t="s">
        <v>7165</v>
      </c>
      <c r="N208" t="s">
        <v>7162</v>
      </c>
      <c r="O208" s="1" t="s">
        <v>603</v>
      </c>
      <c r="P208" t="s">
        <v>649</v>
      </c>
      <c r="Q208" s="1" t="s">
        <v>605</v>
      </c>
      <c r="R208" s="1" t="s">
        <v>127</v>
      </c>
      <c r="S208" s="1" t="s">
        <v>606</v>
      </c>
      <c r="T208" s="1">
        <v>11</v>
      </c>
      <c r="U208" s="1">
        <v>2124</v>
      </c>
      <c r="V208" s="1" t="s">
        <v>169</v>
      </c>
      <c r="W208" s="1" t="s">
        <v>170</v>
      </c>
      <c r="X208" t="s">
        <v>2664</v>
      </c>
      <c r="Y208" t="s">
        <v>2665</v>
      </c>
      <c r="AA208" t="s">
        <v>68</v>
      </c>
      <c r="AB208" t="s">
        <v>2666</v>
      </c>
      <c r="AC208" t="s">
        <v>2667</v>
      </c>
      <c r="AD208" t="s">
        <v>2668</v>
      </c>
      <c r="AE208" t="s">
        <v>2669</v>
      </c>
      <c r="AF208" t="s">
        <v>73</v>
      </c>
      <c r="AG208" t="s">
        <v>2670</v>
      </c>
      <c r="AH208" t="s">
        <v>75</v>
      </c>
      <c r="AI208" t="s">
        <v>76</v>
      </c>
      <c r="AJ208" t="s">
        <v>77</v>
      </c>
      <c r="AK208" t="s">
        <v>630</v>
      </c>
      <c r="AL208" t="s">
        <v>615</v>
      </c>
      <c r="AM208" t="s">
        <v>616</v>
      </c>
      <c r="AN208" t="s">
        <v>81</v>
      </c>
      <c r="AO208" t="s">
        <v>82</v>
      </c>
      <c r="AP208" t="s">
        <v>83</v>
      </c>
      <c r="AQ208">
        <v>2016</v>
      </c>
      <c r="AR208">
        <v>188435</v>
      </c>
      <c r="AS208">
        <v>5351856</v>
      </c>
      <c r="AT208">
        <v>161</v>
      </c>
      <c r="AU208" t="s">
        <v>84</v>
      </c>
      <c r="AV208">
        <v>562</v>
      </c>
      <c r="AW208" t="s">
        <v>85</v>
      </c>
      <c r="AX208" t="s">
        <v>86</v>
      </c>
      <c r="AY208">
        <v>562</v>
      </c>
      <c r="AZ208" t="s">
        <v>2671</v>
      </c>
      <c r="BA208" t="s">
        <v>88</v>
      </c>
      <c r="BC208" t="s">
        <v>841</v>
      </c>
      <c r="BD208">
        <v>0</v>
      </c>
      <c r="BE208">
        <v>2</v>
      </c>
    </row>
    <row r="209" spans="1:57" hidden="1" x14ac:dyDescent="0.2">
      <c r="A209" t="s">
        <v>2672</v>
      </c>
      <c r="B209" t="s">
        <v>2673</v>
      </c>
      <c r="C209" t="s">
        <v>2661</v>
      </c>
      <c r="D209" t="s">
        <v>2674</v>
      </c>
      <c r="E209" t="s">
        <v>2674</v>
      </c>
      <c r="G209" t="s">
        <v>56</v>
      </c>
      <c r="H209" t="s">
        <v>57</v>
      </c>
      <c r="I209" t="s">
        <v>58</v>
      </c>
      <c r="J209" t="e">
        <v>#N/A</v>
      </c>
      <c r="K209" t="s">
        <v>2663</v>
      </c>
      <c r="L209" t="s">
        <v>2663</v>
      </c>
      <c r="M209" t="s">
        <v>7165</v>
      </c>
      <c r="N209" t="s">
        <v>7162</v>
      </c>
      <c r="O209" s="1" t="s">
        <v>603</v>
      </c>
      <c r="P209" t="s">
        <v>649</v>
      </c>
      <c r="Q209" s="1" t="s">
        <v>605</v>
      </c>
      <c r="R209" s="1" t="s">
        <v>127</v>
      </c>
      <c r="S209" s="1" t="s">
        <v>606</v>
      </c>
      <c r="T209" s="1">
        <v>11</v>
      </c>
      <c r="U209" s="1">
        <v>2124</v>
      </c>
      <c r="V209" s="1" t="s">
        <v>169</v>
      </c>
      <c r="W209" s="1" t="s">
        <v>170</v>
      </c>
      <c r="X209" t="s">
        <v>2675</v>
      </c>
      <c r="Y209" t="s">
        <v>2676</v>
      </c>
      <c r="AA209" t="s">
        <v>68</v>
      </c>
      <c r="AB209" t="s">
        <v>2677</v>
      </c>
      <c r="AC209" t="s">
        <v>2678</v>
      </c>
      <c r="AD209" t="s">
        <v>2679</v>
      </c>
      <c r="AE209" t="s">
        <v>2530</v>
      </c>
      <c r="AF209" t="s">
        <v>73</v>
      </c>
      <c r="AG209" t="s">
        <v>2680</v>
      </c>
      <c r="AH209" t="s">
        <v>75</v>
      </c>
      <c r="AI209" t="s">
        <v>76</v>
      </c>
      <c r="AJ209" t="s">
        <v>77</v>
      </c>
      <c r="AK209" t="s">
        <v>669</v>
      </c>
      <c r="AL209" t="s">
        <v>615</v>
      </c>
      <c r="AM209" t="s">
        <v>616</v>
      </c>
      <c r="AN209" t="s">
        <v>81</v>
      </c>
      <c r="AO209" t="s">
        <v>82</v>
      </c>
      <c r="AP209" t="s">
        <v>83</v>
      </c>
      <c r="AQ209">
        <v>2016</v>
      </c>
      <c r="AR209">
        <v>188064</v>
      </c>
      <c r="AS209">
        <v>5346724</v>
      </c>
      <c r="AT209">
        <v>170</v>
      </c>
      <c r="AU209" t="s">
        <v>84</v>
      </c>
      <c r="AV209">
        <v>562</v>
      </c>
      <c r="AW209" t="s">
        <v>85</v>
      </c>
      <c r="AX209" t="s">
        <v>86</v>
      </c>
      <c r="AY209">
        <v>562</v>
      </c>
      <c r="AZ209" t="s">
        <v>2681</v>
      </c>
      <c r="BA209" t="s">
        <v>88</v>
      </c>
      <c r="BC209" t="s">
        <v>841</v>
      </c>
      <c r="BD209">
        <v>0</v>
      </c>
      <c r="BE209">
        <v>2</v>
      </c>
    </row>
    <row r="210" spans="1:57" hidden="1" x14ac:dyDescent="0.2">
      <c r="A210" t="s">
        <v>2682</v>
      </c>
      <c r="B210" t="s">
        <v>2683</v>
      </c>
      <c r="C210" t="s">
        <v>2684</v>
      </c>
      <c r="D210" t="s">
        <v>2685</v>
      </c>
      <c r="E210" t="s">
        <v>2685</v>
      </c>
      <c r="G210" t="s">
        <v>56</v>
      </c>
      <c r="H210" t="s">
        <v>57</v>
      </c>
      <c r="I210" t="s">
        <v>58</v>
      </c>
      <c r="J210" t="e">
        <v>#N/A</v>
      </c>
      <c r="K210" t="s">
        <v>2686</v>
      </c>
      <c r="L210" t="s">
        <v>2686</v>
      </c>
      <c r="M210" t="s">
        <v>7165</v>
      </c>
      <c r="N210" t="s">
        <v>7162</v>
      </c>
      <c r="O210" s="1" t="s">
        <v>603</v>
      </c>
      <c r="P210" t="s">
        <v>649</v>
      </c>
      <c r="Q210" s="1" t="s">
        <v>875</v>
      </c>
      <c r="R210" s="1" t="s">
        <v>64</v>
      </c>
      <c r="S210" s="1" t="s">
        <v>675</v>
      </c>
      <c r="T210" s="1">
        <v>11</v>
      </c>
      <c r="U210" s="1">
        <v>2124</v>
      </c>
      <c r="V210" s="1" t="s">
        <v>169</v>
      </c>
      <c r="W210" s="1">
        <v>9396392</v>
      </c>
      <c r="X210" t="s">
        <v>2687</v>
      </c>
      <c r="Y210" t="s">
        <v>2688</v>
      </c>
      <c r="AA210" t="s">
        <v>68</v>
      </c>
      <c r="AB210" t="s">
        <v>2689</v>
      </c>
      <c r="AC210" t="s">
        <v>2690</v>
      </c>
      <c r="AD210" t="s">
        <v>2691</v>
      </c>
      <c r="AE210" t="s">
        <v>2692</v>
      </c>
      <c r="AF210" t="s">
        <v>73</v>
      </c>
      <c r="AG210" t="s">
        <v>2693</v>
      </c>
      <c r="AH210" t="s">
        <v>75</v>
      </c>
      <c r="AI210" t="s">
        <v>76</v>
      </c>
      <c r="AJ210" t="s">
        <v>77</v>
      </c>
      <c r="AK210" t="s">
        <v>780</v>
      </c>
      <c r="AL210" t="s">
        <v>615</v>
      </c>
      <c r="AM210" t="s">
        <v>616</v>
      </c>
      <c r="AN210" t="s">
        <v>81</v>
      </c>
      <c r="AO210" t="s">
        <v>82</v>
      </c>
      <c r="AP210" t="s">
        <v>83</v>
      </c>
      <c r="AQ210">
        <v>2017</v>
      </c>
      <c r="AR210">
        <v>133317</v>
      </c>
      <c r="AS210">
        <v>5426649</v>
      </c>
      <c r="AT210">
        <v>194</v>
      </c>
      <c r="AU210" t="s">
        <v>84</v>
      </c>
      <c r="AV210">
        <v>562</v>
      </c>
      <c r="AW210" t="s">
        <v>85</v>
      </c>
      <c r="AX210" t="s">
        <v>86</v>
      </c>
      <c r="AY210">
        <v>562</v>
      </c>
      <c r="AZ210" t="s">
        <v>2694</v>
      </c>
      <c r="BA210" t="s">
        <v>88</v>
      </c>
      <c r="BC210" t="s">
        <v>841</v>
      </c>
      <c r="BD210">
        <v>26</v>
      </c>
      <c r="BE210">
        <v>10</v>
      </c>
    </row>
    <row r="211" spans="1:57" hidden="1" x14ac:dyDescent="0.2">
      <c r="A211" t="s">
        <v>2695</v>
      </c>
      <c r="B211" t="s">
        <v>2696</v>
      </c>
      <c r="C211" t="s">
        <v>2697</v>
      </c>
      <c r="D211" t="s">
        <v>2698</v>
      </c>
      <c r="E211" t="s">
        <v>2698</v>
      </c>
      <c r="G211" t="s">
        <v>56</v>
      </c>
      <c r="H211" t="s">
        <v>57</v>
      </c>
      <c r="I211" t="s">
        <v>58</v>
      </c>
      <c r="J211" t="e">
        <v>#N/A</v>
      </c>
      <c r="K211" t="s">
        <v>140</v>
      </c>
      <c r="L211" t="s">
        <v>2022</v>
      </c>
      <c r="M211" t="s">
        <v>7165</v>
      </c>
      <c r="N211" t="s">
        <v>7162</v>
      </c>
      <c r="O211" s="1" t="s">
        <v>603</v>
      </c>
      <c r="P211" t="s">
        <v>649</v>
      </c>
      <c r="Q211" s="1" t="s">
        <v>605</v>
      </c>
      <c r="R211" s="1" t="s">
        <v>820</v>
      </c>
      <c r="S211" s="1" t="s">
        <v>1310</v>
      </c>
      <c r="T211" s="1">
        <v>11</v>
      </c>
      <c r="U211" s="1">
        <v>2124</v>
      </c>
      <c r="V211" s="1" t="s">
        <v>169</v>
      </c>
      <c r="W211" s="1">
        <v>9439204</v>
      </c>
      <c r="X211" t="s">
        <v>2699</v>
      </c>
      <c r="Y211" t="s">
        <v>2700</v>
      </c>
      <c r="AA211" t="s">
        <v>68</v>
      </c>
      <c r="AB211" t="s">
        <v>2701</v>
      </c>
      <c r="AC211" t="s">
        <v>2702</v>
      </c>
      <c r="AD211" t="s">
        <v>2703</v>
      </c>
      <c r="AE211" t="s">
        <v>2692</v>
      </c>
      <c r="AF211" t="s">
        <v>73</v>
      </c>
      <c r="AG211" t="s">
        <v>2704</v>
      </c>
      <c r="AH211" t="s">
        <v>75</v>
      </c>
      <c r="AI211" t="s">
        <v>76</v>
      </c>
      <c r="AJ211" t="s">
        <v>77</v>
      </c>
      <c r="AK211" t="s">
        <v>2705</v>
      </c>
      <c r="AL211" t="s">
        <v>615</v>
      </c>
      <c r="AM211" t="s">
        <v>616</v>
      </c>
      <c r="AN211" t="s">
        <v>81</v>
      </c>
      <c r="AO211" t="s">
        <v>82</v>
      </c>
      <c r="AP211" t="s">
        <v>83</v>
      </c>
      <c r="AQ211">
        <v>2017</v>
      </c>
      <c r="AR211">
        <v>120301</v>
      </c>
      <c r="AS211">
        <v>5369200</v>
      </c>
      <c r="AT211">
        <v>181</v>
      </c>
      <c r="AU211" t="s">
        <v>84</v>
      </c>
      <c r="AV211">
        <v>562</v>
      </c>
      <c r="AW211" t="s">
        <v>85</v>
      </c>
      <c r="AX211" t="s">
        <v>86</v>
      </c>
      <c r="AY211">
        <v>562</v>
      </c>
      <c r="AZ211" t="s">
        <v>2706</v>
      </c>
      <c r="BA211" t="s">
        <v>88</v>
      </c>
      <c r="BC211" t="s">
        <v>2707</v>
      </c>
      <c r="BD211">
        <v>3</v>
      </c>
    </row>
    <row r="212" spans="1:57" hidden="1" x14ac:dyDescent="0.2">
      <c r="A212" t="s">
        <v>2708</v>
      </c>
      <c r="B212" t="s">
        <v>2709</v>
      </c>
      <c r="C212" t="s">
        <v>2697</v>
      </c>
      <c r="D212" t="s">
        <v>2710</v>
      </c>
      <c r="E212" t="s">
        <v>2710</v>
      </c>
      <c r="G212" t="s">
        <v>56</v>
      </c>
      <c r="H212" t="s">
        <v>57</v>
      </c>
      <c r="I212" t="s">
        <v>58</v>
      </c>
      <c r="J212" t="e">
        <v>#N/A</v>
      </c>
      <c r="K212" t="s">
        <v>2022</v>
      </c>
      <c r="L212" t="s">
        <v>2022</v>
      </c>
      <c r="M212" t="s">
        <v>7165</v>
      </c>
      <c r="N212" t="s">
        <v>7162</v>
      </c>
      <c r="O212" s="1" t="s">
        <v>603</v>
      </c>
      <c r="P212" t="s">
        <v>649</v>
      </c>
      <c r="Q212" s="1" t="s">
        <v>605</v>
      </c>
      <c r="R212" s="1" t="s">
        <v>820</v>
      </c>
      <c r="S212" s="1" t="s">
        <v>1310</v>
      </c>
      <c r="T212" s="1">
        <v>11</v>
      </c>
      <c r="U212" s="1">
        <v>2124</v>
      </c>
      <c r="V212" s="1" t="s">
        <v>169</v>
      </c>
      <c r="W212" s="1">
        <v>9439204</v>
      </c>
      <c r="X212" t="s">
        <v>2711</v>
      </c>
      <c r="Y212" t="s">
        <v>2712</v>
      </c>
      <c r="AA212" t="s">
        <v>68</v>
      </c>
      <c r="AB212" t="s">
        <v>2713</v>
      </c>
      <c r="AC212" t="s">
        <v>2714</v>
      </c>
      <c r="AD212" t="s">
        <v>2715</v>
      </c>
      <c r="AE212" t="s">
        <v>2692</v>
      </c>
      <c r="AF212" t="s">
        <v>73</v>
      </c>
      <c r="AG212" t="s">
        <v>2716</v>
      </c>
      <c r="AH212" t="s">
        <v>75</v>
      </c>
      <c r="AI212" t="s">
        <v>76</v>
      </c>
      <c r="AJ212" t="s">
        <v>77</v>
      </c>
      <c r="AK212" t="s">
        <v>2717</v>
      </c>
      <c r="AL212" t="s">
        <v>615</v>
      </c>
      <c r="AM212" t="s">
        <v>616</v>
      </c>
      <c r="AN212" t="s">
        <v>81</v>
      </c>
      <c r="AO212" t="s">
        <v>82</v>
      </c>
      <c r="AP212" t="s">
        <v>83</v>
      </c>
      <c r="AQ212">
        <v>2017</v>
      </c>
      <c r="AR212">
        <v>95174</v>
      </c>
      <c r="AS212">
        <v>5365216</v>
      </c>
      <c r="AT212">
        <v>231</v>
      </c>
      <c r="AU212" t="s">
        <v>84</v>
      </c>
      <c r="AV212">
        <v>562</v>
      </c>
      <c r="AW212" t="s">
        <v>85</v>
      </c>
      <c r="AX212" t="s">
        <v>86</v>
      </c>
      <c r="AY212">
        <v>562</v>
      </c>
      <c r="AZ212" t="s">
        <v>2718</v>
      </c>
      <c r="BA212" t="s">
        <v>88</v>
      </c>
      <c r="BC212" t="s">
        <v>2707</v>
      </c>
      <c r="BD212">
        <v>3</v>
      </c>
    </row>
    <row r="213" spans="1:57" hidden="1" x14ac:dyDescent="0.2">
      <c r="A213" t="s">
        <v>2719</v>
      </c>
      <c r="B213" t="s">
        <v>2720</v>
      </c>
      <c r="C213" t="s">
        <v>2697</v>
      </c>
      <c r="D213" t="s">
        <v>2721</v>
      </c>
      <c r="E213" t="s">
        <v>2721</v>
      </c>
      <c r="G213" t="s">
        <v>56</v>
      </c>
      <c r="H213" t="s">
        <v>57</v>
      </c>
      <c r="I213" t="s">
        <v>58</v>
      </c>
      <c r="J213" t="e">
        <v>#N/A</v>
      </c>
      <c r="K213" t="s">
        <v>2022</v>
      </c>
      <c r="L213" t="s">
        <v>2022</v>
      </c>
      <c r="M213" t="s">
        <v>7165</v>
      </c>
      <c r="N213" t="s">
        <v>7162</v>
      </c>
      <c r="O213" s="1" t="s">
        <v>603</v>
      </c>
      <c r="P213" t="s">
        <v>649</v>
      </c>
      <c r="Q213" s="1" t="s">
        <v>605</v>
      </c>
      <c r="R213" s="1" t="s">
        <v>820</v>
      </c>
      <c r="S213" s="1" t="s">
        <v>1310</v>
      </c>
      <c r="T213" s="1">
        <v>11</v>
      </c>
      <c r="U213" s="1">
        <v>2124</v>
      </c>
      <c r="V213" s="1" t="s">
        <v>169</v>
      </c>
      <c r="W213" s="1">
        <v>9439204</v>
      </c>
      <c r="X213" t="s">
        <v>2722</v>
      </c>
      <c r="Y213" t="s">
        <v>2723</v>
      </c>
      <c r="AA213" t="s">
        <v>68</v>
      </c>
      <c r="AB213" t="s">
        <v>2724</v>
      </c>
      <c r="AC213" t="s">
        <v>2725</v>
      </c>
      <c r="AD213" t="s">
        <v>2726</v>
      </c>
      <c r="AE213" t="s">
        <v>2727</v>
      </c>
      <c r="AF213" t="s">
        <v>73</v>
      </c>
      <c r="AG213" t="s">
        <v>2728</v>
      </c>
      <c r="AH213" t="s">
        <v>75</v>
      </c>
      <c r="AI213" t="s">
        <v>76</v>
      </c>
      <c r="AJ213" t="s">
        <v>77</v>
      </c>
      <c r="AK213" t="s">
        <v>2729</v>
      </c>
      <c r="AL213" t="s">
        <v>615</v>
      </c>
      <c r="AM213" t="s">
        <v>616</v>
      </c>
      <c r="AN213" t="s">
        <v>81</v>
      </c>
      <c r="AO213" t="s">
        <v>82</v>
      </c>
      <c r="AP213" t="s">
        <v>83</v>
      </c>
      <c r="AQ213">
        <v>2017</v>
      </c>
      <c r="AR213">
        <v>86275</v>
      </c>
      <c r="AS213">
        <v>5363981</v>
      </c>
      <c r="AT213">
        <v>237</v>
      </c>
      <c r="AU213" t="s">
        <v>84</v>
      </c>
      <c r="AV213">
        <v>562</v>
      </c>
      <c r="AW213" t="s">
        <v>85</v>
      </c>
      <c r="AX213" t="s">
        <v>86</v>
      </c>
      <c r="AY213">
        <v>562</v>
      </c>
      <c r="AZ213" t="s">
        <v>2730</v>
      </c>
      <c r="BA213" t="s">
        <v>88</v>
      </c>
      <c r="BC213" t="s">
        <v>2707</v>
      </c>
      <c r="BD213">
        <v>3</v>
      </c>
    </row>
    <row r="214" spans="1:57" hidden="1" x14ac:dyDescent="0.2">
      <c r="A214" t="s">
        <v>2731</v>
      </c>
      <c r="B214" t="s">
        <v>2732</v>
      </c>
      <c r="C214" t="s">
        <v>2697</v>
      </c>
      <c r="D214" t="s">
        <v>2733</v>
      </c>
      <c r="E214" t="s">
        <v>2733</v>
      </c>
      <c r="G214" t="s">
        <v>56</v>
      </c>
      <c r="H214" t="s">
        <v>57</v>
      </c>
      <c r="I214" t="s">
        <v>58</v>
      </c>
      <c r="J214" t="e">
        <v>#N/A</v>
      </c>
      <c r="K214" t="s">
        <v>2022</v>
      </c>
      <c r="L214" t="s">
        <v>2022</v>
      </c>
      <c r="M214" t="s">
        <v>7165</v>
      </c>
      <c r="N214" t="s">
        <v>7162</v>
      </c>
      <c r="O214" s="1" t="s">
        <v>603</v>
      </c>
      <c r="P214" t="s">
        <v>649</v>
      </c>
      <c r="Q214" s="1" t="s">
        <v>605</v>
      </c>
      <c r="R214" s="1" t="s">
        <v>820</v>
      </c>
      <c r="S214" s="1" t="s">
        <v>1310</v>
      </c>
      <c r="T214" s="1">
        <v>11</v>
      </c>
      <c r="U214" s="1">
        <v>2124</v>
      </c>
      <c r="V214" s="1" t="s">
        <v>169</v>
      </c>
      <c r="W214" s="1">
        <v>9439204</v>
      </c>
      <c r="X214" t="s">
        <v>2734</v>
      </c>
      <c r="Y214" t="s">
        <v>2735</v>
      </c>
      <c r="AA214" t="s">
        <v>68</v>
      </c>
      <c r="AB214" t="s">
        <v>2736</v>
      </c>
      <c r="AC214" t="s">
        <v>2737</v>
      </c>
      <c r="AD214" t="s">
        <v>2738</v>
      </c>
      <c r="AE214" t="s">
        <v>2727</v>
      </c>
      <c r="AF214" t="s">
        <v>73</v>
      </c>
      <c r="AG214" t="s">
        <v>2739</v>
      </c>
      <c r="AH214" t="s">
        <v>75</v>
      </c>
      <c r="AI214" t="s">
        <v>76</v>
      </c>
      <c r="AJ214" t="s">
        <v>77</v>
      </c>
      <c r="AK214" t="s">
        <v>2740</v>
      </c>
      <c r="AL214" t="s">
        <v>615</v>
      </c>
      <c r="AM214" t="s">
        <v>616</v>
      </c>
      <c r="AN214" t="s">
        <v>81</v>
      </c>
      <c r="AO214" t="s">
        <v>82</v>
      </c>
      <c r="AP214" t="s">
        <v>83</v>
      </c>
      <c r="AQ214">
        <v>2017</v>
      </c>
      <c r="AR214">
        <v>76651</v>
      </c>
      <c r="AS214">
        <v>5360544</v>
      </c>
      <c r="AT214">
        <v>232</v>
      </c>
      <c r="AU214" t="s">
        <v>84</v>
      </c>
      <c r="AV214">
        <v>562</v>
      </c>
      <c r="AW214" t="s">
        <v>85</v>
      </c>
      <c r="AX214" t="s">
        <v>86</v>
      </c>
      <c r="AY214">
        <v>562</v>
      </c>
      <c r="AZ214" t="s">
        <v>2741</v>
      </c>
      <c r="BA214" t="s">
        <v>88</v>
      </c>
      <c r="BC214" t="s">
        <v>2707</v>
      </c>
      <c r="BD214">
        <v>4</v>
      </c>
    </row>
    <row r="215" spans="1:57" hidden="1" x14ac:dyDescent="0.2">
      <c r="A215" t="s">
        <v>2742</v>
      </c>
      <c r="B215" t="s">
        <v>2743</v>
      </c>
      <c r="C215" t="s">
        <v>2744</v>
      </c>
      <c r="D215" t="s">
        <v>2745</v>
      </c>
      <c r="E215" t="s">
        <v>2745</v>
      </c>
      <c r="G215" t="s">
        <v>56</v>
      </c>
      <c r="H215" t="s">
        <v>57</v>
      </c>
      <c r="I215" t="s">
        <v>58</v>
      </c>
      <c r="J215" t="e">
        <v>#N/A</v>
      </c>
      <c r="K215" t="s">
        <v>2746</v>
      </c>
      <c r="L215" t="s">
        <v>2746</v>
      </c>
      <c r="M215" t="s">
        <v>7165</v>
      </c>
      <c r="N215" t="s">
        <v>7162</v>
      </c>
      <c r="O215" s="1" t="s">
        <v>603</v>
      </c>
      <c r="P215" t="s">
        <v>649</v>
      </c>
      <c r="Q215" s="1" t="s">
        <v>605</v>
      </c>
      <c r="R215" s="1" t="s">
        <v>820</v>
      </c>
      <c r="S215" s="1" t="s">
        <v>1310</v>
      </c>
      <c r="T215" s="1">
        <v>11</v>
      </c>
      <c r="U215" s="1">
        <v>2124</v>
      </c>
      <c r="V215" s="1" t="s">
        <v>169</v>
      </c>
      <c r="W215" s="1" t="s">
        <v>170</v>
      </c>
      <c r="X215" t="s">
        <v>2747</v>
      </c>
      <c r="Y215" t="s">
        <v>2748</v>
      </c>
      <c r="AA215" t="s">
        <v>68</v>
      </c>
      <c r="AB215" t="s">
        <v>2749</v>
      </c>
      <c r="AC215" t="s">
        <v>2750</v>
      </c>
      <c r="AD215" t="s">
        <v>2751</v>
      </c>
      <c r="AE215" t="s">
        <v>2752</v>
      </c>
      <c r="AF215" t="s">
        <v>73</v>
      </c>
      <c r="AG215" t="s">
        <v>2753</v>
      </c>
      <c r="AH215" t="s">
        <v>75</v>
      </c>
      <c r="AI215" t="s">
        <v>76</v>
      </c>
      <c r="AJ215" t="s">
        <v>77</v>
      </c>
      <c r="AK215" t="s">
        <v>2754</v>
      </c>
      <c r="AL215" t="s">
        <v>615</v>
      </c>
      <c r="AM215" t="s">
        <v>616</v>
      </c>
      <c r="AN215" t="s">
        <v>81</v>
      </c>
      <c r="AO215" t="s">
        <v>82</v>
      </c>
      <c r="AP215" t="s">
        <v>83</v>
      </c>
      <c r="AQ215">
        <v>2017</v>
      </c>
      <c r="AR215">
        <v>88368</v>
      </c>
      <c r="AS215">
        <v>5377880</v>
      </c>
      <c r="AT215">
        <v>275</v>
      </c>
      <c r="AU215" t="s">
        <v>84</v>
      </c>
      <c r="AV215">
        <v>562</v>
      </c>
      <c r="AW215" t="s">
        <v>85</v>
      </c>
      <c r="AX215" t="s">
        <v>86</v>
      </c>
      <c r="AY215">
        <v>562</v>
      </c>
      <c r="AZ215" t="s">
        <v>2755</v>
      </c>
      <c r="BA215" t="s">
        <v>88</v>
      </c>
      <c r="BC215" t="s">
        <v>2707</v>
      </c>
      <c r="BD215">
        <v>0</v>
      </c>
    </row>
    <row r="216" spans="1:57" hidden="1" x14ac:dyDescent="0.2">
      <c r="A216" t="s">
        <v>2756</v>
      </c>
      <c r="B216" t="s">
        <v>2757</v>
      </c>
      <c r="C216" t="s">
        <v>2744</v>
      </c>
      <c r="D216" t="s">
        <v>2758</v>
      </c>
      <c r="E216" t="s">
        <v>2758</v>
      </c>
      <c r="G216" t="s">
        <v>56</v>
      </c>
      <c r="H216" t="s">
        <v>57</v>
      </c>
      <c r="I216" t="s">
        <v>58</v>
      </c>
      <c r="J216" t="e">
        <v>#N/A</v>
      </c>
      <c r="K216" t="s">
        <v>2746</v>
      </c>
      <c r="L216" t="s">
        <v>2746</v>
      </c>
      <c r="M216" t="s">
        <v>7165</v>
      </c>
      <c r="N216" t="s">
        <v>7162</v>
      </c>
      <c r="O216" s="1" t="s">
        <v>603</v>
      </c>
      <c r="P216" t="s">
        <v>649</v>
      </c>
      <c r="Q216" s="1" t="s">
        <v>605</v>
      </c>
      <c r="R216" s="1" t="s">
        <v>820</v>
      </c>
      <c r="S216" s="1" t="s">
        <v>1310</v>
      </c>
      <c r="T216" s="1">
        <v>11</v>
      </c>
      <c r="U216" s="1">
        <v>2124</v>
      </c>
      <c r="V216" s="1" t="s">
        <v>169</v>
      </c>
      <c r="W216" s="1" t="s">
        <v>170</v>
      </c>
      <c r="X216" t="s">
        <v>2759</v>
      </c>
      <c r="Y216" t="s">
        <v>2760</v>
      </c>
      <c r="AA216" t="s">
        <v>68</v>
      </c>
      <c r="AB216" t="s">
        <v>2761</v>
      </c>
      <c r="AC216" t="s">
        <v>2762</v>
      </c>
      <c r="AD216" t="s">
        <v>2763</v>
      </c>
      <c r="AE216" t="s">
        <v>2752</v>
      </c>
      <c r="AF216" t="s">
        <v>73</v>
      </c>
      <c r="AG216" t="s">
        <v>2764</v>
      </c>
      <c r="AH216" t="s">
        <v>75</v>
      </c>
      <c r="AI216" t="s">
        <v>76</v>
      </c>
      <c r="AJ216" t="s">
        <v>77</v>
      </c>
      <c r="AK216" t="s">
        <v>2765</v>
      </c>
      <c r="AL216" t="s">
        <v>615</v>
      </c>
      <c r="AM216" t="s">
        <v>616</v>
      </c>
      <c r="AN216" t="s">
        <v>81</v>
      </c>
      <c r="AO216" t="s">
        <v>82</v>
      </c>
      <c r="AP216" t="s">
        <v>83</v>
      </c>
      <c r="AQ216">
        <v>2017</v>
      </c>
      <c r="AR216">
        <v>93312</v>
      </c>
      <c r="AS216">
        <v>5380491</v>
      </c>
      <c r="AT216">
        <v>213</v>
      </c>
      <c r="AU216" t="s">
        <v>84</v>
      </c>
      <c r="AV216">
        <v>562</v>
      </c>
      <c r="AW216" t="s">
        <v>85</v>
      </c>
      <c r="AX216" t="s">
        <v>86</v>
      </c>
      <c r="AY216">
        <v>562</v>
      </c>
      <c r="AZ216" t="s">
        <v>2766</v>
      </c>
      <c r="BA216" t="s">
        <v>88</v>
      </c>
      <c r="BC216" t="s">
        <v>2707</v>
      </c>
      <c r="BD216">
        <v>0</v>
      </c>
    </row>
    <row r="217" spans="1:57" hidden="1" x14ac:dyDescent="0.2">
      <c r="A217" t="s">
        <v>2767</v>
      </c>
      <c r="B217" t="s">
        <v>2768</v>
      </c>
      <c r="C217">
        <v>368485496</v>
      </c>
      <c r="D217" t="s">
        <v>2769</v>
      </c>
      <c r="E217" t="s">
        <v>2769</v>
      </c>
      <c r="G217" t="s">
        <v>56</v>
      </c>
      <c r="H217" t="s">
        <v>57</v>
      </c>
      <c r="I217" t="s">
        <v>58</v>
      </c>
      <c r="J217" t="e">
        <v>#N/A</v>
      </c>
      <c r="K217" t="s">
        <v>2770</v>
      </c>
      <c r="L217" t="s">
        <v>2770</v>
      </c>
      <c r="M217" t="s">
        <v>7165</v>
      </c>
      <c r="N217" t="s">
        <v>7162</v>
      </c>
      <c r="O217" s="1" t="s">
        <v>603</v>
      </c>
      <c r="P217" t="s">
        <v>649</v>
      </c>
      <c r="Q217" s="1" t="s">
        <v>875</v>
      </c>
      <c r="R217" s="1" t="s">
        <v>64</v>
      </c>
      <c r="S217" s="1" t="s">
        <v>675</v>
      </c>
      <c r="T217" s="1">
        <v>11</v>
      </c>
      <c r="U217" s="1">
        <v>2124</v>
      </c>
      <c r="V217" s="1" t="s">
        <v>2771</v>
      </c>
      <c r="W217" s="1">
        <v>9583844</v>
      </c>
      <c r="X217" t="s">
        <v>2772</v>
      </c>
      <c r="Y217" t="s">
        <v>2773</v>
      </c>
      <c r="AA217" t="s">
        <v>68</v>
      </c>
      <c r="AB217" t="s">
        <v>2774</v>
      </c>
      <c r="AC217" t="s">
        <v>2775</v>
      </c>
      <c r="AD217" t="s">
        <v>2776</v>
      </c>
      <c r="AE217" t="s">
        <v>2752</v>
      </c>
      <c r="AF217" t="s">
        <v>73</v>
      </c>
      <c r="AG217" t="s">
        <v>2777</v>
      </c>
      <c r="AH217" t="s">
        <v>2778</v>
      </c>
      <c r="AI217" t="s">
        <v>76</v>
      </c>
      <c r="AJ217" t="s">
        <v>77</v>
      </c>
      <c r="AK217" t="s">
        <v>2779</v>
      </c>
      <c r="AL217" t="s">
        <v>2780</v>
      </c>
      <c r="AM217" t="s">
        <v>2781</v>
      </c>
      <c r="AN217" t="s">
        <v>81</v>
      </c>
      <c r="AO217" t="s">
        <v>82</v>
      </c>
      <c r="AP217" t="s">
        <v>83</v>
      </c>
      <c r="AQ217">
        <v>2017</v>
      </c>
      <c r="AR217">
        <v>103586</v>
      </c>
      <c r="AS217">
        <v>5667078</v>
      </c>
      <c r="AT217">
        <v>216</v>
      </c>
      <c r="AU217" t="s">
        <v>84</v>
      </c>
      <c r="AV217">
        <v>562</v>
      </c>
      <c r="AW217" t="s">
        <v>85</v>
      </c>
      <c r="AX217" t="s">
        <v>86</v>
      </c>
      <c r="AY217">
        <v>562</v>
      </c>
      <c r="AZ217" t="s">
        <v>2782</v>
      </c>
      <c r="BA217" t="s">
        <v>88</v>
      </c>
    </row>
    <row r="218" spans="1:57" hidden="1" x14ac:dyDescent="0.2">
      <c r="A218" t="s">
        <v>2783</v>
      </c>
      <c r="B218" t="s">
        <v>2784</v>
      </c>
      <c r="C218" t="s">
        <v>2785</v>
      </c>
      <c r="D218" t="s">
        <v>2786</v>
      </c>
      <c r="E218" t="s">
        <v>2786</v>
      </c>
      <c r="G218" t="s">
        <v>56</v>
      </c>
      <c r="H218" t="s">
        <v>57</v>
      </c>
      <c r="I218" t="s">
        <v>58</v>
      </c>
      <c r="J218" t="e">
        <v>#N/A</v>
      </c>
      <c r="K218" t="s">
        <v>700</v>
      </c>
      <c r="L218" t="s">
        <v>700</v>
      </c>
      <c r="M218" t="s">
        <v>7165</v>
      </c>
      <c r="N218" t="s">
        <v>7162</v>
      </c>
      <c r="O218" s="1" t="s">
        <v>603</v>
      </c>
      <c r="P218" t="s">
        <v>649</v>
      </c>
      <c r="Q218" s="1" t="s">
        <v>2787</v>
      </c>
      <c r="R218" s="1" t="s">
        <v>820</v>
      </c>
      <c r="S218" s="1" t="s">
        <v>821</v>
      </c>
      <c r="T218" s="1">
        <v>11</v>
      </c>
      <c r="U218" s="1">
        <v>2124</v>
      </c>
      <c r="V218" s="1" t="s">
        <v>169</v>
      </c>
      <c r="W218" s="1">
        <v>11525938</v>
      </c>
      <c r="X218" t="s">
        <v>2788</v>
      </c>
      <c r="Y218" t="s">
        <v>2789</v>
      </c>
      <c r="AA218" t="s">
        <v>68</v>
      </c>
      <c r="AB218" t="s">
        <v>2790</v>
      </c>
      <c r="AC218" t="s">
        <v>2791</v>
      </c>
      <c r="AD218" t="s">
        <v>2792</v>
      </c>
      <c r="AE218" t="s">
        <v>2793</v>
      </c>
      <c r="AF218" t="s">
        <v>73</v>
      </c>
      <c r="AG218" t="s">
        <v>2794</v>
      </c>
      <c r="AH218" t="s">
        <v>75</v>
      </c>
      <c r="AI218" t="s">
        <v>76</v>
      </c>
      <c r="AJ218" t="s">
        <v>77</v>
      </c>
      <c r="AK218" t="s">
        <v>2795</v>
      </c>
      <c r="AL218" t="s">
        <v>615</v>
      </c>
      <c r="AM218" t="s">
        <v>616</v>
      </c>
      <c r="AN218" t="s">
        <v>81</v>
      </c>
      <c r="AO218" t="s">
        <v>82</v>
      </c>
      <c r="AP218" t="s">
        <v>83</v>
      </c>
      <c r="AQ218">
        <v>2017</v>
      </c>
      <c r="AR218">
        <v>48126</v>
      </c>
      <c r="AS218">
        <v>5385357</v>
      </c>
      <c r="AT218">
        <v>403</v>
      </c>
      <c r="AU218" t="s">
        <v>84</v>
      </c>
      <c r="AV218">
        <v>562</v>
      </c>
      <c r="AW218" t="s">
        <v>85</v>
      </c>
      <c r="AX218" t="s">
        <v>86</v>
      </c>
      <c r="AY218">
        <v>562</v>
      </c>
      <c r="AZ218" t="s">
        <v>2796</v>
      </c>
      <c r="BA218" t="s">
        <v>88</v>
      </c>
      <c r="BC218" t="s">
        <v>2797</v>
      </c>
      <c r="BD218">
        <v>8</v>
      </c>
    </row>
    <row r="219" spans="1:57" hidden="1" x14ac:dyDescent="0.2">
      <c r="A219" t="s">
        <v>2798</v>
      </c>
      <c r="B219" t="s">
        <v>2799</v>
      </c>
      <c r="C219" t="s">
        <v>2785</v>
      </c>
      <c r="D219" t="s">
        <v>2800</v>
      </c>
      <c r="E219" t="s">
        <v>2800</v>
      </c>
      <c r="G219" t="s">
        <v>56</v>
      </c>
      <c r="H219" t="s">
        <v>57</v>
      </c>
      <c r="I219" t="s">
        <v>58</v>
      </c>
      <c r="J219" t="e">
        <v>#N/A</v>
      </c>
      <c r="K219" t="s">
        <v>2641</v>
      </c>
      <c r="L219" t="s">
        <v>700</v>
      </c>
      <c r="M219" t="s">
        <v>7165</v>
      </c>
      <c r="N219" t="s">
        <v>7162</v>
      </c>
      <c r="O219" s="1" t="s">
        <v>603</v>
      </c>
      <c r="P219" t="s">
        <v>649</v>
      </c>
      <c r="Q219" s="1" t="s">
        <v>605</v>
      </c>
      <c r="R219" s="1" t="s">
        <v>820</v>
      </c>
      <c r="S219" s="1" t="s">
        <v>821</v>
      </c>
      <c r="T219" s="1">
        <v>11</v>
      </c>
      <c r="U219" s="1">
        <v>2124</v>
      </c>
      <c r="V219" s="1" t="s">
        <v>169</v>
      </c>
      <c r="W219" s="1">
        <v>11525938</v>
      </c>
      <c r="X219" t="s">
        <v>2801</v>
      </c>
      <c r="Y219" t="s">
        <v>2802</v>
      </c>
      <c r="AA219" t="s">
        <v>68</v>
      </c>
      <c r="AB219" t="s">
        <v>2803</v>
      </c>
      <c r="AC219" t="s">
        <v>2804</v>
      </c>
      <c r="AD219" t="s">
        <v>2805</v>
      </c>
      <c r="AE219" t="s">
        <v>2806</v>
      </c>
      <c r="AF219" t="s">
        <v>73</v>
      </c>
      <c r="AG219" t="s">
        <v>2807</v>
      </c>
      <c r="AH219" t="s">
        <v>75</v>
      </c>
      <c r="AI219" t="s">
        <v>76</v>
      </c>
      <c r="AJ219" t="s">
        <v>77</v>
      </c>
      <c r="AK219" t="s">
        <v>2808</v>
      </c>
      <c r="AL219" t="s">
        <v>615</v>
      </c>
      <c r="AM219" t="s">
        <v>616</v>
      </c>
      <c r="AN219" t="s">
        <v>81</v>
      </c>
      <c r="AO219" t="s">
        <v>82</v>
      </c>
      <c r="AP219" t="s">
        <v>83</v>
      </c>
      <c r="AQ219">
        <v>2017</v>
      </c>
      <c r="AR219">
        <v>79472</v>
      </c>
      <c r="AS219">
        <v>5431852</v>
      </c>
      <c r="AT219">
        <v>308</v>
      </c>
      <c r="AU219" t="s">
        <v>84</v>
      </c>
      <c r="AV219">
        <v>562</v>
      </c>
      <c r="AW219" t="s">
        <v>85</v>
      </c>
      <c r="AX219" t="s">
        <v>86</v>
      </c>
      <c r="AY219">
        <v>562</v>
      </c>
      <c r="AZ219" t="s">
        <v>2809</v>
      </c>
      <c r="BA219" t="s">
        <v>88</v>
      </c>
      <c r="BC219" t="s">
        <v>2797</v>
      </c>
      <c r="BD219">
        <v>8</v>
      </c>
    </row>
    <row r="220" spans="1:57" hidden="1" x14ac:dyDescent="0.2">
      <c r="A220" t="s">
        <v>2810</v>
      </c>
      <c r="B220" t="s">
        <v>2811</v>
      </c>
      <c r="C220" t="s">
        <v>2812</v>
      </c>
      <c r="D220" t="s">
        <v>2813</v>
      </c>
      <c r="E220" t="s">
        <v>2813</v>
      </c>
      <c r="G220" t="s">
        <v>56</v>
      </c>
      <c r="H220" t="s">
        <v>57</v>
      </c>
      <c r="I220" t="s">
        <v>58</v>
      </c>
      <c r="J220" t="e">
        <v>#N/A</v>
      </c>
      <c r="K220" t="s">
        <v>2641</v>
      </c>
      <c r="L220" t="s">
        <v>2814</v>
      </c>
      <c r="M220" t="s">
        <v>7165</v>
      </c>
      <c r="N220" t="s">
        <v>7162</v>
      </c>
      <c r="O220" s="1" t="s">
        <v>603</v>
      </c>
      <c r="P220" t="s">
        <v>2815</v>
      </c>
      <c r="Q220" s="1" t="s">
        <v>650</v>
      </c>
      <c r="R220" s="1" t="s">
        <v>127</v>
      </c>
      <c r="S220" s="1" t="s">
        <v>606</v>
      </c>
      <c r="T220" s="1">
        <v>11</v>
      </c>
      <c r="U220" s="1">
        <v>2124</v>
      </c>
      <c r="V220" s="1" t="s">
        <v>651</v>
      </c>
      <c r="W220" s="1">
        <v>11525938</v>
      </c>
      <c r="X220" t="s">
        <v>2816</v>
      </c>
      <c r="Y220" t="s">
        <v>2817</v>
      </c>
      <c r="AA220" t="s">
        <v>68</v>
      </c>
      <c r="AB220" t="s">
        <v>2818</v>
      </c>
      <c r="AC220" t="s">
        <v>2819</v>
      </c>
      <c r="AD220" t="s">
        <v>2820</v>
      </c>
      <c r="AE220" t="s">
        <v>2821</v>
      </c>
      <c r="AF220" t="s">
        <v>73</v>
      </c>
      <c r="AG220" t="s">
        <v>2822</v>
      </c>
      <c r="AH220" t="s">
        <v>75</v>
      </c>
      <c r="AI220" t="s">
        <v>76</v>
      </c>
      <c r="AJ220" t="s">
        <v>77</v>
      </c>
      <c r="AK220" t="s">
        <v>2823</v>
      </c>
      <c r="AL220" t="s">
        <v>615</v>
      </c>
      <c r="AM220" t="s">
        <v>616</v>
      </c>
      <c r="AN220" t="s">
        <v>158</v>
      </c>
      <c r="AO220" t="s">
        <v>159</v>
      </c>
      <c r="AP220" t="s">
        <v>83</v>
      </c>
      <c r="AR220">
        <v>41225</v>
      </c>
      <c r="AS220">
        <v>5261327</v>
      </c>
      <c r="AT220">
        <v>374</v>
      </c>
      <c r="AU220" t="s">
        <v>84</v>
      </c>
      <c r="AV220">
        <v>562</v>
      </c>
      <c r="AW220" t="s">
        <v>85</v>
      </c>
      <c r="AX220" t="s">
        <v>86</v>
      </c>
      <c r="AY220">
        <v>562</v>
      </c>
      <c r="AZ220" t="s">
        <v>2824</v>
      </c>
      <c r="BA220" t="s">
        <v>88</v>
      </c>
      <c r="BC220" t="s">
        <v>918</v>
      </c>
      <c r="BD220">
        <v>11</v>
      </c>
      <c r="BE220">
        <v>8</v>
      </c>
    </row>
    <row r="221" spans="1:57" hidden="1" x14ac:dyDescent="0.2">
      <c r="A221" t="s">
        <v>2825</v>
      </c>
      <c r="B221" t="s">
        <v>2826</v>
      </c>
      <c r="C221">
        <v>350490</v>
      </c>
      <c r="D221" t="s">
        <v>2827</v>
      </c>
      <c r="E221" t="s">
        <v>2827</v>
      </c>
      <c r="G221" t="s">
        <v>170</v>
      </c>
      <c r="H221" t="s">
        <v>57</v>
      </c>
      <c r="I221" t="s">
        <v>58</v>
      </c>
      <c r="J221" t="e">
        <v>#N/A</v>
      </c>
      <c r="K221" t="s">
        <v>1094</v>
      </c>
      <c r="L221" t="s">
        <v>1094</v>
      </c>
      <c r="M221" t="s">
        <v>7165</v>
      </c>
      <c r="N221" t="s">
        <v>7162</v>
      </c>
      <c r="O221" s="1" t="s">
        <v>603</v>
      </c>
      <c r="P221" t="s">
        <v>604</v>
      </c>
      <c r="Q221" s="1" t="s">
        <v>2828</v>
      </c>
      <c r="R221" s="1" t="s">
        <v>169</v>
      </c>
      <c r="S221" s="1" t="s">
        <v>169</v>
      </c>
      <c r="T221" s="1">
        <v>11</v>
      </c>
      <c r="U221" s="1">
        <v>2124</v>
      </c>
      <c r="V221" s="1" t="s">
        <v>169</v>
      </c>
      <c r="W221" s="1">
        <v>9781953</v>
      </c>
      <c r="X221" t="s">
        <v>2829</v>
      </c>
      <c r="Y221" t="s">
        <v>2830</v>
      </c>
      <c r="AA221" t="s">
        <v>68</v>
      </c>
      <c r="AB221" t="s">
        <v>2831</v>
      </c>
      <c r="AC221" t="s">
        <v>2832</v>
      </c>
      <c r="AD221" t="s">
        <v>2833</v>
      </c>
      <c r="AE221" t="s">
        <v>2692</v>
      </c>
      <c r="AF221" t="s">
        <v>73</v>
      </c>
      <c r="AG221" t="s">
        <v>2834</v>
      </c>
      <c r="AH221" t="s">
        <v>75</v>
      </c>
      <c r="AI221" t="s">
        <v>76</v>
      </c>
      <c r="AJ221" t="s">
        <v>77</v>
      </c>
      <c r="AK221" t="s">
        <v>2835</v>
      </c>
      <c r="AL221" t="s">
        <v>615</v>
      </c>
      <c r="AM221" t="s">
        <v>616</v>
      </c>
      <c r="AN221" t="s">
        <v>81</v>
      </c>
      <c r="AO221" t="s">
        <v>82</v>
      </c>
      <c r="AP221" t="s">
        <v>83</v>
      </c>
      <c r="AQ221">
        <v>2017</v>
      </c>
      <c r="AR221">
        <v>150417</v>
      </c>
      <c r="AS221">
        <v>5312051</v>
      </c>
      <c r="AT221">
        <v>165</v>
      </c>
      <c r="AU221" t="s">
        <v>84</v>
      </c>
      <c r="AV221">
        <v>562</v>
      </c>
      <c r="AW221" t="s">
        <v>85</v>
      </c>
      <c r="AX221" t="s">
        <v>86</v>
      </c>
      <c r="AY221">
        <v>562</v>
      </c>
      <c r="AZ221" t="s">
        <v>2836</v>
      </c>
      <c r="BA221" t="s">
        <v>88</v>
      </c>
      <c r="BC221" t="s">
        <v>2837</v>
      </c>
      <c r="BD221">
        <v>0</v>
      </c>
      <c r="BE221">
        <v>1</v>
      </c>
    </row>
    <row r="222" spans="1:57" hidden="1" x14ac:dyDescent="0.2">
      <c r="A222" t="s">
        <v>2838</v>
      </c>
      <c r="B222" t="s">
        <v>2839</v>
      </c>
      <c r="C222">
        <v>350490</v>
      </c>
      <c r="D222" t="s">
        <v>2840</v>
      </c>
      <c r="E222" t="s">
        <v>2840</v>
      </c>
      <c r="G222" t="s">
        <v>170</v>
      </c>
      <c r="H222" t="s">
        <v>57</v>
      </c>
      <c r="I222" t="s">
        <v>58</v>
      </c>
      <c r="J222" t="e">
        <v>#N/A</v>
      </c>
      <c r="K222" t="s">
        <v>1094</v>
      </c>
      <c r="L222" t="s">
        <v>1094</v>
      </c>
      <c r="M222" t="s">
        <v>7165</v>
      </c>
      <c r="N222" t="s">
        <v>7162</v>
      </c>
      <c r="O222" s="1" t="s">
        <v>603</v>
      </c>
      <c r="P222" t="s">
        <v>604</v>
      </c>
      <c r="Q222" s="1" t="s">
        <v>2828</v>
      </c>
      <c r="R222" s="1" t="s">
        <v>169</v>
      </c>
      <c r="S222" s="1" t="s">
        <v>169</v>
      </c>
      <c r="T222" s="1">
        <v>11</v>
      </c>
      <c r="U222" s="1">
        <v>2124</v>
      </c>
      <c r="V222" s="1" t="s">
        <v>169</v>
      </c>
      <c r="W222" s="1">
        <v>9781953</v>
      </c>
      <c r="X222" t="s">
        <v>2841</v>
      </c>
      <c r="Y222" t="s">
        <v>2842</v>
      </c>
      <c r="AA222" t="s">
        <v>68</v>
      </c>
      <c r="AB222" t="s">
        <v>2843</v>
      </c>
      <c r="AC222" t="s">
        <v>2844</v>
      </c>
      <c r="AD222" t="s">
        <v>2845</v>
      </c>
      <c r="AE222" t="s">
        <v>2846</v>
      </c>
      <c r="AF222" t="s">
        <v>73</v>
      </c>
      <c r="AG222" t="s">
        <v>2847</v>
      </c>
      <c r="AH222" t="s">
        <v>75</v>
      </c>
      <c r="AI222" t="s">
        <v>76</v>
      </c>
      <c r="AJ222" t="s">
        <v>77</v>
      </c>
      <c r="AK222" t="s">
        <v>2835</v>
      </c>
      <c r="AL222" t="s">
        <v>615</v>
      </c>
      <c r="AM222" t="s">
        <v>616</v>
      </c>
      <c r="AN222" t="s">
        <v>81</v>
      </c>
      <c r="AO222" t="s">
        <v>82</v>
      </c>
      <c r="AP222" t="s">
        <v>83</v>
      </c>
      <c r="AQ222">
        <v>2017</v>
      </c>
      <c r="AR222">
        <v>124148</v>
      </c>
      <c r="AS222">
        <v>5323266</v>
      </c>
      <c r="AT222">
        <v>170</v>
      </c>
      <c r="AU222" t="s">
        <v>84</v>
      </c>
      <c r="AV222">
        <v>562</v>
      </c>
      <c r="AW222" t="s">
        <v>85</v>
      </c>
      <c r="AX222" t="s">
        <v>86</v>
      </c>
      <c r="AY222">
        <v>562</v>
      </c>
      <c r="AZ222" t="s">
        <v>2848</v>
      </c>
      <c r="BA222" t="s">
        <v>88</v>
      </c>
      <c r="BC222" t="s">
        <v>2837</v>
      </c>
      <c r="BD222">
        <v>0</v>
      </c>
      <c r="BE222">
        <v>1</v>
      </c>
    </row>
    <row r="223" spans="1:57" hidden="1" x14ac:dyDescent="0.2">
      <c r="A223" t="s">
        <v>2849</v>
      </c>
      <c r="B223" t="s">
        <v>2850</v>
      </c>
      <c r="C223" t="s">
        <v>2851</v>
      </c>
      <c r="D223" t="s">
        <v>2852</v>
      </c>
      <c r="E223" t="s">
        <v>2852</v>
      </c>
      <c r="G223" t="s">
        <v>56</v>
      </c>
      <c r="H223" t="s">
        <v>57</v>
      </c>
      <c r="I223" t="s">
        <v>58</v>
      </c>
      <c r="J223" t="e">
        <v>#N/A</v>
      </c>
      <c r="K223" t="s">
        <v>2641</v>
      </c>
      <c r="L223" t="s">
        <v>2814</v>
      </c>
      <c r="M223" t="s">
        <v>7165</v>
      </c>
      <c r="N223" t="s">
        <v>7162</v>
      </c>
      <c r="O223" s="1" t="s">
        <v>603</v>
      </c>
      <c r="P223" t="s">
        <v>649</v>
      </c>
      <c r="Q223" s="1" t="s">
        <v>605</v>
      </c>
      <c r="R223" s="1" t="s">
        <v>127</v>
      </c>
      <c r="S223" s="1" t="s">
        <v>606</v>
      </c>
      <c r="T223" s="1">
        <v>11</v>
      </c>
      <c r="U223" s="1">
        <v>2124</v>
      </c>
      <c r="V223" s="1" t="s">
        <v>169</v>
      </c>
      <c r="W223" s="1">
        <v>11012484</v>
      </c>
      <c r="X223" t="s">
        <v>2853</v>
      </c>
      <c r="Y223" t="s">
        <v>2854</v>
      </c>
      <c r="AA223" t="s">
        <v>68</v>
      </c>
      <c r="AB223" t="s">
        <v>2855</v>
      </c>
      <c r="AC223" t="s">
        <v>2856</v>
      </c>
      <c r="AD223" t="s">
        <v>2857</v>
      </c>
      <c r="AE223" t="s">
        <v>2858</v>
      </c>
      <c r="AF223" t="s">
        <v>73</v>
      </c>
      <c r="AG223" t="s">
        <v>2859</v>
      </c>
      <c r="AH223" t="s">
        <v>75</v>
      </c>
      <c r="AI223" t="s">
        <v>76</v>
      </c>
      <c r="AJ223" t="s">
        <v>77</v>
      </c>
      <c r="AK223" t="s">
        <v>1359</v>
      </c>
      <c r="AL223" t="s">
        <v>615</v>
      </c>
      <c r="AM223" t="s">
        <v>616</v>
      </c>
      <c r="AN223" t="s">
        <v>81</v>
      </c>
      <c r="AO223" t="s">
        <v>82</v>
      </c>
      <c r="AP223" t="s">
        <v>83</v>
      </c>
      <c r="AQ223">
        <v>2017</v>
      </c>
      <c r="AR223">
        <v>131361</v>
      </c>
      <c r="AS223">
        <v>5427158</v>
      </c>
      <c r="AT223">
        <v>193</v>
      </c>
      <c r="AU223" t="s">
        <v>84</v>
      </c>
      <c r="AV223">
        <v>562</v>
      </c>
      <c r="AW223" t="s">
        <v>85</v>
      </c>
      <c r="AX223" t="s">
        <v>86</v>
      </c>
      <c r="AY223">
        <v>562</v>
      </c>
      <c r="AZ223" t="s">
        <v>2860</v>
      </c>
      <c r="BA223" t="s">
        <v>88</v>
      </c>
      <c r="BC223" t="s">
        <v>1572</v>
      </c>
      <c r="BD223">
        <v>18</v>
      </c>
      <c r="BE223">
        <v>17</v>
      </c>
    </row>
    <row r="224" spans="1:57" hidden="1" x14ac:dyDescent="0.2">
      <c r="A224" t="s">
        <v>2861</v>
      </c>
      <c r="B224" t="s">
        <v>2862</v>
      </c>
      <c r="C224" t="s">
        <v>2863</v>
      </c>
      <c r="D224" t="s">
        <v>2864</v>
      </c>
      <c r="E224" t="s">
        <v>2864</v>
      </c>
      <c r="G224" t="s">
        <v>56</v>
      </c>
      <c r="H224" t="s">
        <v>57</v>
      </c>
      <c r="I224" t="s">
        <v>58</v>
      </c>
      <c r="J224" t="e">
        <v>#N/A</v>
      </c>
      <c r="K224" t="s">
        <v>2459</v>
      </c>
      <c r="L224" t="s">
        <v>2865</v>
      </c>
      <c r="M224" t="s">
        <v>7165</v>
      </c>
      <c r="N224" t="s">
        <v>7162</v>
      </c>
      <c r="O224" s="1" t="s">
        <v>603</v>
      </c>
      <c r="P224" t="s">
        <v>649</v>
      </c>
      <c r="Q224" s="1" t="s">
        <v>605</v>
      </c>
      <c r="R224" s="1" t="s">
        <v>127</v>
      </c>
      <c r="S224" s="1" t="s">
        <v>606</v>
      </c>
      <c r="T224" s="1">
        <v>11</v>
      </c>
      <c r="U224" s="1">
        <v>2124</v>
      </c>
      <c r="V224" s="1" t="s">
        <v>169</v>
      </c>
      <c r="W224" s="1">
        <v>10539544</v>
      </c>
      <c r="X224" t="s">
        <v>2866</v>
      </c>
      <c r="Y224" t="s">
        <v>2867</v>
      </c>
      <c r="AA224" t="s">
        <v>68</v>
      </c>
      <c r="AB224" t="s">
        <v>2868</v>
      </c>
      <c r="AC224" t="s">
        <v>2869</v>
      </c>
      <c r="AD224" t="s">
        <v>2870</v>
      </c>
      <c r="AE224" t="s">
        <v>2479</v>
      </c>
      <c r="AF224" t="s">
        <v>73</v>
      </c>
      <c r="AG224" t="s">
        <v>2871</v>
      </c>
      <c r="AH224" t="s">
        <v>75</v>
      </c>
      <c r="AI224" t="s">
        <v>76</v>
      </c>
      <c r="AJ224" t="s">
        <v>77</v>
      </c>
      <c r="AK224" t="s">
        <v>669</v>
      </c>
      <c r="AL224" t="s">
        <v>615</v>
      </c>
      <c r="AM224" t="s">
        <v>616</v>
      </c>
      <c r="AN224" t="s">
        <v>81</v>
      </c>
      <c r="AO224" t="s">
        <v>82</v>
      </c>
      <c r="AP224" t="s">
        <v>83</v>
      </c>
      <c r="AQ224">
        <v>2017</v>
      </c>
      <c r="AR224">
        <v>92110</v>
      </c>
      <c r="AS224">
        <v>5334610</v>
      </c>
      <c r="AT224">
        <v>292</v>
      </c>
      <c r="AU224" t="s">
        <v>84</v>
      </c>
      <c r="AV224">
        <v>562</v>
      </c>
      <c r="AW224" t="s">
        <v>85</v>
      </c>
      <c r="AX224" t="s">
        <v>86</v>
      </c>
      <c r="AY224">
        <v>562</v>
      </c>
      <c r="AZ224" t="s">
        <v>2872</v>
      </c>
      <c r="BA224" t="s">
        <v>88</v>
      </c>
      <c r="BC224" t="s">
        <v>2873</v>
      </c>
      <c r="BD224">
        <v>1</v>
      </c>
    </row>
    <row r="225" spans="1:57" hidden="1" x14ac:dyDescent="0.2">
      <c r="A225" t="s">
        <v>2874</v>
      </c>
      <c r="B225" t="s">
        <v>2875</v>
      </c>
      <c r="C225" t="s">
        <v>2876</v>
      </c>
      <c r="D225" t="s">
        <v>2877</v>
      </c>
      <c r="E225" t="s">
        <v>2877</v>
      </c>
      <c r="G225" t="s">
        <v>56</v>
      </c>
      <c r="H225" t="s">
        <v>57</v>
      </c>
      <c r="I225" t="s">
        <v>58</v>
      </c>
      <c r="J225" t="e">
        <v>#N/A</v>
      </c>
      <c r="K225" t="s">
        <v>2459</v>
      </c>
      <c r="L225" t="s">
        <v>2865</v>
      </c>
      <c r="M225" t="s">
        <v>7165</v>
      </c>
      <c r="N225" t="s">
        <v>7162</v>
      </c>
      <c r="O225" s="1" t="s">
        <v>603</v>
      </c>
      <c r="P225" t="s">
        <v>649</v>
      </c>
      <c r="Q225" s="1" t="s">
        <v>605</v>
      </c>
      <c r="R225" s="1" t="s">
        <v>127</v>
      </c>
      <c r="S225" s="1" t="s">
        <v>606</v>
      </c>
      <c r="T225" s="1">
        <v>7021</v>
      </c>
      <c r="U225" s="1">
        <v>2124</v>
      </c>
      <c r="V225" s="1" t="s">
        <v>169</v>
      </c>
      <c r="W225" s="1">
        <v>10539544</v>
      </c>
      <c r="X225" t="s">
        <v>2878</v>
      </c>
      <c r="Y225" t="s">
        <v>2879</v>
      </c>
      <c r="AA225" t="s">
        <v>68</v>
      </c>
      <c r="AB225" t="s">
        <v>2880</v>
      </c>
      <c r="AC225" t="s">
        <v>2881</v>
      </c>
      <c r="AD225" t="s">
        <v>2882</v>
      </c>
      <c r="AE225" t="s">
        <v>2479</v>
      </c>
      <c r="AF225" t="s">
        <v>73</v>
      </c>
      <c r="AG225" t="s">
        <v>2883</v>
      </c>
      <c r="AH225" t="s">
        <v>75</v>
      </c>
      <c r="AI225" t="s">
        <v>76</v>
      </c>
      <c r="AJ225" t="s">
        <v>77</v>
      </c>
      <c r="AK225" t="s">
        <v>630</v>
      </c>
      <c r="AL225" t="s">
        <v>615</v>
      </c>
      <c r="AM225" t="s">
        <v>616</v>
      </c>
      <c r="AN225" t="s">
        <v>81</v>
      </c>
      <c r="AO225" t="s">
        <v>82</v>
      </c>
      <c r="AP225" t="s">
        <v>83</v>
      </c>
      <c r="AQ225">
        <v>2017</v>
      </c>
      <c r="AR225">
        <v>148116</v>
      </c>
      <c r="AS225">
        <v>5391263</v>
      </c>
      <c r="AT225">
        <v>185</v>
      </c>
      <c r="AU225" t="s">
        <v>84</v>
      </c>
      <c r="AV225">
        <v>562</v>
      </c>
      <c r="AW225" t="s">
        <v>85</v>
      </c>
      <c r="AX225" t="s">
        <v>86</v>
      </c>
      <c r="AY225">
        <v>562</v>
      </c>
      <c r="AZ225" t="s">
        <v>2884</v>
      </c>
      <c r="BA225" t="s">
        <v>88</v>
      </c>
      <c r="BC225" t="s">
        <v>2873</v>
      </c>
      <c r="BD225">
        <v>0</v>
      </c>
    </row>
    <row r="226" spans="1:57" hidden="1" x14ac:dyDescent="0.2">
      <c r="A226" t="s">
        <v>2885</v>
      </c>
      <c r="B226" t="s">
        <v>2886</v>
      </c>
      <c r="C226" t="s">
        <v>2887</v>
      </c>
      <c r="D226" t="s">
        <v>2888</v>
      </c>
      <c r="E226" t="s">
        <v>2888</v>
      </c>
      <c r="G226" t="s">
        <v>56</v>
      </c>
      <c r="H226" t="s">
        <v>57</v>
      </c>
      <c r="I226" t="s">
        <v>58</v>
      </c>
      <c r="J226" t="e">
        <v>#N/A</v>
      </c>
      <c r="K226" t="s">
        <v>2889</v>
      </c>
      <c r="L226" t="s">
        <v>2889</v>
      </c>
      <c r="M226" t="s">
        <v>7165</v>
      </c>
      <c r="N226" t="s">
        <v>7162</v>
      </c>
      <c r="O226" s="1" t="s">
        <v>603</v>
      </c>
      <c r="P226" t="s">
        <v>649</v>
      </c>
      <c r="Q226" s="1" t="s">
        <v>605</v>
      </c>
      <c r="R226" s="1" t="s">
        <v>127</v>
      </c>
      <c r="S226" s="1" t="s">
        <v>606</v>
      </c>
      <c r="T226" s="1">
        <v>11</v>
      </c>
      <c r="U226" s="1">
        <v>2124</v>
      </c>
      <c r="V226" s="1" t="s">
        <v>169</v>
      </c>
      <c r="W226" s="1">
        <v>10596157</v>
      </c>
      <c r="X226" t="s">
        <v>2890</v>
      </c>
      <c r="Y226" t="s">
        <v>2891</v>
      </c>
      <c r="AA226" t="s">
        <v>68</v>
      </c>
      <c r="AB226" t="s">
        <v>2892</v>
      </c>
      <c r="AC226" t="s">
        <v>2893</v>
      </c>
      <c r="AD226" t="s">
        <v>2894</v>
      </c>
      <c r="AE226" t="s">
        <v>2479</v>
      </c>
      <c r="AF226" t="s">
        <v>73</v>
      </c>
      <c r="AG226" t="s">
        <v>2895</v>
      </c>
      <c r="AH226" t="s">
        <v>75</v>
      </c>
      <c r="AI226" t="s">
        <v>76</v>
      </c>
      <c r="AJ226" t="s">
        <v>77</v>
      </c>
      <c r="AK226" t="s">
        <v>669</v>
      </c>
      <c r="AL226" t="s">
        <v>615</v>
      </c>
      <c r="AM226" t="s">
        <v>616</v>
      </c>
      <c r="AN226" t="s">
        <v>81</v>
      </c>
      <c r="AO226" t="s">
        <v>82</v>
      </c>
      <c r="AP226" t="s">
        <v>83</v>
      </c>
      <c r="AQ226">
        <v>2017</v>
      </c>
      <c r="AR226">
        <v>149173</v>
      </c>
      <c r="AS226">
        <v>5346428</v>
      </c>
      <c r="AT226">
        <v>274</v>
      </c>
      <c r="AU226" t="s">
        <v>84</v>
      </c>
      <c r="AV226">
        <v>562</v>
      </c>
      <c r="AW226" t="s">
        <v>85</v>
      </c>
      <c r="AX226" t="s">
        <v>86</v>
      </c>
      <c r="AY226">
        <v>562</v>
      </c>
      <c r="AZ226" t="s">
        <v>2896</v>
      </c>
      <c r="BA226" t="s">
        <v>88</v>
      </c>
      <c r="BC226" t="s">
        <v>2873</v>
      </c>
      <c r="BD226">
        <v>0</v>
      </c>
    </row>
    <row r="227" spans="1:57" hidden="1" x14ac:dyDescent="0.2">
      <c r="A227" t="s">
        <v>2897</v>
      </c>
      <c r="B227" t="s">
        <v>2898</v>
      </c>
      <c r="C227" t="s">
        <v>2887</v>
      </c>
      <c r="D227" t="s">
        <v>2899</v>
      </c>
      <c r="E227" t="s">
        <v>2899</v>
      </c>
      <c r="G227" t="s">
        <v>56</v>
      </c>
      <c r="H227" t="s">
        <v>57</v>
      </c>
      <c r="I227" t="s">
        <v>58</v>
      </c>
      <c r="J227" t="e">
        <v>#N/A</v>
      </c>
      <c r="K227" t="s">
        <v>2889</v>
      </c>
      <c r="L227" t="s">
        <v>2889</v>
      </c>
      <c r="M227" t="s">
        <v>7165</v>
      </c>
      <c r="N227" t="s">
        <v>7162</v>
      </c>
      <c r="O227" s="1" t="s">
        <v>603</v>
      </c>
      <c r="P227" t="s">
        <v>169</v>
      </c>
      <c r="Q227" s="1" t="s">
        <v>605</v>
      </c>
      <c r="R227" s="1" t="s">
        <v>127</v>
      </c>
      <c r="S227" s="1" t="s">
        <v>606</v>
      </c>
      <c r="T227" s="1">
        <v>11</v>
      </c>
      <c r="U227" s="1">
        <v>2124</v>
      </c>
      <c r="V227" s="1" t="s">
        <v>169</v>
      </c>
      <c r="W227" s="1">
        <v>10596157</v>
      </c>
      <c r="X227" t="s">
        <v>2900</v>
      </c>
      <c r="Y227" t="s">
        <v>2901</v>
      </c>
      <c r="AA227" t="s">
        <v>68</v>
      </c>
      <c r="AB227" t="s">
        <v>2902</v>
      </c>
      <c r="AC227" t="s">
        <v>2903</v>
      </c>
      <c r="AD227" t="s">
        <v>2904</v>
      </c>
      <c r="AE227" t="s">
        <v>2905</v>
      </c>
      <c r="AF227" t="s">
        <v>73</v>
      </c>
      <c r="AG227" t="s">
        <v>2906</v>
      </c>
      <c r="AH227" t="s">
        <v>75</v>
      </c>
      <c r="AI227" t="s">
        <v>76</v>
      </c>
      <c r="AJ227" t="s">
        <v>77</v>
      </c>
      <c r="AK227" t="s">
        <v>745</v>
      </c>
      <c r="AL227" t="s">
        <v>615</v>
      </c>
      <c r="AM227" t="s">
        <v>616</v>
      </c>
      <c r="AN227" t="s">
        <v>81</v>
      </c>
      <c r="AO227" t="s">
        <v>82</v>
      </c>
      <c r="AP227" t="s">
        <v>83</v>
      </c>
      <c r="AQ227">
        <v>2017</v>
      </c>
      <c r="AR227">
        <v>94523</v>
      </c>
      <c r="AS227">
        <v>5341056</v>
      </c>
      <c r="AT227">
        <v>308</v>
      </c>
      <c r="AU227" t="s">
        <v>84</v>
      </c>
      <c r="AV227">
        <v>562</v>
      </c>
      <c r="AW227" t="s">
        <v>85</v>
      </c>
      <c r="AX227" t="s">
        <v>86</v>
      </c>
      <c r="AY227">
        <v>562</v>
      </c>
      <c r="AZ227" t="s">
        <v>2907</v>
      </c>
      <c r="BA227" t="s">
        <v>88</v>
      </c>
      <c r="BC227" t="s">
        <v>2873</v>
      </c>
      <c r="BD227">
        <v>1</v>
      </c>
    </row>
    <row r="228" spans="1:57" hidden="1" x14ac:dyDescent="0.2">
      <c r="A228" t="s">
        <v>2908</v>
      </c>
      <c r="B228" t="s">
        <v>2909</v>
      </c>
      <c r="C228" t="s">
        <v>2887</v>
      </c>
      <c r="D228" t="s">
        <v>2910</v>
      </c>
      <c r="E228" t="s">
        <v>2910</v>
      </c>
      <c r="G228" t="s">
        <v>56</v>
      </c>
      <c r="H228" t="s">
        <v>57</v>
      </c>
      <c r="I228" t="s">
        <v>58</v>
      </c>
      <c r="J228" t="e">
        <v>#N/A</v>
      </c>
      <c r="K228" t="s">
        <v>2889</v>
      </c>
      <c r="L228" t="s">
        <v>2889</v>
      </c>
      <c r="M228" t="s">
        <v>7165</v>
      </c>
      <c r="N228" t="s">
        <v>7162</v>
      </c>
      <c r="O228" s="1" t="s">
        <v>603</v>
      </c>
      <c r="P228" t="s">
        <v>649</v>
      </c>
      <c r="Q228" s="1" t="s">
        <v>605</v>
      </c>
      <c r="R228" s="1" t="s">
        <v>127</v>
      </c>
      <c r="S228" s="1" t="s">
        <v>606</v>
      </c>
      <c r="T228" s="1">
        <v>11</v>
      </c>
      <c r="U228" s="1">
        <v>2124</v>
      </c>
      <c r="V228" s="1" t="s">
        <v>169</v>
      </c>
      <c r="W228" s="1">
        <v>10596157</v>
      </c>
      <c r="X228" t="s">
        <v>2911</v>
      </c>
      <c r="Y228" t="s">
        <v>2912</v>
      </c>
      <c r="AA228" t="s">
        <v>68</v>
      </c>
      <c r="AB228" t="s">
        <v>2913</v>
      </c>
      <c r="AC228" t="s">
        <v>2914</v>
      </c>
      <c r="AD228" t="s">
        <v>2915</v>
      </c>
      <c r="AE228" t="s">
        <v>2905</v>
      </c>
      <c r="AF228" t="s">
        <v>73</v>
      </c>
      <c r="AG228" t="s">
        <v>2916</v>
      </c>
      <c r="AH228" t="s">
        <v>75</v>
      </c>
      <c r="AI228" t="s">
        <v>76</v>
      </c>
      <c r="AJ228" t="s">
        <v>77</v>
      </c>
      <c r="AK228" t="s">
        <v>929</v>
      </c>
      <c r="AL228" t="s">
        <v>615</v>
      </c>
      <c r="AM228" t="s">
        <v>616</v>
      </c>
      <c r="AN228" t="s">
        <v>81</v>
      </c>
      <c r="AO228" t="s">
        <v>82</v>
      </c>
      <c r="AP228" t="s">
        <v>83</v>
      </c>
      <c r="AQ228">
        <v>2017</v>
      </c>
      <c r="AR228">
        <v>148116</v>
      </c>
      <c r="AS228">
        <v>5357532</v>
      </c>
      <c r="AT228">
        <v>268</v>
      </c>
      <c r="AU228" t="s">
        <v>84</v>
      </c>
      <c r="AV228">
        <v>562</v>
      </c>
      <c r="AW228" t="s">
        <v>85</v>
      </c>
      <c r="AX228" t="s">
        <v>86</v>
      </c>
      <c r="AY228">
        <v>562</v>
      </c>
      <c r="AZ228" t="s">
        <v>2917</v>
      </c>
      <c r="BA228" t="s">
        <v>88</v>
      </c>
      <c r="BC228" t="s">
        <v>2873</v>
      </c>
      <c r="BD228">
        <v>0</v>
      </c>
    </row>
    <row r="229" spans="1:57" hidden="1" x14ac:dyDescent="0.2">
      <c r="A229" t="s">
        <v>2918</v>
      </c>
      <c r="B229" t="s">
        <v>2919</v>
      </c>
      <c r="C229" t="s">
        <v>2887</v>
      </c>
      <c r="D229" t="s">
        <v>2920</v>
      </c>
      <c r="E229" t="s">
        <v>2920</v>
      </c>
      <c r="G229" t="s">
        <v>56</v>
      </c>
      <c r="H229" t="s">
        <v>57</v>
      </c>
      <c r="I229" t="s">
        <v>58</v>
      </c>
      <c r="J229" t="e">
        <v>#N/A</v>
      </c>
      <c r="K229" t="s">
        <v>2889</v>
      </c>
      <c r="L229" t="s">
        <v>2889</v>
      </c>
      <c r="M229" t="s">
        <v>7165</v>
      </c>
      <c r="N229" t="s">
        <v>7162</v>
      </c>
      <c r="O229" s="1" t="s">
        <v>603</v>
      </c>
      <c r="P229" t="s">
        <v>649</v>
      </c>
      <c r="Q229" s="1" t="s">
        <v>605</v>
      </c>
      <c r="R229" s="1" t="s">
        <v>127</v>
      </c>
      <c r="S229" s="1" t="s">
        <v>606</v>
      </c>
      <c r="T229" s="1">
        <v>11</v>
      </c>
      <c r="U229" s="1">
        <v>2124</v>
      </c>
      <c r="V229" s="1" t="s">
        <v>169</v>
      </c>
      <c r="W229" s="1">
        <v>10596157</v>
      </c>
      <c r="X229" t="s">
        <v>2921</v>
      </c>
      <c r="Y229" t="s">
        <v>2922</v>
      </c>
      <c r="AA229" t="s">
        <v>68</v>
      </c>
      <c r="AB229" t="s">
        <v>2923</v>
      </c>
      <c r="AC229" t="s">
        <v>2924</v>
      </c>
      <c r="AD229" t="s">
        <v>2925</v>
      </c>
      <c r="AE229" t="s">
        <v>2926</v>
      </c>
      <c r="AF229" t="s">
        <v>73</v>
      </c>
      <c r="AG229" t="s">
        <v>2927</v>
      </c>
      <c r="AH229" t="s">
        <v>75</v>
      </c>
      <c r="AI229" t="s">
        <v>76</v>
      </c>
      <c r="AJ229" t="s">
        <v>77</v>
      </c>
      <c r="AK229" t="s">
        <v>1359</v>
      </c>
      <c r="AL229" t="s">
        <v>615</v>
      </c>
      <c r="AM229" t="s">
        <v>616</v>
      </c>
      <c r="AN229" t="s">
        <v>81</v>
      </c>
      <c r="AO229" t="s">
        <v>82</v>
      </c>
      <c r="AP229" t="s">
        <v>83</v>
      </c>
      <c r="AQ229">
        <v>2017</v>
      </c>
      <c r="AR229">
        <v>90873</v>
      </c>
      <c r="AS229">
        <v>5346579</v>
      </c>
      <c r="AT229">
        <v>292</v>
      </c>
      <c r="AU229" t="s">
        <v>84</v>
      </c>
      <c r="AV229">
        <v>562</v>
      </c>
      <c r="AW229" t="s">
        <v>85</v>
      </c>
      <c r="AX229" t="s">
        <v>86</v>
      </c>
      <c r="AY229">
        <v>562</v>
      </c>
      <c r="AZ229" t="s">
        <v>2928</v>
      </c>
      <c r="BA229" t="s">
        <v>88</v>
      </c>
      <c r="BC229" t="s">
        <v>2873</v>
      </c>
      <c r="BD229">
        <v>1</v>
      </c>
    </row>
    <row r="230" spans="1:57" hidden="1" x14ac:dyDescent="0.2">
      <c r="A230" t="s">
        <v>2929</v>
      </c>
      <c r="B230" t="s">
        <v>2930</v>
      </c>
      <c r="C230" t="s">
        <v>2887</v>
      </c>
      <c r="D230" t="s">
        <v>2931</v>
      </c>
      <c r="E230" t="s">
        <v>2931</v>
      </c>
      <c r="G230" t="s">
        <v>56</v>
      </c>
      <c r="H230" t="s">
        <v>57</v>
      </c>
      <c r="I230" t="s">
        <v>58</v>
      </c>
      <c r="J230" t="e">
        <v>#N/A</v>
      </c>
      <c r="K230" t="s">
        <v>2889</v>
      </c>
      <c r="L230" t="s">
        <v>2889</v>
      </c>
      <c r="M230" t="s">
        <v>7165</v>
      </c>
      <c r="N230" t="s">
        <v>7162</v>
      </c>
      <c r="O230" s="1" t="s">
        <v>603</v>
      </c>
      <c r="P230" t="s">
        <v>649</v>
      </c>
      <c r="Q230" s="1" t="s">
        <v>605</v>
      </c>
      <c r="R230" s="1" t="s">
        <v>127</v>
      </c>
      <c r="S230" s="1" t="s">
        <v>606</v>
      </c>
      <c r="T230" s="1">
        <v>11</v>
      </c>
      <c r="U230" s="1">
        <v>2124</v>
      </c>
      <c r="V230" s="1" t="s">
        <v>169</v>
      </c>
      <c r="W230" s="1">
        <v>10596157</v>
      </c>
      <c r="X230" t="s">
        <v>2932</v>
      </c>
      <c r="Y230" t="s">
        <v>2933</v>
      </c>
      <c r="AA230" t="s">
        <v>68</v>
      </c>
      <c r="AB230" t="s">
        <v>2934</v>
      </c>
      <c r="AC230" t="s">
        <v>2935</v>
      </c>
      <c r="AD230" t="s">
        <v>2936</v>
      </c>
      <c r="AE230" t="s">
        <v>2479</v>
      </c>
      <c r="AF230" t="s">
        <v>73</v>
      </c>
      <c r="AG230" t="s">
        <v>2937</v>
      </c>
      <c r="AH230" t="s">
        <v>75</v>
      </c>
      <c r="AI230" t="s">
        <v>76</v>
      </c>
      <c r="AJ230" t="s">
        <v>77</v>
      </c>
      <c r="AK230" t="s">
        <v>669</v>
      </c>
      <c r="AL230" t="s">
        <v>615</v>
      </c>
      <c r="AM230" t="s">
        <v>616</v>
      </c>
      <c r="AN230" t="s">
        <v>81</v>
      </c>
      <c r="AO230" t="s">
        <v>82</v>
      </c>
      <c r="AP230" t="s">
        <v>83</v>
      </c>
      <c r="AQ230">
        <v>2017</v>
      </c>
      <c r="AR230">
        <v>104376</v>
      </c>
      <c r="AS230">
        <v>5350312</v>
      </c>
      <c r="AT230">
        <v>291</v>
      </c>
      <c r="AU230" t="s">
        <v>84</v>
      </c>
      <c r="AV230">
        <v>562</v>
      </c>
      <c r="AW230" t="s">
        <v>85</v>
      </c>
      <c r="AX230" t="s">
        <v>86</v>
      </c>
      <c r="AY230">
        <v>562</v>
      </c>
      <c r="AZ230" t="s">
        <v>2938</v>
      </c>
      <c r="BA230" t="s">
        <v>88</v>
      </c>
      <c r="BC230" t="s">
        <v>2873</v>
      </c>
      <c r="BD230">
        <v>0</v>
      </c>
    </row>
    <row r="231" spans="1:57" hidden="1" x14ac:dyDescent="0.2">
      <c r="A231" t="s">
        <v>2939</v>
      </c>
      <c r="B231" t="s">
        <v>2940</v>
      </c>
      <c r="C231" t="s">
        <v>2941</v>
      </c>
      <c r="D231" t="s">
        <v>2942</v>
      </c>
      <c r="E231" t="s">
        <v>2942</v>
      </c>
      <c r="G231" t="s">
        <v>56</v>
      </c>
      <c r="H231" t="s">
        <v>57</v>
      </c>
      <c r="I231" t="s">
        <v>58</v>
      </c>
      <c r="J231" t="e">
        <v>#N/A</v>
      </c>
      <c r="K231" t="s">
        <v>2889</v>
      </c>
      <c r="L231" t="s">
        <v>2889</v>
      </c>
      <c r="M231" t="s">
        <v>7165</v>
      </c>
      <c r="N231" t="s">
        <v>7162</v>
      </c>
      <c r="O231" s="1" t="s">
        <v>603</v>
      </c>
      <c r="P231" t="s">
        <v>649</v>
      </c>
      <c r="Q231" s="1" t="s">
        <v>605</v>
      </c>
      <c r="R231" s="1" t="s">
        <v>127</v>
      </c>
      <c r="S231" s="1" t="s">
        <v>606</v>
      </c>
      <c r="T231" s="1">
        <v>11</v>
      </c>
      <c r="U231" s="1">
        <v>2124</v>
      </c>
      <c r="V231" s="1" t="s">
        <v>169</v>
      </c>
      <c r="W231" s="1">
        <v>10596157</v>
      </c>
      <c r="X231" t="s">
        <v>2943</v>
      </c>
      <c r="Y231" t="s">
        <v>2944</v>
      </c>
      <c r="AA231" t="s">
        <v>68</v>
      </c>
      <c r="AB231" t="s">
        <v>2945</v>
      </c>
      <c r="AC231" t="s">
        <v>2946</v>
      </c>
      <c r="AD231" t="s">
        <v>2947</v>
      </c>
      <c r="AE231" t="s">
        <v>2806</v>
      </c>
      <c r="AF231" t="s">
        <v>73</v>
      </c>
      <c r="AG231" t="s">
        <v>2948</v>
      </c>
      <c r="AH231" t="s">
        <v>75</v>
      </c>
      <c r="AI231" t="s">
        <v>76</v>
      </c>
      <c r="AJ231" t="s">
        <v>77</v>
      </c>
      <c r="AK231" t="s">
        <v>669</v>
      </c>
      <c r="AL231" t="s">
        <v>615</v>
      </c>
      <c r="AM231" t="s">
        <v>616</v>
      </c>
      <c r="AN231" t="s">
        <v>81</v>
      </c>
      <c r="AO231" t="s">
        <v>82</v>
      </c>
      <c r="AP231" t="s">
        <v>83</v>
      </c>
      <c r="AQ231">
        <v>2017</v>
      </c>
      <c r="AR231">
        <v>124148</v>
      </c>
      <c r="AS231">
        <v>5332070</v>
      </c>
      <c r="AT231">
        <v>298</v>
      </c>
      <c r="AU231" t="s">
        <v>84</v>
      </c>
      <c r="AV231">
        <v>562</v>
      </c>
      <c r="AW231" t="s">
        <v>85</v>
      </c>
      <c r="AX231" t="s">
        <v>86</v>
      </c>
      <c r="AY231">
        <v>562</v>
      </c>
      <c r="AZ231" t="s">
        <v>2949</v>
      </c>
      <c r="BA231" t="s">
        <v>88</v>
      </c>
      <c r="BC231" t="s">
        <v>2873</v>
      </c>
      <c r="BD231">
        <v>0</v>
      </c>
    </row>
    <row r="232" spans="1:57" hidden="1" x14ac:dyDescent="0.2">
      <c r="A232" t="s">
        <v>2950</v>
      </c>
      <c r="B232" t="s">
        <v>2951</v>
      </c>
      <c r="C232" t="s">
        <v>2952</v>
      </c>
      <c r="D232" t="s">
        <v>2953</v>
      </c>
      <c r="E232" t="s">
        <v>2953</v>
      </c>
      <c r="G232" t="s">
        <v>56</v>
      </c>
      <c r="H232" t="s">
        <v>57</v>
      </c>
      <c r="I232" t="s">
        <v>58</v>
      </c>
      <c r="J232" t="e">
        <v>#N/A</v>
      </c>
      <c r="K232" t="s">
        <v>2889</v>
      </c>
      <c r="L232" t="s">
        <v>2889</v>
      </c>
      <c r="M232" t="s">
        <v>7165</v>
      </c>
      <c r="N232" t="s">
        <v>7162</v>
      </c>
      <c r="O232" s="1" t="s">
        <v>603</v>
      </c>
      <c r="P232" t="s">
        <v>649</v>
      </c>
      <c r="Q232" s="1" t="s">
        <v>605</v>
      </c>
      <c r="R232" s="1" t="s">
        <v>127</v>
      </c>
      <c r="S232" s="1" t="s">
        <v>606</v>
      </c>
      <c r="T232" s="1">
        <v>11</v>
      </c>
      <c r="U232" s="1">
        <v>2124</v>
      </c>
      <c r="V232" s="1" t="s">
        <v>169</v>
      </c>
      <c r="W232" s="1">
        <v>10560531</v>
      </c>
      <c r="X232" t="s">
        <v>2954</v>
      </c>
      <c r="Y232" t="s">
        <v>2955</v>
      </c>
      <c r="AA232" t="s">
        <v>68</v>
      </c>
      <c r="AB232" t="s">
        <v>2956</v>
      </c>
      <c r="AC232" t="s">
        <v>2957</v>
      </c>
      <c r="AD232" t="s">
        <v>2958</v>
      </c>
      <c r="AE232" t="s">
        <v>2926</v>
      </c>
      <c r="AF232" t="s">
        <v>73</v>
      </c>
      <c r="AG232" t="s">
        <v>2959</v>
      </c>
      <c r="AH232" t="s">
        <v>75</v>
      </c>
      <c r="AI232" t="s">
        <v>76</v>
      </c>
      <c r="AJ232" t="s">
        <v>77</v>
      </c>
      <c r="AK232" t="s">
        <v>1359</v>
      </c>
      <c r="AL232" t="s">
        <v>615</v>
      </c>
      <c r="AM232" t="s">
        <v>616</v>
      </c>
      <c r="AN232" t="s">
        <v>81</v>
      </c>
      <c r="AO232" t="s">
        <v>82</v>
      </c>
      <c r="AP232" t="s">
        <v>83</v>
      </c>
      <c r="AQ232">
        <v>2017</v>
      </c>
      <c r="AR232">
        <v>146102</v>
      </c>
      <c r="AS232">
        <v>5397668</v>
      </c>
      <c r="AT232">
        <v>267</v>
      </c>
      <c r="AU232" t="s">
        <v>84</v>
      </c>
      <c r="AV232">
        <v>562</v>
      </c>
      <c r="AW232" t="s">
        <v>85</v>
      </c>
      <c r="AX232" t="s">
        <v>86</v>
      </c>
      <c r="AY232">
        <v>562</v>
      </c>
      <c r="AZ232" t="s">
        <v>2960</v>
      </c>
      <c r="BA232" t="s">
        <v>88</v>
      </c>
      <c r="BC232" t="s">
        <v>2961</v>
      </c>
      <c r="BD232">
        <v>0</v>
      </c>
      <c r="BE232">
        <v>17</v>
      </c>
    </row>
    <row r="233" spans="1:57" hidden="1" x14ac:dyDescent="0.2">
      <c r="A233" t="s">
        <v>2962</v>
      </c>
      <c r="B233" t="s">
        <v>2963</v>
      </c>
      <c r="C233" t="s">
        <v>2952</v>
      </c>
      <c r="D233" t="s">
        <v>2964</v>
      </c>
      <c r="E233" t="s">
        <v>2964</v>
      </c>
      <c r="G233" t="s">
        <v>56</v>
      </c>
      <c r="H233" t="s">
        <v>57</v>
      </c>
      <c r="I233" t="s">
        <v>58</v>
      </c>
      <c r="J233" t="e">
        <v>#N/A</v>
      </c>
      <c r="K233" t="s">
        <v>2889</v>
      </c>
      <c r="L233" t="s">
        <v>2889</v>
      </c>
      <c r="M233" t="s">
        <v>7165</v>
      </c>
      <c r="N233" t="s">
        <v>7168</v>
      </c>
      <c r="O233" s="1" t="s">
        <v>603</v>
      </c>
      <c r="P233" t="s">
        <v>649</v>
      </c>
      <c r="Q233" s="1" t="s">
        <v>605</v>
      </c>
      <c r="R233" s="1" t="s">
        <v>127</v>
      </c>
      <c r="S233" s="1" t="s">
        <v>606</v>
      </c>
      <c r="T233" s="1">
        <v>11</v>
      </c>
      <c r="U233" s="1">
        <v>2124</v>
      </c>
      <c r="V233" s="1" t="s">
        <v>169</v>
      </c>
      <c r="W233" s="1">
        <v>10560531</v>
      </c>
      <c r="X233" t="s">
        <v>2965</v>
      </c>
      <c r="Y233" t="s">
        <v>2966</v>
      </c>
      <c r="AA233" t="s">
        <v>68</v>
      </c>
      <c r="AB233" t="s">
        <v>2967</v>
      </c>
      <c r="AC233" t="s">
        <v>2968</v>
      </c>
      <c r="AD233" t="s">
        <v>2969</v>
      </c>
      <c r="AE233" t="s">
        <v>2926</v>
      </c>
      <c r="AF233" t="s">
        <v>73</v>
      </c>
      <c r="AG233" t="s">
        <v>2970</v>
      </c>
      <c r="AH233" t="s">
        <v>75</v>
      </c>
      <c r="AI233" t="s">
        <v>76</v>
      </c>
      <c r="AJ233" t="s">
        <v>77</v>
      </c>
      <c r="AK233" t="s">
        <v>669</v>
      </c>
      <c r="AL233" t="s">
        <v>615</v>
      </c>
      <c r="AM233" t="s">
        <v>616</v>
      </c>
      <c r="AN233" t="s">
        <v>81</v>
      </c>
      <c r="AO233" t="s">
        <v>82</v>
      </c>
      <c r="AP233" t="s">
        <v>83</v>
      </c>
      <c r="AQ233">
        <v>2017</v>
      </c>
      <c r="AR233">
        <v>146102</v>
      </c>
      <c r="AS233">
        <v>5407324</v>
      </c>
      <c r="AT233">
        <v>252</v>
      </c>
      <c r="AU233" t="s">
        <v>84</v>
      </c>
      <c r="AV233">
        <v>562</v>
      </c>
      <c r="AW233" t="s">
        <v>85</v>
      </c>
      <c r="AX233" t="s">
        <v>86</v>
      </c>
      <c r="AY233">
        <v>562</v>
      </c>
      <c r="AZ233" t="s">
        <v>2971</v>
      </c>
      <c r="BA233" t="s">
        <v>88</v>
      </c>
      <c r="BC233" t="s">
        <v>2961</v>
      </c>
      <c r="BD233">
        <v>0</v>
      </c>
      <c r="BE233">
        <v>16</v>
      </c>
    </row>
    <row r="234" spans="1:57" hidden="1" x14ac:dyDescent="0.2">
      <c r="A234" t="s">
        <v>2972</v>
      </c>
      <c r="B234" t="s">
        <v>2973</v>
      </c>
      <c r="C234" t="s">
        <v>2952</v>
      </c>
      <c r="D234" t="s">
        <v>2974</v>
      </c>
      <c r="E234" t="s">
        <v>2974</v>
      </c>
      <c r="G234" t="s">
        <v>56</v>
      </c>
      <c r="H234" t="s">
        <v>57</v>
      </c>
      <c r="I234" t="s">
        <v>58</v>
      </c>
      <c r="J234" t="e">
        <v>#N/A</v>
      </c>
      <c r="K234" t="s">
        <v>2889</v>
      </c>
      <c r="L234" t="s">
        <v>2889</v>
      </c>
      <c r="M234" t="s">
        <v>7165</v>
      </c>
      <c r="N234" t="s">
        <v>7162</v>
      </c>
      <c r="O234" s="1" t="s">
        <v>603</v>
      </c>
      <c r="P234" t="s">
        <v>649</v>
      </c>
      <c r="Q234" s="1" t="s">
        <v>605</v>
      </c>
      <c r="R234" s="1" t="s">
        <v>127</v>
      </c>
      <c r="S234" s="1" t="s">
        <v>606</v>
      </c>
      <c r="T234" s="1">
        <v>11</v>
      </c>
      <c r="U234" s="1">
        <v>2124</v>
      </c>
      <c r="V234" s="1" t="s">
        <v>169</v>
      </c>
      <c r="W234" s="1">
        <v>10560531</v>
      </c>
      <c r="X234" t="s">
        <v>2975</v>
      </c>
      <c r="Y234" t="s">
        <v>2976</v>
      </c>
      <c r="AA234" t="s">
        <v>68</v>
      </c>
      <c r="AB234" t="s">
        <v>2977</v>
      </c>
      <c r="AC234" t="s">
        <v>2978</v>
      </c>
      <c r="AD234" t="s">
        <v>2979</v>
      </c>
      <c r="AE234" t="s">
        <v>2926</v>
      </c>
      <c r="AF234" t="s">
        <v>73</v>
      </c>
      <c r="AG234" t="s">
        <v>2980</v>
      </c>
      <c r="AH234" t="s">
        <v>75</v>
      </c>
      <c r="AI234" t="s">
        <v>76</v>
      </c>
      <c r="AJ234" t="s">
        <v>77</v>
      </c>
      <c r="AK234" t="s">
        <v>630</v>
      </c>
      <c r="AL234" t="s">
        <v>615</v>
      </c>
      <c r="AM234" t="s">
        <v>616</v>
      </c>
      <c r="AN234" t="s">
        <v>81</v>
      </c>
      <c r="AO234" t="s">
        <v>82</v>
      </c>
      <c r="AP234" t="s">
        <v>83</v>
      </c>
      <c r="AQ234">
        <v>2017</v>
      </c>
      <c r="AR234">
        <v>149177</v>
      </c>
      <c r="AS234">
        <v>5393494</v>
      </c>
      <c r="AT234">
        <v>271</v>
      </c>
      <c r="AU234" t="s">
        <v>84</v>
      </c>
      <c r="AV234">
        <v>562</v>
      </c>
      <c r="AW234" t="s">
        <v>85</v>
      </c>
      <c r="AX234" t="s">
        <v>86</v>
      </c>
      <c r="AY234">
        <v>562</v>
      </c>
      <c r="AZ234" t="s">
        <v>2981</v>
      </c>
      <c r="BA234" t="s">
        <v>88</v>
      </c>
      <c r="BC234" t="s">
        <v>2961</v>
      </c>
      <c r="BD234">
        <v>0</v>
      </c>
      <c r="BE234">
        <v>17</v>
      </c>
    </row>
    <row r="235" spans="1:57" hidden="1" x14ac:dyDescent="0.2">
      <c r="A235" t="s">
        <v>2982</v>
      </c>
      <c r="B235" t="s">
        <v>2983</v>
      </c>
      <c r="C235" t="s">
        <v>2952</v>
      </c>
      <c r="D235" t="s">
        <v>2984</v>
      </c>
      <c r="E235" t="s">
        <v>2984</v>
      </c>
      <c r="F235" t="s">
        <v>2985</v>
      </c>
      <c r="G235" t="s">
        <v>56</v>
      </c>
      <c r="H235" t="s">
        <v>57</v>
      </c>
      <c r="I235" t="s">
        <v>58</v>
      </c>
      <c r="J235" t="e">
        <v>#N/A</v>
      </c>
      <c r="K235" t="s">
        <v>2889</v>
      </c>
      <c r="L235" t="s">
        <v>2889</v>
      </c>
      <c r="M235" t="s">
        <v>7165</v>
      </c>
      <c r="N235" t="s">
        <v>7162</v>
      </c>
      <c r="O235" s="1" t="s">
        <v>603</v>
      </c>
      <c r="P235" t="s">
        <v>649</v>
      </c>
      <c r="Q235" s="1" t="s">
        <v>605</v>
      </c>
      <c r="R235" s="1" t="s">
        <v>127</v>
      </c>
      <c r="S235" s="1" t="s">
        <v>606</v>
      </c>
      <c r="T235" s="1">
        <v>11</v>
      </c>
      <c r="U235" s="1">
        <v>2124</v>
      </c>
      <c r="V235" s="1" t="s">
        <v>169</v>
      </c>
      <c r="W235" s="1">
        <v>10560531</v>
      </c>
      <c r="X235" t="s">
        <v>2986</v>
      </c>
      <c r="Y235" t="s">
        <v>2987</v>
      </c>
      <c r="AA235" t="s">
        <v>68</v>
      </c>
      <c r="AB235" t="s">
        <v>2988</v>
      </c>
      <c r="AC235" t="s">
        <v>2989</v>
      </c>
      <c r="AD235" t="s">
        <v>2990</v>
      </c>
      <c r="AE235" t="s">
        <v>2926</v>
      </c>
      <c r="AF235" t="s">
        <v>73</v>
      </c>
      <c r="AG235" t="s">
        <v>2991</v>
      </c>
      <c r="AH235" t="s">
        <v>75</v>
      </c>
      <c r="AI235" t="s">
        <v>76</v>
      </c>
      <c r="AJ235" t="s">
        <v>77</v>
      </c>
      <c r="AK235" t="s">
        <v>2992</v>
      </c>
      <c r="AL235" t="s">
        <v>2993</v>
      </c>
      <c r="AM235" t="s">
        <v>616</v>
      </c>
      <c r="AN235" t="s">
        <v>81</v>
      </c>
      <c r="AO235" t="s">
        <v>82</v>
      </c>
      <c r="AP235" t="s">
        <v>83</v>
      </c>
      <c r="AQ235">
        <v>2017</v>
      </c>
      <c r="AR235">
        <v>136031</v>
      </c>
      <c r="AS235">
        <v>5388968</v>
      </c>
      <c r="AT235">
        <v>277</v>
      </c>
      <c r="AU235" t="s">
        <v>84</v>
      </c>
      <c r="AV235">
        <v>562</v>
      </c>
      <c r="AW235" t="s">
        <v>85</v>
      </c>
      <c r="AX235" t="s">
        <v>86</v>
      </c>
      <c r="AY235">
        <v>562</v>
      </c>
      <c r="AZ235" t="s">
        <v>2994</v>
      </c>
      <c r="BA235" t="s">
        <v>88</v>
      </c>
      <c r="BC235" t="s">
        <v>2961</v>
      </c>
      <c r="BD235">
        <v>0</v>
      </c>
      <c r="BE235">
        <v>16</v>
      </c>
    </row>
    <row r="236" spans="1:57" hidden="1" x14ac:dyDescent="0.2">
      <c r="A236" t="s">
        <v>2995</v>
      </c>
      <c r="B236" t="s">
        <v>2996</v>
      </c>
      <c r="C236" t="s">
        <v>2997</v>
      </c>
      <c r="D236" t="s">
        <v>2998</v>
      </c>
      <c r="E236" t="s">
        <v>2998</v>
      </c>
      <c r="G236" t="s">
        <v>56</v>
      </c>
      <c r="H236" t="s">
        <v>57</v>
      </c>
      <c r="I236" t="s">
        <v>58</v>
      </c>
      <c r="J236" t="e">
        <v>#N/A</v>
      </c>
      <c r="K236" t="s">
        <v>2889</v>
      </c>
      <c r="L236" t="s">
        <v>2889</v>
      </c>
      <c r="M236" t="s">
        <v>7165</v>
      </c>
      <c r="N236" t="s">
        <v>7165</v>
      </c>
      <c r="O236" s="1" t="s">
        <v>603</v>
      </c>
      <c r="P236" t="s">
        <v>649</v>
      </c>
      <c r="Q236" s="1" t="s">
        <v>605</v>
      </c>
      <c r="R236" s="1" t="s">
        <v>127</v>
      </c>
      <c r="S236" s="1" t="s">
        <v>606</v>
      </c>
      <c r="T236" s="1">
        <v>11</v>
      </c>
      <c r="U236" s="1">
        <v>2124</v>
      </c>
      <c r="V236" s="1" t="s">
        <v>169</v>
      </c>
      <c r="W236" s="1">
        <v>10560531</v>
      </c>
      <c r="X236" t="s">
        <v>2999</v>
      </c>
      <c r="Y236" t="s">
        <v>3000</v>
      </c>
      <c r="AA236" t="s">
        <v>68</v>
      </c>
      <c r="AB236" t="s">
        <v>3001</v>
      </c>
      <c r="AC236" t="s">
        <v>3002</v>
      </c>
      <c r="AD236" t="s">
        <v>3003</v>
      </c>
      <c r="AE236" t="s">
        <v>2692</v>
      </c>
      <c r="AF236" t="s">
        <v>73</v>
      </c>
      <c r="AG236" t="s">
        <v>3004</v>
      </c>
      <c r="AH236" t="s">
        <v>75</v>
      </c>
      <c r="AI236" t="s">
        <v>76</v>
      </c>
      <c r="AJ236" t="s">
        <v>77</v>
      </c>
      <c r="AK236" t="s">
        <v>669</v>
      </c>
      <c r="AL236" t="s">
        <v>615</v>
      </c>
      <c r="AM236" t="s">
        <v>616</v>
      </c>
      <c r="AN236" t="s">
        <v>81</v>
      </c>
      <c r="AO236" t="s">
        <v>82</v>
      </c>
      <c r="AP236" t="s">
        <v>83</v>
      </c>
      <c r="AQ236">
        <v>2017</v>
      </c>
      <c r="AR236">
        <v>135952</v>
      </c>
      <c r="AS236">
        <v>5416740</v>
      </c>
      <c r="AT236">
        <v>271</v>
      </c>
      <c r="AU236" t="s">
        <v>84</v>
      </c>
      <c r="AV236">
        <v>562</v>
      </c>
      <c r="AW236" t="s">
        <v>85</v>
      </c>
      <c r="AX236" t="s">
        <v>86</v>
      </c>
      <c r="AY236">
        <v>562</v>
      </c>
      <c r="AZ236" t="s">
        <v>3005</v>
      </c>
      <c r="BA236" t="s">
        <v>88</v>
      </c>
      <c r="BC236" t="s">
        <v>2961</v>
      </c>
      <c r="BD236">
        <v>0</v>
      </c>
      <c r="BE236">
        <v>16</v>
      </c>
    </row>
    <row r="237" spans="1:57" hidden="1" x14ac:dyDescent="0.2">
      <c r="A237" t="s">
        <v>3006</v>
      </c>
      <c r="B237" t="s">
        <v>3007</v>
      </c>
      <c r="C237" t="s">
        <v>3008</v>
      </c>
      <c r="D237" t="s">
        <v>3009</v>
      </c>
      <c r="E237" t="s">
        <v>3009</v>
      </c>
      <c r="G237" t="s">
        <v>56</v>
      </c>
      <c r="H237" t="s">
        <v>57</v>
      </c>
      <c r="I237" t="s">
        <v>58</v>
      </c>
      <c r="J237" t="e">
        <v>#N/A</v>
      </c>
      <c r="K237" t="s">
        <v>2889</v>
      </c>
      <c r="L237" t="s">
        <v>2889</v>
      </c>
      <c r="M237" t="s">
        <v>7165</v>
      </c>
      <c r="N237" t="s">
        <v>7168</v>
      </c>
      <c r="O237" s="1" t="s">
        <v>603</v>
      </c>
      <c r="P237" t="s">
        <v>649</v>
      </c>
      <c r="Q237" s="1" t="s">
        <v>605</v>
      </c>
      <c r="R237" s="1" t="s">
        <v>127</v>
      </c>
      <c r="S237" s="1" t="s">
        <v>606</v>
      </c>
      <c r="T237" s="1">
        <v>11</v>
      </c>
      <c r="U237" s="1">
        <v>2124</v>
      </c>
      <c r="V237" s="1" t="s">
        <v>169</v>
      </c>
      <c r="W237" s="1">
        <v>10560688</v>
      </c>
      <c r="X237" t="s">
        <v>3010</v>
      </c>
      <c r="Y237" t="s">
        <v>3011</v>
      </c>
      <c r="AA237" t="s">
        <v>68</v>
      </c>
      <c r="AB237" t="s">
        <v>3012</v>
      </c>
      <c r="AC237" t="s">
        <v>3013</v>
      </c>
      <c r="AD237" t="s">
        <v>3014</v>
      </c>
      <c r="AE237" t="s">
        <v>2692</v>
      </c>
      <c r="AF237" t="s">
        <v>73</v>
      </c>
      <c r="AG237" t="s">
        <v>3015</v>
      </c>
      <c r="AH237" t="s">
        <v>75</v>
      </c>
      <c r="AI237" t="s">
        <v>76</v>
      </c>
      <c r="AJ237" t="s">
        <v>77</v>
      </c>
      <c r="AK237" t="s">
        <v>3016</v>
      </c>
      <c r="AL237" t="s">
        <v>615</v>
      </c>
      <c r="AM237" t="s">
        <v>616</v>
      </c>
      <c r="AN237" t="s">
        <v>81</v>
      </c>
      <c r="AO237" t="s">
        <v>82</v>
      </c>
      <c r="AP237" t="s">
        <v>83</v>
      </c>
      <c r="AQ237">
        <v>2017</v>
      </c>
      <c r="AR237">
        <v>145664</v>
      </c>
      <c r="AS237">
        <v>5425263</v>
      </c>
      <c r="AT237">
        <v>288</v>
      </c>
      <c r="AU237" t="s">
        <v>84</v>
      </c>
      <c r="AV237">
        <v>562</v>
      </c>
      <c r="AW237" t="s">
        <v>85</v>
      </c>
      <c r="AX237" t="s">
        <v>86</v>
      </c>
      <c r="AY237">
        <v>562</v>
      </c>
      <c r="AZ237" t="s">
        <v>3017</v>
      </c>
      <c r="BA237" t="s">
        <v>88</v>
      </c>
      <c r="BC237" t="s">
        <v>659</v>
      </c>
      <c r="BD237">
        <v>0</v>
      </c>
      <c r="BE237">
        <v>13</v>
      </c>
    </row>
    <row r="238" spans="1:57" hidden="1" x14ac:dyDescent="0.2">
      <c r="A238" t="s">
        <v>3018</v>
      </c>
      <c r="B238" t="s">
        <v>3019</v>
      </c>
      <c r="C238" t="s">
        <v>3008</v>
      </c>
      <c r="D238" t="s">
        <v>3020</v>
      </c>
      <c r="E238" t="s">
        <v>3020</v>
      </c>
      <c r="G238" t="s">
        <v>56</v>
      </c>
      <c r="H238" t="s">
        <v>57</v>
      </c>
      <c r="I238" t="s">
        <v>58</v>
      </c>
      <c r="J238" t="e">
        <v>#N/A</v>
      </c>
      <c r="K238" t="s">
        <v>2889</v>
      </c>
      <c r="L238" t="s">
        <v>2889</v>
      </c>
      <c r="M238" t="s">
        <v>7165</v>
      </c>
      <c r="N238" t="s">
        <v>7165</v>
      </c>
      <c r="O238" s="1" t="s">
        <v>603</v>
      </c>
      <c r="P238" t="s">
        <v>649</v>
      </c>
      <c r="Q238" s="1" t="s">
        <v>605</v>
      </c>
      <c r="R238" s="1" t="s">
        <v>127</v>
      </c>
      <c r="S238" s="1" t="s">
        <v>606</v>
      </c>
      <c r="T238" s="1">
        <v>11</v>
      </c>
      <c r="U238" s="1">
        <v>2124</v>
      </c>
      <c r="V238" s="1" t="s">
        <v>169</v>
      </c>
      <c r="W238" s="1">
        <v>10560688</v>
      </c>
      <c r="X238" t="s">
        <v>3021</v>
      </c>
      <c r="Y238" t="s">
        <v>3022</v>
      </c>
      <c r="AA238" t="s">
        <v>68</v>
      </c>
      <c r="AB238" t="s">
        <v>3023</v>
      </c>
      <c r="AC238" t="s">
        <v>3024</v>
      </c>
      <c r="AD238" t="s">
        <v>3025</v>
      </c>
      <c r="AE238" t="s">
        <v>2692</v>
      </c>
      <c r="AF238" t="s">
        <v>73</v>
      </c>
      <c r="AG238" t="s">
        <v>3026</v>
      </c>
      <c r="AH238" t="s">
        <v>75</v>
      </c>
      <c r="AI238" t="s">
        <v>76</v>
      </c>
      <c r="AJ238" t="s">
        <v>77</v>
      </c>
      <c r="AK238" t="s">
        <v>3027</v>
      </c>
      <c r="AL238" t="s">
        <v>615</v>
      </c>
      <c r="AM238" t="s">
        <v>616</v>
      </c>
      <c r="AN238" t="s">
        <v>81</v>
      </c>
      <c r="AO238" t="s">
        <v>82</v>
      </c>
      <c r="AP238" t="s">
        <v>83</v>
      </c>
      <c r="AQ238">
        <v>2017</v>
      </c>
      <c r="AR238">
        <v>145333</v>
      </c>
      <c r="AS238">
        <v>5428056</v>
      </c>
      <c r="AT238">
        <v>281</v>
      </c>
      <c r="AU238" t="s">
        <v>84</v>
      </c>
      <c r="AV238">
        <v>562</v>
      </c>
      <c r="AW238" t="s">
        <v>85</v>
      </c>
      <c r="AX238" t="s">
        <v>86</v>
      </c>
      <c r="AY238">
        <v>562</v>
      </c>
      <c r="AZ238" t="s">
        <v>3028</v>
      </c>
      <c r="BA238" t="s">
        <v>88</v>
      </c>
      <c r="BC238" t="s">
        <v>659</v>
      </c>
      <c r="BD238">
        <v>0</v>
      </c>
      <c r="BE238">
        <v>13</v>
      </c>
    </row>
    <row r="239" spans="1:57" hidden="1" x14ac:dyDescent="0.2">
      <c r="A239" t="s">
        <v>3029</v>
      </c>
      <c r="B239" t="s">
        <v>3030</v>
      </c>
      <c r="C239" t="s">
        <v>3008</v>
      </c>
      <c r="D239" t="s">
        <v>3031</v>
      </c>
      <c r="E239" t="s">
        <v>3031</v>
      </c>
      <c r="G239" t="s">
        <v>56</v>
      </c>
      <c r="H239" t="s">
        <v>57</v>
      </c>
      <c r="I239" t="s">
        <v>58</v>
      </c>
      <c r="J239" t="e">
        <v>#N/A</v>
      </c>
      <c r="K239" t="s">
        <v>2641</v>
      </c>
      <c r="L239" t="s">
        <v>2889</v>
      </c>
      <c r="M239" t="s">
        <v>7165</v>
      </c>
      <c r="N239" t="s">
        <v>7165</v>
      </c>
      <c r="O239" s="1" t="s">
        <v>603</v>
      </c>
      <c r="P239" t="s">
        <v>649</v>
      </c>
      <c r="Q239" s="1" t="s">
        <v>605</v>
      </c>
      <c r="R239" s="1" t="s">
        <v>127</v>
      </c>
      <c r="S239" s="1" t="s">
        <v>606</v>
      </c>
      <c r="T239" s="1">
        <v>7021</v>
      </c>
      <c r="U239" s="1">
        <v>2124</v>
      </c>
      <c r="V239" s="1" t="s">
        <v>169</v>
      </c>
      <c r="W239" s="1">
        <v>10560688</v>
      </c>
      <c r="X239" t="s">
        <v>3032</v>
      </c>
      <c r="Y239" t="s">
        <v>3033</v>
      </c>
      <c r="AA239" t="s">
        <v>68</v>
      </c>
      <c r="AB239" t="s">
        <v>3034</v>
      </c>
      <c r="AC239" t="s">
        <v>3035</v>
      </c>
      <c r="AD239" t="s">
        <v>3036</v>
      </c>
      <c r="AE239" t="s">
        <v>2692</v>
      </c>
      <c r="AF239" t="s">
        <v>73</v>
      </c>
      <c r="AG239" t="s">
        <v>3037</v>
      </c>
      <c r="AH239" t="s">
        <v>75</v>
      </c>
      <c r="AI239" t="s">
        <v>76</v>
      </c>
      <c r="AJ239" t="s">
        <v>77</v>
      </c>
      <c r="AK239" t="s">
        <v>3027</v>
      </c>
      <c r="AL239" t="s">
        <v>615</v>
      </c>
      <c r="AM239" t="s">
        <v>616</v>
      </c>
      <c r="AN239" t="s">
        <v>81</v>
      </c>
      <c r="AO239" t="s">
        <v>82</v>
      </c>
      <c r="AP239" t="s">
        <v>83</v>
      </c>
      <c r="AQ239">
        <v>2017</v>
      </c>
      <c r="AR239">
        <v>116909</v>
      </c>
      <c r="AS239">
        <v>5420590</v>
      </c>
      <c r="AT239">
        <v>292</v>
      </c>
      <c r="AU239" t="s">
        <v>84</v>
      </c>
      <c r="AV239">
        <v>562</v>
      </c>
      <c r="AW239" t="s">
        <v>85</v>
      </c>
      <c r="AX239" t="s">
        <v>86</v>
      </c>
      <c r="AY239">
        <v>562</v>
      </c>
      <c r="AZ239" t="s">
        <v>3038</v>
      </c>
      <c r="BA239" t="s">
        <v>88</v>
      </c>
      <c r="BC239" t="s">
        <v>659</v>
      </c>
      <c r="BD239">
        <v>2</v>
      </c>
      <c r="BE239">
        <v>15</v>
      </c>
    </row>
    <row r="240" spans="1:57" hidden="1" x14ac:dyDescent="0.2">
      <c r="A240" t="s">
        <v>3039</v>
      </c>
      <c r="B240" t="s">
        <v>3040</v>
      </c>
      <c r="C240" t="s">
        <v>3008</v>
      </c>
      <c r="D240" t="s">
        <v>3041</v>
      </c>
      <c r="E240" t="s">
        <v>3041</v>
      </c>
      <c r="G240" t="s">
        <v>56</v>
      </c>
      <c r="H240" t="s">
        <v>57</v>
      </c>
      <c r="I240" t="s">
        <v>58</v>
      </c>
      <c r="J240" t="e">
        <v>#N/A</v>
      </c>
      <c r="K240" t="s">
        <v>2641</v>
      </c>
      <c r="L240" t="s">
        <v>2889</v>
      </c>
      <c r="M240" t="s">
        <v>7165</v>
      </c>
      <c r="N240" t="s">
        <v>7165</v>
      </c>
      <c r="O240" s="1" t="s">
        <v>603</v>
      </c>
      <c r="P240" t="s">
        <v>649</v>
      </c>
      <c r="Q240" s="1" t="s">
        <v>650</v>
      </c>
      <c r="R240" s="1" t="s">
        <v>127</v>
      </c>
      <c r="S240" s="1" t="s">
        <v>606</v>
      </c>
      <c r="T240" s="1">
        <v>11</v>
      </c>
      <c r="U240" s="1">
        <v>2124</v>
      </c>
      <c r="V240" s="1" t="s">
        <v>651</v>
      </c>
      <c r="W240" s="1" t="s">
        <v>170</v>
      </c>
      <c r="X240" t="s">
        <v>3042</v>
      </c>
      <c r="Y240" t="s">
        <v>3043</v>
      </c>
      <c r="AA240" t="s">
        <v>68</v>
      </c>
      <c r="AB240" t="s">
        <v>3044</v>
      </c>
      <c r="AC240" t="s">
        <v>3045</v>
      </c>
      <c r="AD240" t="s">
        <v>3046</v>
      </c>
      <c r="AE240" t="s">
        <v>192</v>
      </c>
      <c r="AF240" t="s">
        <v>73</v>
      </c>
      <c r="AG240" t="s">
        <v>3047</v>
      </c>
      <c r="AH240" t="s">
        <v>75</v>
      </c>
      <c r="AI240" t="s">
        <v>76</v>
      </c>
      <c r="AJ240" t="s">
        <v>77</v>
      </c>
      <c r="AK240" t="s">
        <v>3027</v>
      </c>
      <c r="AL240" t="s">
        <v>615</v>
      </c>
      <c r="AM240" t="s">
        <v>616</v>
      </c>
      <c r="AN240" t="s">
        <v>81</v>
      </c>
      <c r="AO240" t="s">
        <v>82</v>
      </c>
      <c r="AP240" t="s">
        <v>83</v>
      </c>
      <c r="AQ240">
        <v>2018</v>
      </c>
      <c r="AR240">
        <v>142522</v>
      </c>
      <c r="AS240">
        <v>5459806</v>
      </c>
      <c r="AT240">
        <v>225</v>
      </c>
      <c r="AU240" t="s">
        <v>84</v>
      </c>
      <c r="AV240">
        <v>562</v>
      </c>
      <c r="AW240" t="s">
        <v>85</v>
      </c>
      <c r="AX240" t="s">
        <v>86</v>
      </c>
      <c r="AY240">
        <v>562</v>
      </c>
      <c r="AZ240" t="s">
        <v>3048</v>
      </c>
      <c r="BA240" t="s">
        <v>88</v>
      </c>
      <c r="BC240" t="s">
        <v>659</v>
      </c>
      <c r="BD240">
        <v>0</v>
      </c>
      <c r="BE240">
        <v>13</v>
      </c>
    </row>
    <row r="241" spans="1:57" hidden="1" x14ac:dyDescent="0.2">
      <c r="A241" t="s">
        <v>3049</v>
      </c>
      <c r="B241" t="s">
        <v>3049</v>
      </c>
      <c r="C241" t="s">
        <v>349</v>
      </c>
      <c r="D241" t="s">
        <v>3050</v>
      </c>
      <c r="E241" t="s">
        <v>3050</v>
      </c>
      <c r="G241" t="s">
        <v>56</v>
      </c>
      <c r="H241" t="s">
        <v>57</v>
      </c>
      <c r="I241" t="s">
        <v>58</v>
      </c>
      <c r="J241" t="s">
        <v>351</v>
      </c>
      <c r="K241" t="s">
        <v>352</v>
      </c>
      <c r="L241" t="s">
        <v>352</v>
      </c>
      <c r="M241" t="s">
        <v>7165</v>
      </c>
      <c r="N241" t="s">
        <v>7172</v>
      </c>
      <c r="O241" s="1" t="s">
        <v>353</v>
      </c>
      <c r="P241" t="s">
        <v>354</v>
      </c>
      <c r="Q241" s="1" t="s">
        <v>144</v>
      </c>
      <c r="R241" s="1" t="s">
        <v>355</v>
      </c>
      <c r="S241" s="1" t="s">
        <v>356</v>
      </c>
      <c r="T241" s="1">
        <v>155</v>
      </c>
      <c r="U241" s="1">
        <v>1607</v>
      </c>
      <c r="V241" s="1" t="e">
        <v>#N/A</v>
      </c>
      <c r="W241" s="1" t="e">
        <v>#N/A</v>
      </c>
      <c r="X241" t="s">
        <v>3051</v>
      </c>
      <c r="Y241" t="s">
        <v>3052</v>
      </c>
      <c r="AA241" t="s">
        <v>68</v>
      </c>
      <c r="AB241" t="s">
        <v>3053</v>
      </c>
      <c r="AC241" t="s">
        <v>3054</v>
      </c>
      <c r="AD241" t="s">
        <v>3055</v>
      </c>
      <c r="AE241" t="s">
        <v>241</v>
      </c>
      <c r="AF241" t="s">
        <v>73</v>
      </c>
      <c r="AG241" t="s">
        <v>3056</v>
      </c>
      <c r="AH241" t="s">
        <v>75</v>
      </c>
      <c r="AI241" t="s">
        <v>76</v>
      </c>
      <c r="AJ241" t="s">
        <v>77</v>
      </c>
      <c r="AK241" t="s">
        <v>363</v>
      </c>
      <c r="AL241" t="s">
        <v>364</v>
      </c>
      <c r="AM241" t="s">
        <v>80</v>
      </c>
      <c r="AN241" t="s">
        <v>81</v>
      </c>
      <c r="AO241" t="s">
        <v>82</v>
      </c>
      <c r="AP241" t="s">
        <v>83</v>
      </c>
      <c r="AQ241">
        <v>2018</v>
      </c>
      <c r="AR241">
        <v>127128</v>
      </c>
      <c r="AS241">
        <v>5180457</v>
      </c>
      <c r="AT241">
        <v>177</v>
      </c>
      <c r="AU241" t="s">
        <v>84</v>
      </c>
      <c r="AV241">
        <v>562</v>
      </c>
      <c r="AW241" t="s">
        <v>85</v>
      </c>
      <c r="AX241" t="s">
        <v>86</v>
      </c>
      <c r="AY241">
        <v>562</v>
      </c>
      <c r="AZ241" t="s">
        <v>3057</v>
      </c>
      <c r="BA241" t="s">
        <v>88</v>
      </c>
      <c r="BC241" t="s">
        <v>366</v>
      </c>
      <c r="BD241">
        <v>0</v>
      </c>
    </row>
    <row r="242" spans="1:57" hidden="1" x14ac:dyDescent="0.2">
      <c r="A242" t="s">
        <v>3058</v>
      </c>
      <c r="B242" t="s">
        <v>3058</v>
      </c>
      <c r="C242" t="s">
        <v>349</v>
      </c>
      <c r="D242" t="s">
        <v>3059</v>
      </c>
      <c r="E242" t="s">
        <v>3059</v>
      </c>
      <c r="G242" t="s">
        <v>56</v>
      </c>
      <c r="H242" t="s">
        <v>57</v>
      </c>
      <c r="I242" t="s">
        <v>58</v>
      </c>
      <c r="J242" t="s">
        <v>351</v>
      </c>
      <c r="K242" t="s">
        <v>352</v>
      </c>
      <c r="L242" t="s">
        <v>352</v>
      </c>
      <c r="M242" t="s">
        <v>7165</v>
      </c>
      <c r="N242" t="s">
        <v>7172</v>
      </c>
      <c r="O242" s="1" t="s">
        <v>353</v>
      </c>
      <c r="P242" t="s">
        <v>354</v>
      </c>
      <c r="Q242" s="1" t="s">
        <v>144</v>
      </c>
      <c r="R242" s="1" t="s">
        <v>355</v>
      </c>
      <c r="S242" s="1" t="s">
        <v>356</v>
      </c>
      <c r="T242" s="1">
        <v>155</v>
      </c>
      <c r="U242" s="1">
        <v>1607</v>
      </c>
      <c r="V242" s="1" t="s">
        <v>169</v>
      </c>
      <c r="W242" s="1">
        <v>11774050</v>
      </c>
      <c r="X242" t="s">
        <v>3060</v>
      </c>
      <c r="Y242" t="s">
        <v>3061</v>
      </c>
      <c r="AA242" t="s">
        <v>68</v>
      </c>
      <c r="AB242" t="s">
        <v>3062</v>
      </c>
      <c r="AC242" t="s">
        <v>3063</v>
      </c>
      <c r="AD242" t="s">
        <v>3064</v>
      </c>
      <c r="AE242" t="s">
        <v>398</v>
      </c>
      <c r="AF242" t="s">
        <v>73</v>
      </c>
      <c r="AG242" t="s">
        <v>3065</v>
      </c>
      <c r="AH242" t="s">
        <v>75</v>
      </c>
      <c r="AI242" t="s">
        <v>76</v>
      </c>
      <c r="AJ242" t="s">
        <v>77</v>
      </c>
      <c r="AK242" t="s">
        <v>363</v>
      </c>
      <c r="AL242" t="s">
        <v>364</v>
      </c>
      <c r="AM242" t="s">
        <v>80</v>
      </c>
      <c r="AN242" t="s">
        <v>81</v>
      </c>
      <c r="AO242" t="s">
        <v>82</v>
      </c>
      <c r="AP242" t="s">
        <v>83</v>
      </c>
      <c r="AQ242">
        <v>2018</v>
      </c>
      <c r="AR242">
        <v>99387</v>
      </c>
      <c r="AS242">
        <v>5178989</v>
      </c>
      <c r="AT242">
        <v>166</v>
      </c>
      <c r="AU242" t="s">
        <v>84</v>
      </c>
      <c r="AV242">
        <v>562</v>
      </c>
      <c r="AW242" t="s">
        <v>85</v>
      </c>
      <c r="AX242" t="s">
        <v>86</v>
      </c>
      <c r="AY242">
        <v>562</v>
      </c>
      <c r="AZ242" t="s">
        <v>3066</v>
      </c>
      <c r="BA242" t="s">
        <v>88</v>
      </c>
      <c r="BC242" t="s">
        <v>366</v>
      </c>
      <c r="BD242">
        <v>1</v>
      </c>
    </row>
    <row r="243" spans="1:57" hidden="1" x14ac:dyDescent="0.2">
      <c r="A243" t="s">
        <v>3067</v>
      </c>
      <c r="B243" t="s">
        <v>3067</v>
      </c>
      <c r="C243" t="s">
        <v>349</v>
      </c>
      <c r="D243" t="s">
        <v>3068</v>
      </c>
      <c r="E243" t="s">
        <v>3068</v>
      </c>
      <c r="G243" t="s">
        <v>56</v>
      </c>
      <c r="H243" t="s">
        <v>57</v>
      </c>
      <c r="I243" t="s">
        <v>58</v>
      </c>
      <c r="J243" t="s">
        <v>351</v>
      </c>
      <c r="K243" t="s">
        <v>352</v>
      </c>
      <c r="L243" t="s">
        <v>352</v>
      </c>
      <c r="M243" t="s">
        <v>7165</v>
      </c>
      <c r="N243" t="s">
        <v>7172</v>
      </c>
      <c r="O243" s="1" t="s">
        <v>353</v>
      </c>
      <c r="P243" t="s">
        <v>354</v>
      </c>
      <c r="Q243" s="1" t="s">
        <v>144</v>
      </c>
      <c r="R243" s="1" t="s">
        <v>355</v>
      </c>
      <c r="S243" s="1" t="s">
        <v>356</v>
      </c>
      <c r="T243" s="1">
        <v>155</v>
      </c>
      <c r="U243" s="1">
        <v>1607</v>
      </c>
      <c r="V243" s="1" t="s">
        <v>169</v>
      </c>
      <c r="W243" s="1">
        <v>11774050</v>
      </c>
      <c r="X243" t="s">
        <v>3069</v>
      </c>
      <c r="Y243" t="s">
        <v>3070</v>
      </c>
      <c r="AA243" t="s">
        <v>68</v>
      </c>
      <c r="AB243" t="s">
        <v>3071</v>
      </c>
      <c r="AC243" t="s">
        <v>3072</v>
      </c>
      <c r="AD243" t="s">
        <v>3073</v>
      </c>
      <c r="AE243" t="s">
        <v>2042</v>
      </c>
      <c r="AF243" t="s">
        <v>73</v>
      </c>
      <c r="AG243" t="s">
        <v>3074</v>
      </c>
      <c r="AH243" t="s">
        <v>75</v>
      </c>
      <c r="AI243" t="s">
        <v>76</v>
      </c>
      <c r="AJ243" t="s">
        <v>77</v>
      </c>
      <c r="AK243" t="s">
        <v>3075</v>
      </c>
      <c r="AL243" t="s">
        <v>364</v>
      </c>
      <c r="AM243" t="s">
        <v>80</v>
      </c>
      <c r="AN243" t="s">
        <v>81</v>
      </c>
      <c r="AO243" t="s">
        <v>82</v>
      </c>
      <c r="AP243" t="s">
        <v>83</v>
      </c>
      <c r="AQ243">
        <v>2018</v>
      </c>
      <c r="AR243">
        <v>87465</v>
      </c>
      <c r="AS243">
        <v>5168955</v>
      </c>
      <c r="AT243">
        <v>164</v>
      </c>
      <c r="AU243" t="s">
        <v>84</v>
      </c>
      <c r="AV243">
        <v>562</v>
      </c>
      <c r="AW243" t="s">
        <v>85</v>
      </c>
      <c r="AX243" t="s">
        <v>86</v>
      </c>
      <c r="AY243">
        <v>562</v>
      </c>
      <c r="AZ243" t="s">
        <v>3076</v>
      </c>
      <c r="BA243" t="s">
        <v>88</v>
      </c>
      <c r="BC243" t="s">
        <v>366</v>
      </c>
      <c r="BD243">
        <v>0</v>
      </c>
    </row>
    <row r="244" spans="1:57" hidden="1" x14ac:dyDescent="0.2">
      <c r="A244" t="s">
        <v>3077</v>
      </c>
      <c r="B244" t="s">
        <v>3077</v>
      </c>
      <c r="C244" t="s">
        <v>368</v>
      </c>
      <c r="D244" t="s">
        <v>3078</v>
      </c>
      <c r="E244" t="s">
        <v>3078</v>
      </c>
      <c r="G244" t="s">
        <v>56</v>
      </c>
      <c r="H244" t="s">
        <v>57</v>
      </c>
      <c r="I244" t="s">
        <v>93</v>
      </c>
      <c r="J244">
        <v>0</v>
      </c>
      <c r="K244" t="s">
        <v>370</v>
      </c>
      <c r="L244" t="s">
        <v>371</v>
      </c>
      <c r="M244" t="s">
        <v>7165</v>
      </c>
      <c r="N244" t="s">
        <v>7165</v>
      </c>
      <c r="O244" s="1" t="s">
        <v>372</v>
      </c>
      <c r="P244" t="s">
        <v>354</v>
      </c>
      <c r="Q244" s="1" t="s">
        <v>373</v>
      </c>
      <c r="R244" s="1" t="s">
        <v>167</v>
      </c>
      <c r="S244" s="1" t="s">
        <v>168</v>
      </c>
      <c r="T244" s="1">
        <v>40</v>
      </c>
      <c r="U244" s="1">
        <v>1624</v>
      </c>
      <c r="V244" s="1" t="s">
        <v>374</v>
      </c>
      <c r="W244" s="1">
        <v>10762614</v>
      </c>
      <c r="X244" t="s">
        <v>3079</v>
      </c>
      <c r="Y244" t="s">
        <v>3080</v>
      </c>
      <c r="AA244" t="s">
        <v>68</v>
      </c>
      <c r="AB244" t="s">
        <v>3081</v>
      </c>
      <c r="AC244" t="s">
        <v>3082</v>
      </c>
      <c r="AD244" t="s">
        <v>3083</v>
      </c>
      <c r="AE244" t="s">
        <v>2042</v>
      </c>
      <c r="AF244" t="s">
        <v>73</v>
      </c>
      <c r="AG244" t="s">
        <v>3084</v>
      </c>
      <c r="AH244" t="s">
        <v>381</v>
      </c>
      <c r="AI244" t="s">
        <v>76</v>
      </c>
      <c r="AJ244" t="s">
        <v>77</v>
      </c>
      <c r="AK244" t="s">
        <v>3085</v>
      </c>
      <c r="AL244" t="s">
        <v>156</v>
      </c>
      <c r="AM244" t="s">
        <v>383</v>
      </c>
      <c r="AN244" t="s">
        <v>158</v>
      </c>
      <c r="AO244" t="s">
        <v>159</v>
      </c>
      <c r="AP244" t="s">
        <v>83</v>
      </c>
      <c r="AQ244">
        <v>2018</v>
      </c>
      <c r="AR244">
        <v>30433</v>
      </c>
      <c r="AS244">
        <v>5179423</v>
      </c>
      <c r="AT244">
        <v>407</v>
      </c>
      <c r="AU244" t="s">
        <v>84</v>
      </c>
      <c r="AV244">
        <v>562</v>
      </c>
      <c r="AW244" t="s">
        <v>85</v>
      </c>
      <c r="AX244" t="s">
        <v>86</v>
      </c>
      <c r="AY244">
        <v>562</v>
      </c>
      <c r="AZ244" t="s">
        <v>3086</v>
      </c>
      <c r="BA244" t="s">
        <v>88</v>
      </c>
      <c r="BC244" t="s">
        <v>385</v>
      </c>
      <c r="BD244">
        <v>8</v>
      </c>
      <c r="BE244">
        <v>36</v>
      </c>
    </row>
    <row r="245" spans="1:57" hidden="1" x14ac:dyDescent="0.2">
      <c r="A245" t="s">
        <v>3087</v>
      </c>
      <c r="B245" t="s">
        <v>3087</v>
      </c>
      <c r="C245" t="s">
        <v>3088</v>
      </c>
      <c r="D245" t="s">
        <v>3089</v>
      </c>
      <c r="E245" t="s">
        <v>3089</v>
      </c>
      <c r="G245" t="s">
        <v>56</v>
      </c>
      <c r="H245" t="s">
        <v>57</v>
      </c>
      <c r="I245" t="s">
        <v>93</v>
      </c>
      <c r="J245">
        <v>0</v>
      </c>
      <c r="K245" t="s">
        <v>406</v>
      </c>
      <c r="L245" t="s">
        <v>389</v>
      </c>
      <c r="M245" t="s">
        <v>7165</v>
      </c>
      <c r="N245" t="s">
        <v>7165</v>
      </c>
      <c r="O245" s="1" t="s">
        <v>465</v>
      </c>
      <c r="P245" t="s">
        <v>465</v>
      </c>
      <c r="Q245" s="1" t="s">
        <v>3090</v>
      </c>
      <c r="R245" s="1" t="s">
        <v>3091</v>
      </c>
      <c r="S245" s="1" t="s">
        <v>3092</v>
      </c>
      <c r="T245" s="1">
        <v>13</v>
      </c>
      <c r="U245" s="1">
        <v>42845</v>
      </c>
      <c r="V245" s="1" t="s">
        <v>3093</v>
      </c>
      <c r="W245" s="1">
        <v>12618539</v>
      </c>
      <c r="X245" t="s">
        <v>3094</v>
      </c>
      <c r="Y245" t="s">
        <v>3095</v>
      </c>
      <c r="AA245" t="s">
        <v>68</v>
      </c>
      <c r="AB245" t="s">
        <v>3096</v>
      </c>
      <c r="AC245" t="s">
        <v>3097</v>
      </c>
      <c r="AD245" t="s">
        <v>3098</v>
      </c>
      <c r="AE245" t="s">
        <v>3099</v>
      </c>
      <c r="AF245" t="s">
        <v>73</v>
      </c>
      <c r="AG245" t="s">
        <v>3100</v>
      </c>
      <c r="AI245" t="s">
        <v>76</v>
      </c>
      <c r="AJ245" t="s">
        <v>77</v>
      </c>
      <c r="AK245" t="s">
        <v>3101</v>
      </c>
      <c r="AL245" t="s">
        <v>156</v>
      </c>
      <c r="AM245" t="s">
        <v>531</v>
      </c>
      <c r="AN245" t="s">
        <v>532</v>
      </c>
      <c r="AO245" t="s">
        <v>533</v>
      </c>
      <c r="AP245" t="s">
        <v>83</v>
      </c>
      <c r="AR245">
        <v>91113</v>
      </c>
      <c r="AS245">
        <v>5591229</v>
      </c>
      <c r="AT245">
        <v>517</v>
      </c>
      <c r="AU245" t="s">
        <v>84</v>
      </c>
      <c r="AV245">
        <v>562</v>
      </c>
      <c r="AW245" t="s">
        <v>85</v>
      </c>
      <c r="AX245" t="s">
        <v>86</v>
      </c>
      <c r="AY245">
        <v>562</v>
      </c>
      <c r="AZ245" t="s">
        <v>3102</v>
      </c>
      <c r="BA245" t="s">
        <v>88</v>
      </c>
    </row>
    <row r="246" spans="1:57" hidden="1" x14ac:dyDescent="0.2">
      <c r="A246" t="s">
        <v>3103</v>
      </c>
      <c r="B246" t="s">
        <v>3103</v>
      </c>
      <c r="C246" t="s">
        <v>3104</v>
      </c>
      <c r="D246" t="s">
        <v>3105</v>
      </c>
      <c r="E246" t="s">
        <v>3105</v>
      </c>
      <c r="G246" t="s">
        <v>56</v>
      </c>
      <c r="H246" t="s">
        <v>57</v>
      </c>
      <c r="I246" t="s">
        <v>93</v>
      </c>
      <c r="J246">
        <v>0</v>
      </c>
      <c r="K246" t="s">
        <v>406</v>
      </c>
      <c r="L246" t="s">
        <v>480</v>
      </c>
      <c r="M246" t="s">
        <v>7165</v>
      </c>
      <c r="N246" t="s">
        <v>7165</v>
      </c>
      <c r="O246" s="1" t="s">
        <v>390</v>
      </c>
      <c r="P246" t="s">
        <v>390</v>
      </c>
      <c r="Q246" s="1" t="s">
        <v>166</v>
      </c>
      <c r="R246" s="1" t="s">
        <v>167</v>
      </c>
      <c r="S246" s="1" t="s">
        <v>168</v>
      </c>
      <c r="T246" s="1">
        <v>8356</v>
      </c>
      <c r="U246" s="1">
        <v>84725</v>
      </c>
      <c r="V246" s="1" t="s">
        <v>3106</v>
      </c>
      <c r="W246" s="1">
        <v>12617846</v>
      </c>
      <c r="X246" t="s">
        <v>3107</v>
      </c>
      <c r="Y246" t="s">
        <v>3108</v>
      </c>
      <c r="AA246" t="s">
        <v>68</v>
      </c>
      <c r="AB246" t="s">
        <v>3109</v>
      </c>
      <c r="AC246" t="s">
        <v>3110</v>
      </c>
      <c r="AD246" t="s">
        <v>3111</v>
      </c>
      <c r="AE246" t="s">
        <v>3112</v>
      </c>
      <c r="AF246" t="s">
        <v>73</v>
      </c>
      <c r="AG246" t="s">
        <v>3113</v>
      </c>
      <c r="AH246" t="s">
        <v>967</v>
      </c>
      <c r="AI246" t="s">
        <v>76</v>
      </c>
      <c r="AJ246" t="s">
        <v>77</v>
      </c>
      <c r="AK246" t="s">
        <v>3114</v>
      </c>
      <c r="AL246" t="s">
        <v>3115</v>
      </c>
      <c r="AM246" t="s">
        <v>3116</v>
      </c>
      <c r="AN246" t="s">
        <v>158</v>
      </c>
      <c r="AO246" t="s">
        <v>159</v>
      </c>
      <c r="AP246" t="s">
        <v>83</v>
      </c>
      <c r="AR246">
        <v>116065</v>
      </c>
      <c r="AS246">
        <v>5293939</v>
      </c>
      <c r="AT246">
        <v>245</v>
      </c>
      <c r="AU246" t="s">
        <v>84</v>
      </c>
      <c r="AV246">
        <v>562</v>
      </c>
      <c r="AW246" t="s">
        <v>85</v>
      </c>
      <c r="AX246" t="s">
        <v>86</v>
      </c>
      <c r="AY246">
        <v>562</v>
      </c>
      <c r="AZ246" t="s">
        <v>3117</v>
      </c>
      <c r="BA246" t="s">
        <v>88</v>
      </c>
    </row>
    <row r="247" spans="1:57" hidden="1" x14ac:dyDescent="0.2">
      <c r="A247" t="s">
        <v>3118</v>
      </c>
      <c r="B247" t="s">
        <v>3118</v>
      </c>
      <c r="C247" t="s">
        <v>3104</v>
      </c>
      <c r="D247" t="s">
        <v>3119</v>
      </c>
      <c r="E247" t="s">
        <v>3119</v>
      </c>
      <c r="G247" t="s">
        <v>56</v>
      </c>
      <c r="H247" t="s">
        <v>57</v>
      </c>
      <c r="I247" t="s">
        <v>93</v>
      </c>
      <c r="J247">
        <v>0</v>
      </c>
      <c r="K247" t="s">
        <v>406</v>
      </c>
      <c r="L247" t="s">
        <v>480</v>
      </c>
      <c r="M247" t="s">
        <v>7165</v>
      </c>
      <c r="N247" t="s">
        <v>7165</v>
      </c>
      <c r="O247" s="1" t="s">
        <v>183</v>
      </c>
      <c r="P247" t="s">
        <v>183</v>
      </c>
      <c r="Q247" s="1" t="s">
        <v>3090</v>
      </c>
      <c r="R247" s="1" t="s">
        <v>185</v>
      </c>
      <c r="S247" s="1" t="s">
        <v>186</v>
      </c>
      <c r="T247" s="1">
        <v>33</v>
      </c>
      <c r="U247" s="1">
        <v>1587</v>
      </c>
      <c r="V247" s="1" t="s">
        <v>169</v>
      </c>
      <c r="W247" s="1">
        <v>12617846</v>
      </c>
      <c r="X247" t="s">
        <v>3120</v>
      </c>
      <c r="Y247" t="s">
        <v>3121</v>
      </c>
      <c r="AA247" t="s">
        <v>68</v>
      </c>
      <c r="AB247" t="s">
        <v>3122</v>
      </c>
      <c r="AC247" t="s">
        <v>3123</v>
      </c>
      <c r="AD247" t="s">
        <v>3124</v>
      </c>
      <c r="AE247" t="s">
        <v>3125</v>
      </c>
      <c r="AF247" t="s">
        <v>73</v>
      </c>
      <c r="AG247" t="s">
        <v>3126</v>
      </c>
      <c r="AH247" t="s">
        <v>75</v>
      </c>
      <c r="AI247" t="s">
        <v>76</v>
      </c>
      <c r="AJ247" t="s">
        <v>77</v>
      </c>
      <c r="AK247" t="s">
        <v>3127</v>
      </c>
      <c r="AL247" t="s">
        <v>156</v>
      </c>
      <c r="AM247" t="s">
        <v>80</v>
      </c>
      <c r="AN247" t="s">
        <v>158</v>
      </c>
      <c r="AO247" t="s">
        <v>159</v>
      </c>
      <c r="AP247" t="s">
        <v>83</v>
      </c>
      <c r="AR247">
        <v>81464</v>
      </c>
      <c r="AS247">
        <v>5420845</v>
      </c>
      <c r="AT247">
        <v>281</v>
      </c>
      <c r="AU247" t="s">
        <v>84</v>
      </c>
      <c r="AV247">
        <v>562</v>
      </c>
      <c r="AW247" t="s">
        <v>85</v>
      </c>
      <c r="AX247" t="s">
        <v>86</v>
      </c>
      <c r="AY247">
        <v>562</v>
      </c>
      <c r="AZ247" t="s">
        <v>3128</v>
      </c>
      <c r="BA247" t="s">
        <v>88</v>
      </c>
    </row>
    <row r="248" spans="1:57" hidden="1" x14ac:dyDescent="0.2">
      <c r="A248" t="s">
        <v>3129</v>
      </c>
      <c r="B248" t="s">
        <v>3129</v>
      </c>
      <c r="C248" t="s">
        <v>3130</v>
      </c>
      <c r="D248" t="s">
        <v>3131</v>
      </c>
      <c r="E248" t="s">
        <v>3131</v>
      </c>
      <c r="G248" t="s">
        <v>56</v>
      </c>
      <c r="H248" t="s">
        <v>57</v>
      </c>
      <c r="I248" t="s">
        <v>93</v>
      </c>
      <c r="J248">
        <v>0</v>
      </c>
      <c r="K248" t="s">
        <v>3132</v>
      </c>
      <c r="L248" t="s">
        <v>3133</v>
      </c>
      <c r="M248" t="s">
        <v>60</v>
      </c>
      <c r="N248" t="s">
        <v>7165</v>
      </c>
      <c r="O248" s="1" t="s">
        <v>3134</v>
      </c>
      <c r="P248" t="s">
        <v>3135</v>
      </c>
      <c r="Q248" s="1" t="s">
        <v>3136</v>
      </c>
      <c r="R248" s="1" t="s">
        <v>64</v>
      </c>
      <c r="S248" s="1" t="s">
        <v>98</v>
      </c>
      <c r="T248" s="1">
        <v>162</v>
      </c>
      <c r="U248" s="1">
        <v>1544</v>
      </c>
      <c r="V248" s="1" t="s">
        <v>169</v>
      </c>
      <c r="W248" s="1">
        <v>11020076</v>
      </c>
      <c r="X248" t="s">
        <v>3137</v>
      </c>
      <c r="Y248" t="s">
        <v>3138</v>
      </c>
      <c r="AA248" t="s">
        <v>68</v>
      </c>
      <c r="AB248" t="s">
        <v>3139</v>
      </c>
      <c r="AC248" t="s">
        <v>3140</v>
      </c>
      <c r="AD248" t="s">
        <v>3141</v>
      </c>
      <c r="AE248" t="s">
        <v>3142</v>
      </c>
      <c r="AF248" t="s">
        <v>73</v>
      </c>
      <c r="AG248" t="s">
        <v>3143</v>
      </c>
      <c r="AH248" t="s">
        <v>75</v>
      </c>
      <c r="AI248" t="s">
        <v>76</v>
      </c>
      <c r="AJ248" t="s">
        <v>77</v>
      </c>
      <c r="AK248" t="s">
        <v>3144</v>
      </c>
      <c r="AL248" t="s">
        <v>156</v>
      </c>
      <c r="AM248" t="s">
        <v>80</v>
      </c>
      <c r="AN248" t="s">
        <v>81</v>
      </c>
      <c r="AO248" t="s">
        <v>82</v>
      </c>
      <c r="AP248" t="s">
        <v>83</v>
      </c>
      <c r="AQ248">
        <v>2018</v>
      </c>
      <c r="AR248">
        <v>169935</v>
      </c>
      <c r="AS248">
        <v>5124027</v>
      </c>
      <c r="AT248">
        <v>107</v>
      </c>
      <c r="AU248" t="s">
        <v>84</v>
      </c>
      <c r="AV248">
        <v>562</v>
      </c>
      <c r="AW248" t="s">
        <v>85</v>
      </c>
      <c r="AX248" t="s">
        <v>3145</v>
      </c>
      <c r="AY248">
        <v>562</v>
      </c>
      <c r="AZ248" t="s">
        <v>3146</v>
      </c>
      <c r="BA248" t="s">
        <v>88</v>
      </c>
    </row>
    <row r="249" spans="1:57" hidden="1" x14ac:dyDescent="0.2">
      <c r="A249" t="s">
        <v>3147</v>
      </c>
      <c r="B249" t="s">
        <v>3147</v>
      </c>
      <c r="C249" t="s">
        <v>3148</v>
      </c>
      <c r="D249" t="s">
        <v>3149</v>
      </c>
      <c r="E249" t="s">
        <v>3149</v>
      </c>
      <c r="G249" t="s">
        <v>56</v>
      </c>
      <c r="H249" t="s">
        <v>57</v>
      </c>
      <c r="I249" t="s">
        <v>93</v>
      </c>
      <c r="J249">
        <v>0</v>
      </c>
      <c r="K249" t="s">
        <v>3132</v>
      </c>
      <c r="L249" t="s">
        <v>3133</v>
      </c>
      <c r="M249" t="s">
        <v>60</v>
      </c>
      <c r="N249" t="s">
        <v>7165</v>
      </c>
      <c r="O249" s="1" t="s">
        <v>3150</v>
      </c>
      <c r="P249" t="s">
        <v>3151</v>
      </c>
      <c r="Q249" s="1" t="s">
        <v>144</v>
      </c>
      <c r="R249" s="1" t="s">
        <v>64</v>
      </c>
      <c r="S249" s="1" t="s">
        <v>98</v>
      </c>
      <c r="T249" s="1">
        <v>1611</v>
      </c>
      <c r="U249" s="1">
        <v>134246</v>
      </c>
      <c r="V249" s="1" t="s">
        <v>169</v>
      </c>
      <c r="W249" s="1">
        <v>11077291</v>
      </c>
      <c r="X249" t="s">
        <v>3152</v>
      </c>
      <c r="Y249" t="s">
        <v>3153</v>
      </c>
      <c r="AA249" t="s">
        <v>68</v>
      </c>
      <c r="AB249" t="s">
        <v>3154</v>
      </c>
      <c r="AC249" t="s">
        <v>3155</v>
      </c>
      <c r="AD249" t="s">
        <v>3156</v>
      </c>
      <c r="AE249" t="s">
        <v>3142</v>
      </c>
      <c r="AF249" t="s">
        <v>73</v>
      </c>
      <c r="AG249" t="s">
        <v>3157</v>
      </c>
      <c r="AH249" t="s">
        <v>75</v>
      </c>
      <c r="AI249" t="s">
        <v>76</v>
      </c>
      <c r="AJ249" t="s">
        <v>77</v>
      </c>
      <c r="AK249" t="s">
        <v>3158</v>
      </c>
      <c r="AL249" t="s">
        <v>156</v>
      </c>
      <c r="AM249" t="s">
        <v>80</v>
      </c>
      <c r="AN249" t="s">
        <v>81</v>
      </c>
      <c r="AO249" t="s">
        <v>82</v>
      </c>
      <c r="AP249" t="s">
        <v>83</v>
      </c>
      <c r="AQ249">
        <v>2018</v>
      </c>
      <c r="AR249">
        <v>130874</v>
      </c>
      <c r="AS249">
        <v>5140807</v>
      </c>
      <c r="AT249">
        <v>202</v>
      </c>
      <c r="AU249" t="s">
        <v>84</v>
      </c>
      <c r="AV249">
        <v>562</v>
      </c>
      <c r="AW249" t="s">
        <v>85</v>
      </c>
      <c r="AX249" t="s">
        <v>3145</v>
      </c>
      <c r="AY249">
        <v>562</v>
      </c>
      <c r="AZ249" t="s">
        <v>3159</v>
      </c>
      <c r="BA249" t="s">
        <v>88</v>
      </c>
      <c r="BC249" t="s">
        <v>3160</v>
      </c>
      <c r="BD249">
        <v>11</v>
      </c>
    </row>
    <row r="250" spans="1:57" hidden="1" x14ac:dyDescent="0.2">
      <c r="A250" t="s">
        <v>3161</v>
      </c>
      <c r="B250" t="s">
        <v>3161</v>
      </c>
      <c r="C250" t="s">
        <v>3162</v>
      </c>
      <c r="D250" t="s">
        <v>3163</v>
      </c>
      <c r="E250" t="s">
        <v>3163</v>
      </c>
      <c r="G250" t="s">
        <v>56</v>
      </c>
      <c r="H250" t="s">
        <v>57</v>
      </c>
      <c r="I250" t="s">
        <v>58</v>
      </c>
      <c r="J250" t="s">
        <v>3164</v>
      </c>
      <c r="K250" t="s">
        <v>3132</v>
      </c>
      <c r="L250" t="s">
        <v>3133</v>
      </c>
      <c r="M250" t="s">
        <v>60</v>
      </c>
      <c r="N250" t="s">
        <v>7165</v>
      </c>
      <c r="O250" s="1" t="s">
        <v>3165</v>
      </c>
      <c r="P250" t="s">
        <v>3166</v>
      </c>
      <c r="Q250" s="1" t="s">
        <v>144</v>
      </c>
      <c r="R250" s="1" t="s">
        <v>270</v>
      </c>
      <c r="S250" s="1" t="s">
        <v>3167</v>
      </c>
      <c r="T250" s="1">
        <v>7249</v>
      </c>
      <c r="U250" s="1">
        <v>85893</v>
      </c>
      <c r="V250" s="1" t="s">
        <v>169</v>
      </c>
      <c r="W250" s="1">
        <v>11587576</v>
      </c>
      <c r="X250" t="s">
        <v>3168</v>
      </c>
      <c r="Y250" t="s">
        <v>3169</v>
      </c>
      <c r="AA250" t="s">
        <v>68</v>
      </c>
      <c r="AB250" t="s">
        <v>3170</v>
      </c>
      <c r="AC250" t="s">
        <v>3171</v>
      </c>
      <c r="AD250" t="s">
        <v>3172</v>
      </c>
      <c r="AE250" t="s">
        <v>3142</v>
      </c>
      <c r="AF250" t="s">
        <v>73</v>
      </c>
      <c r="AG250" t="s">
        <v>3173</v>
      </c>
      <c r="AH250" t="s">
        <v>75</v>
      </c>
      <c r="AI250" t="s">
        <v>76</v>
      </c>
      <c r="AJ250" t="s">
        <v>77</v>
      </c>
      <c r="AK250" t="s">
        <v>3174</v>
      </c>
      <c r="AL250" t="s">
        <v>364</v>
      </c>
      <c r="AM250" t="s">
        <v>80</v>
      </c>
      <c r="AN250" t="s">
        <v>81</v>
      </c>
      <c r="AO250" t="s">
        <v>82</v>
      </c>
      <c r="AP250" t="s">
        <v>83</v>
      </c>
      <c r="AQ250">
        <v>2018</v>
      </c>
      <c r="AR250">
        <v>41363</v>
      </c>
      <c r="AS250">
        <v>5443180</v>
      </c>
      <c r="AT250">
        <v>445</v>
      </c>
      <c r="AU250" t="s">
        <v>84</v>
      </c>
      <c r="AV250">
        <v>562</v>
      </c>
      <c r="AW250" t="s">
        <v>85</v>
      </c>
      <c r="AX250" t="s">
        <v>3145</v>
      </c>
      <c r="AY250">
        <v>562</v>
      </c>
      <c r="AZ250" t="s">
        <v>3175</v>
      </c>
      <c r="BA250" t="s">
        <v>88</v>
      </c>
    </row>
    <row r="251" spans="1:57" hidden="1" x14ac:dyDescent="0.2">
      <c r="A251" t="s">
        <v>3176</v>
      </c>
      <c r="B251" t="s">
        <v>3176</v>
      </c>
      <c r="C251" t="s">
        <v>3177</v>
      </c>
      <c r="D251" t="s">
        <v>3178</v>
      </c>
      <c r="E251" t="s">
        <v>3178</v>
      </c>
      <c r="G251" t="s">
        <v>56</v>
      </c>
      <c r="H251" t="s">
        <v>57</v>
      </c>
      <c r="I251" t="s">
        <v>93</v>
      </c>
      <c r="J251">
        <v>0</v>
      </c>
      <c r="K251" t="s">
        <v>3132</v>
      </c>
      <c r="L251" t="s">
        <v>3133</v>
      </c>
      <c r="M251" t="s">
        <v>60</v>
      </c>
      <c r="N251" t="s">
        <v>7165</v>
      </c>
      <c r="O251" s="1" t="s">
        <v>3179</v>
      </c>
      <c r="P251" t="s">
        <v>3180</v>
      </c>
      <c r="Q251" s="1" t="s">
        <v>144</v>
      </c>
      <c r="R251" s="1" t="s">
        <v>64</v>
      </c>
      <c r="S251" s="1" t="s">
        <v>98</v>
      </c>
      <c r="T251" s="1">
        <v>1611</v>
      </c>
      <c r="U251" s="1">
        <v>134246</v>
      </c>
      <c r="V251" s="1" t="s">
        <v>3181</v>
      </c>
      <c r="W251" s="1">
        <v>11587602</v>
      </c>
      <c r="X251" t="s">
        <v>3182</v>
      </c>
      <c r="Y251" t="s">
        <v>3183</v>
      </c>
      <c r="AA251" t="s">
        <v>68</v>
      </c>
      <c r="AB251" t="s">
        <v>3184</v>
      </c>
      <c r="AC251" t="s">
        <v>3185</v>
      </c>
      <c r="AD251" t="s">
        <v>3186</v>
      </c>
      <c r="AE251" t="s">
        <v>3142</v>
      </c>
      <c r="AF251" t="s">
        <v>73</v>
      </c>
      <c r="AG251" t="s">
        <v>3187</v>
      </c>
      <c r="AH251" t="s">
        <v>75</v>
      </c>
      <c r="AI251" t="s">
        <v>76</v>
      </c>
      <c r="AJ251" t="s">
        <v>77</v>
      </c>
      <c r="AK251" t="s">
        <v>3188</v>
      </c>
      <c r="AL251" t="s">
        <v>156</v>
      </c>
      <c r="AM251" t="s">
        <v>80</v>
      </c>
      <c r="AN251" t="s">
        <v>81</v>
      </c>
      <c r="AO251" t="s">
        <v>82</v>
      </c>
      <c r="AP251" t="s">
        <v>83</v>
      </c>
      <c r="AQ251">
        <v>2018</v>
      </c>
      <c r="AR251">
        <v>50186</v>
      </c>
      <c r="AS251">
        <v>5045720</v>
      </c>
      <c r="AT251">
        <v>256</v>
      </c>
      <c r="AU251" t="s">
        <v>84</v>
      </c>
      <c r="AV251">
        <v>562</v>
      </c>
      <c r="AW251" t="s">
        <v>85</v>
      </c>
      <c r="AX251" t="s">
        <v>3145</v>
      </c>
      <c r="AY251">
        <v>562</v>
      </c>
      <c r="AZ251" t="s">
        <v>3189</v>
      </c>
      <c r="BA251" t="s">
        <v>88</v>
      </c>
      <c r="BC251" t="s">
        <v>3160</v>
      </c>
      <c r="BD251">
        <v>11</v>
      </c>
    </row>
    <row r="252" spans="1:57" hidden="1" x14ac:dyDescent="0.2">
      <c r="A252" t="s">
        <v>3190</v>
      </c>
      <c r="B252" t="s">
        <v>3190</v>
      </c>
      <c r="C252" t="s">
        <v>3191</v>
      </c>
      <c r="D252" t="s">
        <v>3192</v>
      </c>
      <c r="E252" t="s">
        <v>3192</v>
      </c>
      <c r="G252" t="s">
        <v>56</v>
      </c>
      <c r="H252" t="s">
        <v>57</v>
      </c>
      <c r="I252" t="s">
        <v>93</v>
      </c>
      <c r="J252">
        <v>0</v>
      </c>
      <c r="K252" t="s">
        <v>406</v>
      </c>
      <c r="L252" t="s">
        <v>3193</v>
      </c>
      <c r="M252" t="s">
        <v>7165</v>
      </c>
      <c r="N252" t="s">
        <v>7165</v>
      </c>
      <c r="O252" s="1" t="s">
        <v>3194</v>
      </c>
      <c r="P252" t="s">
        <v>3195</v>
      </c>
      <c r="Q252" s="1" t="s">
        <v>166</v>
      </c>
      <c r="R252" s="1" t="s">
        <v>167</v>
      </c>
      <c r="S252" s="1" t="s">
        <v>168</v>
      </c>
      <c r="T252" s="1">
        <v>15700</v>
      </c>
      <c r="U252" s="1">
        <v>168645</v>
      </c>
      <c r="V252" s="1" t="s">
        <v>3196</v>
      </c>
      <c r="W252" s="1">
        <v>11889268</v>
      </c>
      <c r="X252" t="s">
        <v>3197</v>
      </c>
      <c r="Y252" t="s">
        <v>3198</v>
      </c>
      <c r="AA252" t="s">
        <v>68</v>
      </c>
      <c r="AB252" t="s">
        <v>3199</v>
      </c>
      <c r="AC252" t="s">
        <v>3200</v>
      </c>
      <c r="AD252" t="s">
        <v>3201</v>
      </c>
      <c r="AE252" t="s">
        <v>3202</v>
      </c>
      <c r="AF252" t="s">
        <v>73</v>
      </c>
      <c r="AG252" t="s">
        <v>3203</v>
      </c>
      <c r="AH252" t="s">
        <v>75</v>
      </c>
      <c r="AI252" t="s">
        <v>76</v>
      </c>
      <c r="AJ252" t="s">
        <v>77</v>
      </c>
      <c r="AK252" t="s">
        <v>3204</v>
      </c>
      <c r="AL252" t="s">
        <v>107</v>
      </c>
      <c r="AM252" t="s">
        <v>80</v>
      </c>
      <c r="AN252" t="s">
        <v>158</v>
      </c>
      <c r="AO252" t="s">
        <v>159</v>
      </c>
      <c r="AP252" t="s">
        <v>83</v>
      </c>
      <c r="AR252">
        <v>85769</v>
      </c>
      <c r="AS252">
        <v>5006230</v>
      </c>
      <c r="AT252">
        <v>244</v>
      </c>
      <c r="AU252" t="s">
        <v>84</v>
      </c>
      <c r="AV252">
        <v>562</v>
      </c>
      <c r="AW252" t="s">
        <v>85</v>
      </c>
      <c r="AX252" t="s">
        <v>86</v>
      </c>
      <c r="AY252">
        <v>562</v>
      </c>
      <c r="AZ252" t="s">
        <v>3205</v>
      </c>
      <c r="BA252" t="s">
        <v>88</v>
      </c>
    </row>
    <row r="253" spans="1:57" hidden="1" x14ac:dyDescent="0.2">
      <c r="A253" t="s">
        <v>3206</v>
      </c>
      <c r="B253" t="s">
        <v>3206</v>
      </c>
      <c r="C253" t="s">
        <v>3207</v>
      </c>
      <c r="D253" t="s">
        <v>3208</v>
      </c>
      <c r="E253" t="s">
        <v>3208</v>
      </c>
      <c r="G253" t="s">
        <v>56</v>
      </c>
      <c r="H253" t="s">
        <v>57</v>
      </c>
      <c r="I253" t="s">
        <v>93</v>
      </c>
      <c r="J253">
        <v>0</v>
      </c>
      <c r="K253" t="s">
        <v>140</v>
      </c>
      <c r="L253" t="s">
        <v>3209</v>
      </c>
      <c r="M253" t="s">
        <v>7165</v>
      </c>
      <c r="N253" t="s">
        <v>7165</v>
      </c>
      <c r="O253" s="1" t="s">
        <v>3210</v>
      </c>
      <c r="P253" t="s">
        <v>3211</v>
      </c>
      <c r="Q253" s="1" t="s">
        <v>144</v>
      </c>
      <c r="R253" s="1" t="s">
        <v>64</v>
      </c>
      <c r="S253" s="1" t="s">
        <v>675</v>
      </c>
      <c r="T253" s="1">
        <v>6118</v>
      </c>
      <c r="U253" s="1">
        <v>168646</v>
      </c>
      <c r="V253" s="1" t="s">
        <v>3212</v>
      </c>
      <c r="W253" s="1">
        <v>11889187</v>
      </c>
      <c r="X253" t="s">
        <v>3213</v>
      </c>
      <c r="Y253" t="s">
        <v>3214</v>
      </c>
      <c r="AA253" t="s">
        <v>68</v>
      </c>
      <c r="AB253" t="s">
        <v>3215</v>
      </c>
      <c r="AC253" t="s">
        <v>3216</v>
      </c>
      <c r="AD253" t="s">
        <v>3217</v>
      </c>
      <c r="AE253" t="s">
        <v>3218</v>
      </c>
      <c r="AF253" t="s">
        <v>73</v>
      </c>
      <c r="AG253" t="s">
        <v>3219</v>
      </c>
      <c r="AH253" t="s">
        <v>3220</v>
      </c>
      <c r="AI253" t="s">
        <v>76</v>
      </c>
      <c r="AJ253" t="s">
        <v>77</v>
      </c>
      <c r="AK253" t="s">
        <v>3221</v>
      </c>
      <c r="AL253" t="s">
        <v>3222</v>
      </c>
      <c r="AM253" t="s">
        <v>3223</v>
      </c>
      <c r="AN253" t="s">
        <v>158</v>
      </c>
      <c r="AO253" t="s">
        <v>159</v>
      </c>
      <c r="AP253" t="s">
        <v>83</v>
      </c>
      <c r="AR253">
        <v>90848</v>
      </c>
      <c r="AS253">
        <v>5271367</v>
      </c>
      <c r="AT253">
        <v>219</v>
      </c>
      <c r="AU253" t="s">
        <v>84</v>
      </c>
      <c r="AV253">
        <v>562</v>
      </c>
      <c r="AW253" t="s">
        <v>85</v>
      </c>
      <c r="AX253" t="s">
        <v>86</v>
      </c>
      <c r="AY253">
        <v>562</v>
      </c>
      <c r="AZ253" t="s">
        <v>3224</v>
      </c>
      <c r="BA253" t="s">
        <v>88</v>
      </c>
    </row>
    <row r="254" spans="1:57" hidden="1" x14ac:dyDescent="0.2">
      <c r="A254" t="s">
        <v>3225</v>
      </c>
      <c r="B254" t="s">
        <v>3225</v>
      </c>
      <c r="C254" t="s">
        <v>3226</v>
      </c>
      <c r="D254" t="s">
        <v>3227</v>
      </c>
      <c r="E254" t="s">
        <v>3227</v>
      </c>
      <c r="G254" t="s">
        <v>56</v>
      </c>
      <c r="H254" t="s">
        <v>57</v>
      </c>
      <c r="I254" t="s">
        <v>58</v>
      </c>
      <c r="J254" t="s">
        <v>3228</v>
      </c>
      <c r="K254" t="s">
        <v>406</v>
      </c>
      <c r="L254" t="s">
        <v>389</v>
      </c>
      <c r="M254" t="s">
        <v>7165</v>
      </c>
      <c r="N254" t="s">
        <v>7165</v>
      </c>
      <c r="O254" s="1" t="s">
        <v>208</v>
      </c>
      <c r="P254" t="s">
        <v>209</v>
      </c>
      <c r="Q254" s="1" t="s">
        <v>234</v>
      </c>
      <c r="R254" s="1" t="s">
        <v>167</v>
      </c>
      <c r="S254" s="1" t="s">
        <v>210</v>
      </c>
      <c r="T254" s="1">
        <v>675</v>
      </c>
      <c r="U254" s="1">
        <v>168721</v>
      </c>
      <c r="V254" s="1" t="s">
        <v>3229</v>
      </c>
      <c r="W254" s="1">
        <v>11439913</v>
      </c>
      <c r="X254" t="s">
        <v>3230</v>
      </c>
      <c r="Y254" t="s">
        <v>3231</v>
      </c>
      <c r="AA254" t="s">
        <v>68</v>
      </c>
      <c r="AB254" t="s">
        <v>3232</v>
      </c>
      <c r="AC254" t="s">
        <v>3233</v>
      </c>
      <c r="AD254" t="s">
        <v>3234</v>
      </c>
      <c r="AE254" t="s">
        <v>3235</v>
      </c>
      <c r="AF254" t="s">
        <v>73</v>
      </c>
      <c r="AG254" t="s">
        <v>3236</v>
      </c>
      <c r="AH254" t="s">
        <v>2095</v>
      </c>
      <c r="AI254" t="s">
        <v>76</v>
      </c>
      <c r="AJ254" t="s">
        <v>77</v>
      </c>
      <c r="AK254" t="s">
        <v>3237</v>
      </c>
      <c r="AL254" t="s">
        <v>364</v>
      </c>
      <c r="AM254" t="s">
        <v>3238</v>
      </c>
      <c r="AN254" t="s">
        <v>158</v>
      </c>
      <c r="AO254" t="s">
        <v>159</v>
      </c>
      <c r="AP254" t="s">
        <v>83</v>
      </c>
      <c r="AR254">
        <v>140844</v>
      </c>
      <c r="AS254">
        <v>5573635</v>
      </c>
      <c r="AT254">
        <v>148</v>
      </c>
      <c r="AU254" t="s">
        <v>84</v>
      </c>
      <c r="AV254">
        <v>562</v>
      </c>
      <c r="AW254" t="s">
        <v>85</v>
      </c>
      <c r="AX254" t="s">
        <v>86</v>
      </c>
      <c r="AY254">
        <v>562</v>
      </c>
      <c r="AZ254" t="s">
        <v>3239</v>
      </c>
      <c r="BA254" t="s">
        <v>88</v>
      </c>
    </row>
    <row r="255" spans="1:57" hidden="1" x14ac:dyDescent="0.2">
      <c r="A255" t="s">
        <v>3240</v>
      </c>
      <c r="B255" t="s">
        <v>3240</v>
      </c>
      <c r="C255" t="s">
        <v>3241</v>
      </c>
      <c r="D255" t="s">
        <v>3242</v>
      </c>
      <c r="E255" t="s">
        <v>3242</v>
      </c>
      <c r="G255" t="s">
        <v>56</v>
      </c>
      <c r="H255" t="s">
        <v>57</v>
      </c>
      <c r="I255" t="s">
        <v>93</v>
      </c>
      <c r="J255">
        <v>0</v>
      </c>
      <c r="K255" t="s">
        <v>447</v>
      </c>
      <c r="L255" t="s">
        <v>3243</v>
      </c>
      <c r="M255" t="s">
        <v>7165</v>
      </c>
      <c r="N255" t="s">
        <v>7165</v>
      </c>
      <c r="O255" s="1" t="s">
        <v>448</v>
      </c>
      <c r="P255" t="s">
        <v>3244</v>
      </c>
      <c r="Q255" s="1" t="s">
        <v>3090</v>
      </c>
      <c r="R255" s="1" t="s">
        <v>434</v>
      </c>
      <c r="S255" s="1" t="s">
        <v>451</v>
      </c>
      <c r="T255" s="1">
        <v>25</v>
      </c>
      <c r="U255" s="1">
        <v>30074</v>
      </c>
      <c r="V255" s="1" t="s">
        <v>3196</v>
      </c>
      <c r="W255" s="1">
        <v>11587507</v>
      </c>
      <c r="X255" t="s">
        <v>3245</v>
      </c>
      <c r="Y255" t="s">
        <v>3246</v>
      </c>
      <c r="AA255" t="s">
        <v>68</v>
      </c>
      <c r="AB255" t="s">
        <v>3247</v>
      </c>
      <c r="AC255" t="s">
        <v>3248</v>
      </c>
      <c r="AD255" t="s">
        <v>3249</v>
      </c>
      <c r="AE255" t="s">
        <v>3250</v>
      </c>
      <c r="AF255" t="s">
        <v>73</v>
      </c>
      <c r="AG255" t="s">
        <v>3251</v>
      </c>
      <c r="AH255" t="s">
        <v>3252</v>
      </c>
      <c r="AI255" t="s">
        <v>76</v>
      </c>
      <c r="AJ255" t="s">
        <v>77</v>
      </c>
      <c r="AK255" t="s">
        <v>3253</v>
      </c>
      <c r="AL255" t="s">
        <v>156</v>
      </c>
      <c r="AM255" t="s">
        <v>3254</v>
      </c>
      <c r="AN255" t="s">
        <v>158</v>
      </c>
      <c r="AO255" t="s">
        <v>159</v>
      </c>
      <c r="AP255" t="s">
        <v>83</v>
      </c>
      <c r="AR255">
        <v>141997</v>
      </c>
      <c r="AS255">
        <v>5572596</v>
      </c>
      <c r="AT255">
        <v>143</v>
      </c>
      <c r="AU255" t="s">
        <v>84</v>
      </c>
      <c r="AV255">
        <v>562</v>
      </c>
      <c r="AW255" t="s">
        <v>85</v>
      </c>
      <c r="AX255" t="s">
        <v>86</v>
      </c>
      <c r="AY255">
        <v>562</v>
      </c>
      <c r="AZ255" t="s">
        <v>3255</v>
      </c>
      <c r="BA255" t="s">
        <v>88</v>
      </c>
      <c r="BC255" t="s">
        <v>3256</v>
      </c>
      <c r="BD255">
        <v>1</v>
      </c>
    </row>
    <row r="256" spans="1:57" hidden="1" x14ac:dyDescent="0.2">
      <c r="A256" t="s">
        <v>3257</v>
      </c>
      <c r="B256" t="s">
        <v>3257</v>
      </c>
      <c r="C256" t="s">
        <v>3258</v>
      </c>
      <c r="D256" t="s">
        <v>3259</v>
      </c>
      <c r="E256" t="s">
        <v>3259</v>
      </c>
      <c r="G256" t="s">
        <v>56</v>
      </c>
      <c r="H256" t="s">
        <v>57</v>
      </c>
      <c r="I256" t="s">
        <v>58</v>
      </c>
      <c r="J256" t="s">
        <v>3228</v>
      </c>
      <c r="K256" t="s">
        <v>140</v>
      </c>
      <c r="L256" t="s">
        <v>3260</v>
      </c>
      <c r="M256" t="s">
        <v>7165</v>
      </c>
      <c r="N256" t="s">
        <v>7165</v>
      </c>
      <c r="O256" s="1" t="s">
        <v>3261</v>
      </c>
      <c r="P256" t="s">
        <v>3262</v>
      </c>
      <c r="Q256" s="1" t="s">
        <v>126</v>
      </c>
      <c r="R256" s="1" t="s">
        <v>3263</v>
      </c>
      <c r="S256" s="1" t="s">
        <v>3264</v>
      </c>
      <c r="T256" s="1">
        <v>10</v>
      </c>
      <c r="U256" s="1">
        <v>168635</v>
      </c>
      <c r="V256" s="1" t="s">
        <v>3265</v>
      </c>
      <c r="W256" s="1">
        <v>11587507</v>
      </c>
      <c r="X256" t="s">
        <v>3266</v>
      </c>
      <c r="Y256" t="s">
        <v>3267</v>
      </c>
      <c r="AA256" t="s">
        <v>68</v>
      </c>
      <c r="AB256" t="s">
        <v>3268</v>
      </c>
      <c r="AC256" t="s">
        <v>3269</v>
      </c>
      <c r="AD256" t="s">
        <v>3270</v>
      </c>
      <c r="AE256" t="s">
        <v>3271</v>
      </c>
      <c r="AF256" t="s">
        <v>73</v>
      </c>
      <c r="AG256" t="s">
        <v>3272</v>
      </c>
      <c r="AI256" t="s">
        <v>76</v>
      </c>
      <c r="AJ256" t="s">
        <v>77</v>
      </c>
      <c r="AK256" t="s">
        <v>3273</v>
      </c>
      <c r="AL256" t="s">
        <v>364</v>
      </c>
      <c r="AM256" t="s">
        <v>3274</v>
      </c>
      <c r="AN256" t="s">
        <v>158</v>
      </c>
      <c r="AO256" t="s">
        <v>159</v>
      </c>
      <c r="AP256" t="s">
        <v>83</v>
      </c>
      <c r="AR256">
        <v>89273</v>
      </c>
      <c r="AS256">
        <v>4946326</v>
      </c>
      <c r="AT256">
        <v>170</v>
      </c>
      <c r="AU256" t="s">
        <v>84</v>
      </c>
      <c r="AV256">
        <v>562</v>
      </c>
      <c r="AW256" t="s">
        <v>85</v>
      </c>
      <c r="AX256" t="s">
        <v>86</v>
      </c>
      <c r="AY256">
        <v>562</v>
      </c>
      <c r="AZ256" t="s">
        <v>3275</v>
      </c>
      <c r="BA256" t="s">
        <v>88</v>
      </c>
    </row>
    <row r="257" spans="1:57" hidden="1" x14ac:dyDescent="0.2">
      <c r="A257" t="s">
        <v>3276</v>
      </c>
      <c r="B257" t="s">
        <v>3276</v>
      </c>
      <c r="C257" t="s">
        <v>3277</v>
      </c>
      <c r="D257" t="s">
        <v>3278</v>
      </c>
      <c r="E257" t="s">
        <v>3278</v>
      </c>
      <c r="G257" t="s">
        <v>56</v>
      </c>
      <c r="H257" t="s">
        <v>57</v>
      </c>
      <c r="I257" t="s">
        <v>93</v>
      </c>
      <c r="J257">
        <v>0</v>
      </c>
      <c r="K257" t="s">
        <v>140</v>
      </c>
      <c r="L257" t="s">
        <v>141</v>
      </c>
      <c r="M257" t="s">
        <v>7165</v>
      </c>
      <c r="N257" t="s">
        <v>7165</v>
      </c>
      <c r="O257" s="1" t="s">
        <v>183</v>
      </c>
      <c r="P257" t="s">
        <v>3279</v>
      </c>
      <c r="Q257" s="1" t="s">
        <v>126</v>
      </c>
      <c r="R257" s="1" t="s">
        <v>185</v>
      </c>
      <c r="S257" s="1" t="s">
        <v>186</v>
      </c>
      <c r="T257" s="1">
        <v>33</v>
      </c>
      <c r="U257" s="1">
        <v>1587</v>
      </c>
      <c r="V257" s="1" t="s">
        <v>169</v>
      </c>
      <c r="W257" s="1">
        <v>11774122</v>
      </c>
      <c r="X257" t="s">
        <v>3280</v>
      </c>
      <c r="Y257" t="s">
        <v>3281</v>
      </c>
      <c r="AA257" t="s">
        <v>68</v>
      </c>
      <c r="AB257" t="s">
        <v>3282</v>
      </c>
      <c r="AC257" t="s">
        <v>3283</v>
      </c>
      <c r="AD257" t="s">
        <v>3284</v>
      </c>
      <c r="AE257" t="s">
        <v>3285</v>
      </c>
      <c r="AF257" t="s">
        <v>73</v>
      </c>
      <c r="AG257" t="s">
        <v>3286</v>
      </c>
      <c r="AH257" t="s">
        <v>75</v>
      </c>
      <c r="AI257" t="s">
        <v>76</v>
      </c>
      <c r="AJ257" t="s">
        <v>77</v>
      </c>
      <c r="AK257" t="s">
        <v>3287</v>
      </c>
      <c r="AL257" t="s">
        <v>546</v>
      </c>
      <c r="AM257" t="s">
        <v>80</v>
      </c>
      <c r="AN257" t="s">
        <v>158</v>
      </c>
      <c r="AO257" t="s">
        <v>159</v>
      </c>
      <c r="AP257" t="s">
        <v>83</v>
      </c>
      <c r="AR257">
        <v>50004</v>
      </c>
      <c r="AS257">
        <v>5401913</v>
      </c>
      <c r="AT257">
        <v>332</v>
      </c>
      <c r="AU257" t="s">
        <v>84</v>
      </c>
      <c r="AV257">
        <v>562</v>
      </c>
      <c r="AW257" t="s">
        <v>85</v>
      </c>
      <c r="AX257" t="s">
        <v>86</v>
      </c>
      <c r="AY257">
        <v>562</v>
      </c>
      <c r="AZ257" t="s">
        <v>3288</v>
      </c>
      <c r="BA257" t="s">
        <v>88</v>
      </c>
    </row>
    <row r="258" spans="1:57" hidden="1" x14ac:dyDescent="0.2">
      <c r="A258" t="s">
        <v>3289</v>
      </c>
      <c r="B258" t="s">
        <v>3289</v>
      </c>
      <c r="C258" t="s">
        <v>3290</v>
      </c>
      <c r="D258" t="s">
        <v>3291</v>
      </c>
      <c r="E258" t="s">
        <v>3291</v>
      </c>
      <c r="G258" t="s">
        <v>56</v>
      </c>
      <c r="H258" t="s">
        <v>57</v>
      </c>
      <c r="I258" t="s">
        <v>93</v>
      </c>
      <c r="J258">
        <v>0</v>
      </c>
      <c r="K258" t="s">
        <v>140</v>
      </c>
      <c r="L258" t="s">
        <v>141</v>
      </c>
      <c r="M258" t="s">
        <v>7165</v>
      </c>
      <c r="N258" t="s">
        <v>7165</v>
      </c>
      <c r="O258" s="1" t="s">
        <v>124</v>
      </c>
      <c r="P258" t="s">
        <v>3292</v>
      </c>
      <c r="Q258" s="1" t="s">
        <v>3090</v>
      </c>
      <c r="R258" s="1" t="s">
        <v>127</v>
      </c>
      <c r="S258" s="1" t="s">
        <v>128</v>
      </c>
      <c r="T258" s="1">
        <v>154</v>
      </c>
      <c r="U258" s="1">
        <v>30050</v>
      </c>
      <c r="V258" s="1" t="s">
        <v>3196</v>
      </c>
      <c r="W258" s="1">
        <v>11911991</v>
      </c>
      <c r="X258" t="s">
        <v>3293</v>
      </c>
      <c r="Y258" t="s">
        <v>3294</v>
      </c>
      <c r="AA258" t="s">
        <v>68</v>
      </c>
      <c r="AB258" t="s">
        <v>3295</v>
      </c>
      <c r="AC258" t="s">
        <v>3296</v>
      </c>
      <c r="AD258" t="s">
        <v>3297</v>
      </c>
      <c r="AE258" t="s">
        <v>3285</v>
      </c>
      <c r="AF258" t="s">
        <v>73</v>
      </c>
      <c r="AG258" t="s">
        <v>3298</v>
      </c>
      <c r="AH258" t="s">
        <v>75</v>
      </c>
      <c r="AI258" t="s">
        <v>76</v>
      </c>
      <c r="AJ258" t="s">
        <v>77</v>
      </c>
      <c r="AK258" t="s">
        <v>3299</v>
      </c>
      <c r="AL258" t="s">
        <v>107</v>
      </c>
      <c r="AM258" t="s">
        <v>80</v>
      </c>
      <c r="AN258" t="s">
        <v>158</v>
      </c>
      <c r="AO258" t="s">
        <v>159</v>
      </c>
      <c r="AP258" t="s">
        <v>83</v>
      </c>
      <c r="AR258">
        <v>123308</v>
      </c>
      <c r="AS258">
        <v>4948333</v>
      </c>
      <c r="AT258">
        <v>184</v>
      </c>
      <c r="AU258" t="s">
        <v>84</v>
      </c>
      <c r="AV258">
        <v>562</v>
      </c>
      <c r="AW258" t="s">
        <v>85</v>
      </c>
      <c r="AX258" t="s">
        <v>86</v>
      </c>
      <c r="AY258">
        <v>562</v>
      </c>
      <c r="AZ258" t="s">
        <v>3300</v>
      </c>
      <c r="BA258" t="s">
        <v>88</v>
      </c>
    </row>
    <row r="259" spans="1:57" hidden="1" x14ac:dyDescent="0.2">
      <c r="A259" t="s">
        <v>3301</v>
      </c>
      <c r="B259" t="s">
        <v>3302</v>
      </c>
      <c r="C259" t="s">
        <v>3303</v>
      </c>
      <c r="D259" t="s">
        <v>3304</v>
      </c>
      <c r="E259" t="s">
        <v>3304</v>
      </c>
      <c r="G259" t="s">
        <v>56</v>
      </c>
      <c r="H259" t="s">
        <v>57</v>
      </c>
      <c r="I259" t="s">
        <v>58</v>
      </c>
      <c r="J259" t="e">
        <v>#N/A</v>
      </c>
      <c r="K259" t="s">
        <v>3305</v>
      </c>
      <c r="L259" t="s">
        <v>3305</v>
      </c>
      <c r="M259" t="s">
        <v>7165</v>
      </c>
      <c r="N259" t="s">
        <v>7165</v>
      </c>
      <c r="O259" s="1" t="s">
        <v>603</v>
      </c>
      <c r="P259" t="s">
        <v>649</v>
      </c>
      <c r="Q259" s="1" t="s">
        <v>674</v>
      </c>
      <c r="R259" s="1" t="s">
        <v>64</v>
      </c>
      <c r="S259" s="1" t="s">
        <v>675</v>
      </c>
      <c r="T259" s="1">
        <v>11</v>
      </c>
      <c r="U259" s="1">
        <v>2124</v>
      </c>
      <c r="V259" s="1" t="s">
        <v>651</v>
      </c>
      <c r="W259" s="1">
        <v>10634302</v>
      </c>
      <c r="X259" t="s">
        <v>3306</v>
      </c>
      <c r="Y259" t="s">
        <v>3307</v>
      </c>
      <c r="AA259" t="s">
        <v>68</v>
      </c>
      <c r="AB259" t="s">
        <v>3308</v>
      </c>
      <c r="AC259" t="s">
        <v>3309</v>
      </c>
      <c r="AD259" t="s">
        <v>3310</v>
      </c>
      <c r="AE259" t="s">
        <v>3311</v>
      </c>
      <c r="AF259" t="s">
        <v>73</v>
      </c>
      <c r="AG259" t="s">
        <v>3312</v>
      </c>
      <c r="AH259" t="s">
        <v>75</v>
      </c>
      <c r="AI259" t="s">
        <v>76</v>
      </c>
      <c r="AJ259" t="s">
        <v>77</v>
      </c>
      <c r="AK259" t="s">
        <v>780</v>
      </c>
      <c r="AL259" t="s">
        <v>615</v>
      </c>
      <c r="AM259" t="s">
        <v>616</v>
      </c>
      <c r="AN259" t="s">
        <v>81</v>
      </c>
      <c r="AO259" t="s">
        <v>82</v>
      </c>
      <c r="AP259" t="s">
        <v>83</v>
      </c>
      <c r="AQ259">
        <v>2018</v>
      </c>
      <c r="AR259">
        <v>77252</v>
      </c>
      <c r="AS259">
        <v>5288913</v>
      </c>
      <c r="AT259">
        <v>284</v>
      </c>
      <c r="AU259" t="s">
        <v>84</v>
      </c>
      <c r="AV259">
        <v>562</v>
      </c>
      <c r="AW259" t="s">
        <v>85</v>
      </c>
      <c r="AX259" t="s">
        <v>86</v>
      </c>
      <c r="AY259">
        <v>562</v>
      </c>
      <c r="AZ259" t="s">
        <v>3313</v>
      </c>
      <c r="BA259" t="s">
        <v>88</v>
      </c>
      <c r="BC259" t="s">
        <v>841</v>
      </c>
      <c r="BD259">
        <v>1</v>
      </c>
      <c r="BE259">
        <v>1</v>
      </c>
    </row>
    <row r="260" spans="1:57" hidden="1" x14ac:dyDescent="0.2">
      <c r="A260" t="s">
        <v>3314</v>
      </c>
      <c r="B260" t="s">
        <v>3314</v>
      </c>
      <c r="C260" t="s">
        <v>3315</v>
      </c>
      <c r="D260" t="s">
        <v>3316</v>
      </c>
      <c r="E260" t="s">
        <v>3316</v>
      </c>
      <c r="G260" t="s">
        <v>56</v>
      </c>
      <c r="H260" t="s">
        <v>57</v>
      </c>
      <c r="I260" t="s">
        <v>93</v>
      </c>
      <c r="J260">
        <v>0</v>
      </c>
      <c r="K260" t="s">
        <v>406</v>
      </c>
      <c r="L260" t="s">
        <v>3317</v>
      </c>
      <c r="M260" t="s">
        <v>7165</v>
      </c>
      <c r="N260" t="s">
        <v>7165</v>
      </c>
      <c r="O260" s="1" t="s">
        <v>183</v>
      </c>
      <c r="P260" t="s">
        <v>184</v>
      </c>
      <c r="Q260" s="1" t="s">
        <v>126</v>
      </c>
      <c r="R260" s="1" t="s">
        <v>185</v>
      </c>
      <c r="S260" s="1" t="s">
        <v>3318</v>
      </c>
      <c r="T260" s="1">
        <v>33</v>
      </c>
      <c r="U260" s="1">
        <v>1587</v>
      </c>
      <c r="V260" s="1" t="s">
        <v>169</v>
      </c>
      <c r="W260" s="1">
        <v>11625052</v>
      </c>
      <c r="X260" t="s">
        <v>3319</v>
      </c>
      <c r="Y260" t="s">
        <v>3320</v>
      </c>
      <c r="AA260" t="s">
        <v>68</v>
      </c>
      <c r="AB260" t="s">
        <v>3321</v>
      </c>
      <c r="AC260" t="s">
        <v>3322</v>
      </c>
      <c r="AD260" t="s">
        <v>3323</v>
      </c>
      <c r="AE260" t="s">
        <v>3324</v>
      </c>
      <c r="AF260" t="s">
        <v>73</v>
      </c>
      <c r="AG260" t="s">
        <v>3325</v>
      </c>
      <c r="AH260" t="s">
        <v>75</v>
      </c>
      <c r="AI260" t="s">
        <v>76</v>
      </c>
      <c r="AJ260" t="s">
        <v>77</v>
      </c>
      <c r="AK260" t="s">
        <v>3326</v>
      </c>
      <c r="AL260" t="s">
        <v>156</v>
      </c>
      <c r="AM260" t="s">
        <v>80</v>
      </c>
      <c r="AN260" t="s">
        <v>158</v>
      </c>
      <c r="AO260" t="s">
        <v>159</v>
      </c>
      <c r="AP260" t="s">
        <v>83</v>
      </c>
      <c r="AR260">
        <v>71366</v>
      </c>
      <c r="AS260">
        <v>5583472</v>
      </c>
      <c r="AT260">
        <v>248</v>
      </c>
      <c r="AU260" t="s">
        <v>84</v>
      </c>
      <c r="AV260">
        <v>562</v>
      </c>
      <c r="AW260" t="s">
        <v>85</v>
      </c>
      <c r="AX260" t="s">
        <v>86</v>
      </c>
      <c r="AY260">
        <v>562</v>
      </c>
      <c r="AZ260" t="s">
        <v>3327</v>
      </c>
      <c r="BA260" t="s">
        <v>88</v>
      </c>
    </row>
    <row r="261" spans="1:57" hidden="1" x14ac:dyDescent="0.2">
      <c r="A261" t="s">
        <v>3328</v>
      </c>
      <c r="B261" t="s">
        <v>3328</v>
      </c>
      <c r="C261" t="s">
        <v>3329</v>
      </c>
      <c r="D261" t="s">
        <v>3330</v>
      </c>
      <c r="E261" t="s">
        <v>3330</v>
      </c>
      <c r="G261" t="s">
        <v>56</v>
      </c>
      <c r="H261" t="s">
        <v>57</v>
      </c>
      <c r="I261" t="s">
        <v>93</v>
      </c>
      <c r="J261">
        <v>0</v>
      </c>
      <c r="K261" t="s">
        <v>140</v>
      </c>
      <c r="L261" t="s">
        <v>141</v>
      </c>
      <c r="M261" t="s">
        <v>7165</v>
      </c>
      <c r="N261" t="s">
        <v>7165</v>
      </c>
      <c r="O261" s="1" t="s">
        <v>3331</v>
      </c>
      <c r="P261" t="s">
        <v>3332</v>
      </c>
      <c r="Q261" s="1" t="s">
        <v>3090</v>
      </c>
      <c r="R261" s="1" t="s">
        <v>127</v>
      </c>
      <c r="S261" s="1" t="s">
        <v>3333</v>
      </c>
      <c r="T261" s="1">
        <v>657</v>
      </c>
      <c r="U261" s="1">
        <v>168639</v>
      </c>
      <c r="V261" s="1" t="s">
        <v>3334</v>
      </c>
      <c r="W261" s="1">
        <v>11625100</v>
      </c>
      <c r="X261" t="s">
        <v>3335</v>
      </c>
      <c r="Y261" t="s">
        <v>3336</v>
      </c>
      <c r="AA261" t="s">
        <v>68</v>
      </c>
      <c r="AB261" t="s">
        <v>3337</v>
      </c>
      <c r="AC261" t="s">
        <v>3338</v>
      </c>
      <c r="AD261" t="s">
        <v>3339</v>
      </c>
      <c r="AE261" t="s">
        <v>3218</v>
      </c>
      <c r="AF261" t="s">
        <v>73</v>
      </c>
      <c r="AG261" t="s">
        <v>3340</v>
      </c>
      <c r="AH261" t="s">
        <v>3341</v>
      </c>
      <c r="AI261" t="s">
        <v>76</v>
      </c>
      <c r="AJ261" t="s">
        <v>77</v>
      </c>
      <c r="AK261" t="s">
        <v>3342</v>
      </c>
      <c r="AL261" t="s">
        <v>156</v>
      </c>
      <c r="AM261" t="s">
        <v>3343</v>
      </c>
      <c r="AN261" t="s">
        <v>158</v>
      </c>
      <c r="AO261" t="s">
        <v>159</v>
      </c>
      <c r="AP261" t="s">
        <v>83</v>
      </c>
      <c r="AR261">
        <v>239411</v>
      </c>
      <c r="AS261">
        <v>4961783</v>
      </c>
      <c r="AT261">
        <v>68</v>
      </c>
      <c r="AU261" t="s">
        <v>84</v>
      </c>
      <c r="AV261">
        <v>562</v>
      </c>
      <c r="AW261" t="s">
        <v>85</v>
      </c>
      <c r="AX261" t="s">
        <v>86</v>
      </c>
      <c r="AY261">
        <v>562</v>
      </c>
      <c r="AZ261" t="s">
        <v>3344</v>
      </c>
      <c r="BA261" t="s">
        <v>88</v>
      </c>
    </row>
    <row r="262" spans="1:57" hidden="1" x14ac:dyDescent="0.2">
      <c r="A262" t="s">
        <v>3345</v>
      </c>
      <c r="B262" t="s">
        <v>3345</v>
      </c>
      <c r="C262" t="s">
        <v>3346</v>
      </c>
      <c r="D262" t="s">
        <v>3347</v>
      </c>
      <c r="E262" t="s">
        <v>3347</v>
      </c>
      <c r="G262" t="s">
        <v>56</v>
      </c>
      <c r="H262" t="s">
        <v>57</v>
      </c>
      <c r="I262" t="s">
        <v>93</v>
      </c>
      <c r="J262">
        <v>0</v>
      </c>
      <c r="K262" t="s">
        <v>447</v>
      </c>
      <c r="L262" t="s">
        <v>3348</v>
      </c>
      <c r="M262" t="s">
        <v>7165</v>
      </c>
      <c r="N262" t="s">
        <v>7165</v>
      </c>
      <c r="O262" s="1" t="s">
        <v>448</v>
      </c>
      <c r="P262" t="s">
        <v>3349</v>
      </c>
      <c r="Q262" s="1" t="s">
        <v>126</v>
      </c>
      <c r="R262" s="1" t="s">
        <v>3350</v>
      </c>
      <c r="S262" s="1" t="s">
        <v>3351</v>
      </c>
      <c r="T262" s="1">
        <v>25</v>
      </c>
      <c r="U262" s="1">
        <v>30074</v>
      </c>
      <c r="V262" s="1" t="s">
        <v>3196</v>
      </c>
      <c r="W262" s="1">
        <v>11625377</v>
      </c>
      <c r="X262" t="s">
        <v>3352</v>
      </c>
      <c r="Y262" t="s">
        <v>3353</v>
      </c>
      <c r="AA262" t="s">
        <v>68</v>
      </c>
      <c r="AB262" t="s">
        <v>3354</v>
      </c>
      <c r="AC262" t="s">
        <v>3355</v>
      </c>
      <c r="AD262" t="s">
        <v>3356</v>
      </c>
      <c r="AE262" t="s">
        <v>3357</v>
      </c>
      <c r="AF262" t="s">
        <v>73</v>
      </c>
      <c r="AG262" t="s">
        <v>3358</v>
      </c>
      <c r="AH262" t="s">
        <v>75</v>
      </c>
      <c r="AI262" t="s">
        <v>76</v>
      </c>
      <c r="AJ262" t="s">
        <v>77</v>
      </c>
      <c r="AK262" t="s">
        <v>3359</v>
      </c>
      <c r="AL262" t="s">
        <v>156</v>
      </c>
      <c r="AM262" t="s">
        <v>80</v>
      </c>
      <c r="AN262" t="s">
        <v>158</v>
      </c>
      <c r="AO262" t="s">
        <v>159</v>
      </c>
      <c r="AP262" t="s">
        <v>83</v>
      </c>
      <c r="AR262">
        <v>104445</v>
      </c>
      <c r="AS262">
        <v>5636000</v>
      </c>
      <c r="AT262">
        <v>246</v>
      </c>
      <c r="AU262" t="s">
        <v>84</v>
      </c>
      <c r="AV262">
        <v>562</v>
      </c>
      <c r="AW262" t="s">
        <v>85</v>
      </c>
      <c r="AX262" t="s">
        <v>86</v>
      </c>
      <c r="AY262">
        <v>562</v>
      </c>
      <c r="AZ262" t="s">
        <v>3360</v>
      </c>
      <c r="BA262" t="s">
        <v>88</v>
      </c>
    </row>
    <row r="263" spans="1:57" hidden="1" x14ac:dyDescent="0.2">
      <c r="A263" t="s">
        <v>3361</v>
      </c>
      <c r="B263" t="s">
        <v>3361</v>
      </c>
      <c r="C263" t="s">
        <v>3362</v>
      </c>
      <c r="D263" t="s">
        <v>3363</v>
      </c>
      <c r="E263" s="2" t="s">
        <v>3364</v>
      </c>
      <c r="G263" t="s">
        <v>56</v>
      </c>
      <c r="H263" t="s">
        <v>57</v>
      </c>
      <c r="I263" t="s">
        <v>58</v>
      </c>
      <c r="J263" t="s">
        <v>3365</v>
      </c>
      <c r="K263" t="s">
        <v>352</v>
      </c>
      <c r="L263" t="s">
        <v>352</v>
      </c>
      <c r="M263" t="s">
        <v>7165</v>
      </c>
      <c r="N263" t="s">
        <v>7172</v>
      </c>
      <c r="O263" s="1" t="s">
        <v>3134</v>
      </c>
      <c r="P263" t="s">
        <v>3134</v>
      </c>
      <c r="Q263" s="1" t="s">
        <v>144</v>
      </c>
      <c r="R263" s="1" t="s">
        <v>355</v>
      </c>
      <c r="S263" s="1" t="s">
        <v>356</v>
      </c>
      <c r="T263" s="1">
        <v>162</v>
      </c>
      <c r="U263" s="1">
        <v>1544</v>
      </c>
      <c r="V263" s="1" t="s">
        <v>169</v>
      </c>
      <c r="W263" s="1">
        <v>12442961</v>
      </c>
      <c r="X263" t="s">
        <v>3366</v>
      </c>
      <c r="Y263" t="s">
        <v>3367</v>
      </c>
      <c r="AA263" t="s">
        <v>68</v>
      </c>
      <c r="AB263" t="s">
        <v>3368</v>
      </c>
      <c r="AC263" t="s">
        <v>3369</v>
      </c>
      <c r="AD263" t="s">
        <v>3370</v>
      </c>
      <c r="AE263" t="s">
        <v>3371</v>
      </c>
      <c r="AF263" t="s">
        <v>73</v>
      </c>
      <c r="AG263" t="s">
        <v>3372</v>
      </c>
      <c r="AH263" t="s">
        <v>75</v>
      </c>
      <c r="AI263" t="s">
        <v>76</v>
      </c>
      <c r="AJ263" t="s">
        <v>77</v>
      </c>
      <c r="AK263" t="s">
        <v>3373</v>
      </c>
      <c r="AL263" t="s">
        <v>79</v>
      </c>
      <c r="AM263" t="s">
        <v>80</v>
      </c>
      <c r="AN263" t="s">
        <v>158</v>
      </c>
      <c r="AO263" t="s">
        <v>159</v>
      </c>
      <c r="AP263" t="s">
        <v>83</v>
      </c>
      <c r="AQ263">
        <v>2019</v>
      </c>
      <c r="AR263">
        <v>142477</v>
      </c>
      <c r="AS263">
        <v>5277841</v>
      </c>
      <c r="AT263">
        <v>120</v>
      </c>
      <c r="AU263" t="s">
        <v>84</v>
      </c>
      <c r="AV263">
        <v>562</v>
      </c>
      <c r="AW263" t="s">
        <v>85</v>
      </c>
      <c r="AX263" t="s">
        <v>86</v>
      </c>
      <c r="AY263">
        <v>562</v>
      </c>
      <c r="AZ263" t="s">
        <v>3374</v>
      </c>
      <c r="BA263" t="s">
        <v>88</v>
      </c>
    </row>
    <row r="264" spans="1:57" hidden="1" x14ac:dyDescent="0.2">
      <c r="A264" t="s">
        <v>3375</v>
      </c>
      <c r="B264" t="s">
        <v>3375</v>
      </c>
      <c r="C264" t="s">
        <v>3376</v>
      </c>
      <c r="D264" t="s">
        <v>3377</v>
      </c>
      <c r="E264" t="s">
        <v>3377</v>
      </c>
      <c r="G264" t="s">
        <v>56</v>
      </c>
      <c r="H264" t="s">
        <v>57</v>
      </c>
      <c r="I264" t="s">
        <v>93</v>
      </c>
      <c r="J264">
        <v>0</v>
      </c>
      <c r="K264" t="s">
        <v>406</v>
      </c>
      <c r="L264" t="s">
        <v>3378</v>
      </c>
      <c r="M264" t="s">
        <v>7165</v>
      </c>
      <c r="N264" t="s">
        <v>7165</v>
      </c>
      <c r="O264" s="1" t="s">
        <v>3165</v>
      </c>
      <c r="P264" t="s">
        <v>3379</v>
      </c>
      <c r="Q264" s="1" t="s">
        <v>3090</v>
      </c>
      <c r="R264" s="1" t="s">
        <v>434</v>
      </c>
      <c r="S264" s="1" t="s">
        <v>451</v>
      </c>
      <c r="T264" s="1">
        <v>25</v>
      </c>
      <c r="U264" s="1">
        <v>168643</v>
      </c>
      <c r="V264" s="1" t="s">
        <v>3196</v>
      </c>
      <c r="W264" s="1">
        <v>12479561</v>
      </c>
      <c r="X264" t="s">
        <v>3380</v>
      </c>
      <c r="Y264" t="s">
        <v>3381</v>
      </c>
      <c r="AA264" t="s">
        <v>68</v>
      </c>
      <c r="AB264" t="s">
        <v>3382</v>
      </c>
      <c r="AC264" t="s">
        <v>3383</v>
      </c>
      <c r="AD264" t="s">
        <v>3384</v>
      </c>
      <c r="AE264" t="s">
        <v>3385</v>
      </c>
      <c r="AF264" t="s">
        <v>73</v>
      </c>
      <c r="AG264" t="s">
        <v>3386</v>
      </c>
      <c r="AH264" t="s">
        <v>75</v>
      </c>
      <c r="AI264" t="s">
        <v>76</v>
      </c>
      <c r="AJ264" t="s">
        <v>77</v>
      </c>
      <c r="AK264" t="s">
        <v>3387</v>
      </c>
      <c r="AL264" t="s">
        <v>156</v>
      </c>
      <c r="AM264" t="s">
        <v>80</v>
      </c>
      <c r="AN264" t="s">
        <v>158</v>
      </c>
      <c r="AO264" t="s">
        <v>159</v>
      </c>
      <c r="AP264" t="s">
        <v>83</v>
      </c>
      <c r="AR264">
        <v>80139</v>
      </c>
      <c r="AS264">
        <v>5553017</v>
      </c>
      <c r="AT264">
        <v>271</v>
      </c>
      <c r="AU264" t="s">
        <v>84</v>
      </c>
      <c r="AV264">
        <v>562</v>
      </c>
      <c r="AW264" t="s">
        <v>85</v>
      </c>
      <c r="AX264" t="s">
        <v>86</v>
      </c>
      <c r="AY264">
        <v>562</v>
      </c>
      <c r="AZ264" t="s">
        <v>3388</v>
      </c>
      <c r="BA264" t="s">
        <v>88</v>
      </c>
    </row>
    <row r="265" spans="1:57" hidden="1" x14ac:dyDescent="0.2">
      <c r="A265" t="s">
        <v>3389</v>
      </c>
      <c r="B265" t="s">
        <v>3389</v>
      </c>
      <c r="C265" t="s">
        <v>3376</v>
      </c>
      <c r="D265" t="s">
        <v>3390</v>
      </c>
      <c r="E265" t="s">
        <v>3390</v>
      </c>
      <c r="G265" t="s">
        <v>56</v>
      </c>
      <c r="H265" t="s">
        <v>3391</v>
      </c>
      <c r="I265" t="s">
        <v>58</v>
      </c>
      <c r="J265" t="s">
        <v>3228</v>
      </c>
      <c r="K265" t="s">
        <v>406</v>
      </c>
      <c r="L265" t="s">
        <v>3378</v>
      </c>
      <c r="M265" t="s">
        <v>7165</v>
      </c>
      <c r="N265" t="s">
        <v>7165</v>
      </c>
      <c r="O265" s="1" t="s">
        <v>3392</v>
      </c>
      <c r="P265" t="s">
        <v>3392</v>
      </c>
      <c r="Q265" s="1" t="s">
        <v>234</v>
      </c>
      <c r="R265" s="1" t="s">
        <v>167</v>
      </c>
      <c r="S265" s="1" t="s">
        <v>3393</v>
      </c>
      <c r="T265" s="1">
        <v>57</v>
      </c>
      <c r="U265" s="1">
        <v>33331</v>
      </c>
      <c r="V265" s="1" t="s">
        <v>3394</v>
      </c>
      <c r="W265" s="1">
        <v>12479561</v>
      </c>
      <c r="X265" t="s">
        <v>3395</v>
      </c>
      <c r="Y265" t="s">
        <v>3396</v>
      </c>
      <c r="AA265" t="s">
        <v>68</v>
      </c>
      <c r="AB265" t="s">
        <v>3397</v>
      </c>
      <c r="AC265" t="s">
        <v>3398</v>
      </c>
      <c r="AD265" t="s">
        <v>3399</v>
      </c>
      <c r="AE265" t="s">
        <v>3400</v>
      </c>
      <c r="AF265" t="s">
        <v>73</v>
      </c>
      <c r="AG265" t="s">
        <v>3401</v>
      </c>
      <c r="AH265" t="s">
        <v>3402</v>
      </c>
      <c r="AI265" t="s">
        <v>76</v>
      </c>
      <c r="AJ265" t="s">
        <v>77</v>
      </c>
      <c r="AK265" t="s">
        <v>3403</v>
      </c>
      <c r="AL265" t="s">
        <v>364</v>
      </c>
      <c r="AM265" t="s">
        <v>3404</v>
      </c>
      <c r="AN265" t="s">
        <v>158</v>
      </c>
      <c r="AO265" t="s">
        <v>159</v>
      </c>
      <c r="AP265" t="s">
        <v>83</v>
      </c>
      <c r="AR265">
        <v>70678</v>
      </c>
      <c r="AS265">
        <v>5693208</v>
      </c>
      <c r="AT265">
        <v>300</v>
      </c>
      <c r="AU265" t="s">
        <v>84</v>
      </c>
      <c r="AV265">
        <v>562</v>
      </c>
      <c r="AW265" t="s">
        <v>85</v>
      </c>
      <c r="AX265" t="s">
        <v>86</v>
      </c>
      <c r="AY265">
        <v>562</v>
      </c>
      <c r="AZ265" t="s">
        <v>3405</v>
      </c>
      <c r="BA265" t="s">
        <v>88</v>
      </c>
    </row>
    <row r="266" spans="1:57" hidden="1" x14ac:dyDescent="0.2">
      <c r="A266" t="s">
        <v>3406</v>
      </c>
      <c r="B266" t="s">
        <v>3406</v>
      </c>
      <c r="C266" t="s">
        <v>3376</v>
      </c>
      <c r="D266" t="s">
        <v>3407</v>
      </c>
      <c r="E266" t="s">
        <v>3407</v>
      </c>
      <c r="G266" t="s">
        <v>56</v>
      </c>
      <c r="H266" t="s">
        <v>57</v>
      </c>
      <c r="I266" t="s">
        <v>93</v>
      </c>
      <c r="J266">
        <v>0</v>
      </c>
      <c r="K266" t="s">
        <v>406</v>
      </c>
      <c r="L266" t="s">
        <v>3378</v>
      </c>
      <c r="M266" t="s">
        <v>7165</v>
      </c>
      <c r="N266" t="s">
        <v>7165</v>
      </c>
      <c r="O266" s="1" t="s">
        <v>183</v>
      </c>
      <c r="P266" t="s">
        <v>183</v>
      </c>
      <c r="Q266" s="1" t="s">
        <v>126</v>
      </c>
      <c r="R266" s="1" t="s">
        <v>185</v>
      </c>
      <c r="S266" s="1" t="s">
        <v>186</v>
      </c>
      <c r="T266" s="1">
        <v>33</v>
      </c>
      <c r="U266" s="1">
        <v>1587</v>
      </c>
      <c r="V266" s="1" t="s">
        <v>169</v>
      </c>
      <c r="W266" s="1">
        <v>0</v>
      </c>
      <c r="X266" t="s">
        <v>3408</v>
      </c>
      <c r="Y266" t="s">
        <v>3409</v>
      </c>
      <c r="AA266" t="s">
        <v>68</v>
      </c>
      <c r="AB266" t="s">
        <v>3410</v>
      </c>
      <c r="AC266" t="s">
        <v>3411</v>
      </c>
      <c r="AD266" t="s">
        <v>3412</v>
      </c>
      <c r="AE266" t="s">
        <v>3324</v>
      </c>
      <c r="AF266" t="s">
        <v>73</v>
      </c>
      <c r="AG266" t="s">
        <v>3413</v>
      </c>
      <c r="AH266" t="s">
        <v>75</v>
      </c>
      <c r="AI266" t="s">
        <v>76</v>
      </c>
      <c r="AJ266" t="s">
        <v>77</v>
      </c>
      <c r="AK266" t="s">
        <v>3414</v>
      </c>
      <c r="AL266" t="s">
        <v>156</v>
      </c>
      <c r="AM266" t="s">
        <v>80</v>
      </c>
      <c r="AN266" t="s">
        <v>158</v>
      </c>
      <c r="AO266" t="s">
        <v>159</v>
      </c>
      <c r="AP266" t="s">
        <v>83</v>
      </c>
      <c r="AR266">
        <v>83881</v>
      </c>
      <c r="AS266">
        <v>5614626</v>
      </c>
      <c r="AT266">
        <v>322</v>
      </c>
      <c r="AU266" t="s">
        <v>84</v>
      </c>
      <c r="AV266">
        <v>562</v>
      </c>
      <c r="AW266" t="s">
        <v>85</v>
      </c>
      <c r="AX266" t="s">
        <v>86</v>
      </c>
      <c r="AY266">
        <v>562</v>
      </c>
      <c r="AZ266" t="s">
        <v>3415</v>
      </c>
      <c r="BA266" t="s">
        <v>88</v>
      </c>
    </row>
    <row r="267" spans="1:57" hidden="1" x14ac:dyDescent="0.2">
      <c r="A267" t="s">
        <v>3416</v>
      </c>
      <c r="B267" t="s">
        <v>3416</v>
      </c>
      <c r="C267" t="s">
        <v>3417</v>
      </c>
      <c r="D267" t="s">
        <v>3418</v>
      </c>
      <c r="E267" t="s">
        <v>3418</v>
      </c>
      <c r="G267" t="s">
        <v>56</v>
      </c>
      <c r="H267" t="s">
        <v>57</v>
      </c>
      <c r="I267" t="s">
        <v>93</v>
      </c>
      <c r="J267">
        <v>0</v>
      </c>
      <c r="K267" t="s">
        <v>447</v>
      </c>
      <c r="L267" t="s">
        <v>480</v>
      </c>
      <c r="M267" t="s">
        <v>7165</v>
      </c>
      <c r="N267" t="s">
        <v>7165</v>
      </c>
      <c r="O267" s="1" t="s">
        <v>448</v>
      </c>
      <c r="P267" t="s">
        <v>448</v>
      </c>
      <c r="Q267" s="1" t="s">
        <v>126</v>
      </c>
      <c r="R267" s="1" t="s">
        <v>434</v>
      </c>
      <c r="S267" s="1" t="s">
        <v>3419</v>
      </c>
      <c r="T267" s="1">
        <v>25</v>
      </c>
      <c r="U267" s="1">
        <v>30074</v>
      </c>
      <c r="V267" s="1" t="s">
        <v>3196</v>
      </c>
      <c r="W267" s="1">
        <v>12518697</v>
      </c>
      <c r="X267" t="s">
        <v>3420</v>
      </c>
      <c r="Y267" t="s">
        <v>3421</v>
      </c>
      <c r="AA267" t="s">
        <v>68</v>
      </c>
      <c r="AB267" t="s">
        <v>3422</v>
      </c>
      <c r="AC267" t="s">
        <v>3423</v>
      </c>
      <c r="AD267" t="s">
        <v>3424</v>
      </c>
      <c r="AE267" t="s">
        <v>3425</v>
      </c>
      <c r="AF267" t="s">
        <v>73</v>
      </c>
      <c r="AG267" t="s">
        <v>3426</v>
      </c>
      <c r="AH267" t="s">
        <v>75</v>
      </c>
      <c r="AI267" t="s">
        <v>76</v>
      </c>
      <c r="AJ267" t="s">
        <v>77</v>
      </c>
      <c r="AK267" t="s">
        <v>3427</v>
      </c>
      <c r="AL267" t="s">
        <v>156</v>
      </c>
      <c r="AM267" t="s">
        <v>80</v>
      </c>
      <c r="AN267" t="s">
        <v>158</v>
      </c>
      <c r="AO267" t="s">
        <v>159</v>
      </c>
      <c r="AP267" t="s">
        <v>83</v>
      </c>
      <c r="AR267">
        <v>155257</v>
      </c>
      <c r="AS267">
        <v>5613277</v>
      </c>
      <c r="AT267">
        <v>153</v>
      </c>
      <c r="AU267" t="s">
        <v>84</v>
      </c>
      <c r="AV267">
        <v>562</v>
      </c>
      <c r="AW267" t="s">
        <v>85</v>
      </c>
      <c r="AX267" t="s">
        <v>86</v>
      </c>
      <c r="AY267">
        <v>562</v>
      </c>
      <c r="AZ267" t="s">
        <v>3428</v>
      </c>
      <c r="BA267" t="s">
        <v>88</v>
      </c>
    </row>
    <row r="268" spans="1:57" hidden="1" x14ac:dyDescent="0.2">
      <c r="A268" t="s">
        <v>3429</v>
      </c>
      <c r="B268" t="s">
        <v>3429</v>
      </c>
      <c r="C268" t="s">
        <v>3430</v>
      </c>
      <c r="D268" t="s">
        <v>3431</v>
      </c>
      <c r="E268" t="s">
        <v>3431</v>
      </c>
      <c r="G268" t="s">
        <v>56</v>
      </c>
      <c r="H268" t="s">
        <v>57</v>
      </c>
      <c r="I268" t="s">
        <v>93</v>
      </c>
      <c r="J268">
        <v>0</v>
      </c>
      <c r="K268" t="s">
        <v>406</v>
      </c>
      <c r="L268" t="s">
        <v>480</v>
      </c>
      <c r="M268" t="s">
        <v>7165</v>
      </c>
      <c r="N268" t="s">
        <v>7165</v>
      </c>
      <c r="O268" s="1" t="s">
        <v>3150</v>
      </c>
      <c r="P268" t="s">
        <v>3150</v>
      </c>
      <c r="Q268" s="1" t="s">
        <v>144</v>
      </c>
      <c r="R268" s="1" t="s">
        <v>3432</v>
      </c>
      <c r="S268" s="1" t="s">
        <v>3433</v>
      </c>
      <c r="T268" s="1">
        <v>1611</v>
      </c>
      <c r="U268" s="1">
        <v>14912</v>
      </c>
      <c r="V268" s="1" t="s">
        <v>3181</v>
      </c>
      <c r="W268" s="1">
        <v>12518697</v>
      </c>
      <c r="X268" t="s">
        <v>3434</v>
      </c>
      <c r="Y268" t="s">
        <v>3435</v>
      </c>
      <c r="AA268" t="s">
        <v>68</v>
      </c>
      <c r="AB268" t="s">
        <v>3436</v>
      </c>
      <c r="AC268" t="s">
        <v>3437</v>
      </c>
      <c r="AD268" t="s">
        <v>3438</v>
      </c>
      <c r="AE268" t="s">
        <v>3439</v>
      </c>
      <c r="AF268" t="s">
        <v>73</v>
      </c>
      <c r="AG268" t="s">
        <v>3440</v>
      </c>
      <c r="AH268" t="s">
        <v>75</v>
      </c>
      <c r="AI268" t="s">
        <v>76</v>
      </c>
      <c r="AJ268" t="s">
        <v>77</v>
      </c>
      <c r="AK268" t="s">
        <v>3441</v>
      </c>
      <c r="AL268" t="s">
        <v>156</v>
      </c>
      <c r="AM268" t="s">
        <v>80</v>
      </c>
      <c r="AN268" t="s">
        <v>158</v>
      </c>
      <c r="AO268" t="s">
        <v>159</v>
      </c>
      <c r="AP268" t="s">
        <v>83</v>
      </c>
      <c r="AR268">
        <v>185506</v>
      </c>
      <c r="AS268">
        <v>5252504</v>
      </c>
      <c r="AT268">
        <v>128</v>
      </c>
      <c r="AU268" t="s">
        <v>84</v>
      </c>
      <c r="AV268">
        <v>562</v>
      </c>
      <c r="AW268" t="s">
        <v>85</v>
      </c>
      <c r="AX268" t="s">
        <v>86</v>
      </c>
      <c r="AY268">
        <v>562</v>
      </c>
      <c r="AZ268" t="s">
        <v>3442</v>
      </c>
      <c r="BA268" t="s">
        <v>88</v>
      </c>
      <c r="BC268" t="s">
        <v>3443</v>
      </c>
      <c r="BE268">
        <v>39</v>
      </c>
    </row>
    <row r="269" spans="1:57" hidden="1" x14ac:dyDescent="0.2">
      <c r="A269" t="s">
        <v>3444</v>
      </c>
      <c r="B269" t="s">
        <v>3444</v>
      </c>
      <c r="C269" t="s">
        <v>3445</v>
      </c>
      <c r="D269" t="s">
        <v>3446</v>
      </c>
      <c r="E269" t="s">
        <v>3446</v>
      </c>
      <c r="F269" t="s">
        <v>2035</v>
      </c>
      <c r="G269" t="s">
        <v>56</v>
      </c>
      <c r="H269" t="s">
        <v>57</v>
      </c>
      <c r="I269" t="s">
        <v>58</v>
      </c>
      <c r="J269" t="s">
        <v>3447</v>
      </c>
      <c r="K269" t="s">
        <v>406</v>
      </c>
      <c r="L269" t="s">
        <v>389</v>
      </c>
      <c r="M269" t="s">
        <v>7165</v>
      </c>
      <c r="N269" t="s">
        <v>7165</v>
      </c>
      <c r="O269" s="1" t="s">
        <v>3179</v>
      </c>
      <c r="P269" t="s">
        <v>3448</v>
      </c>
      <c r="Q269" s="1" t="s">
        <v>3090</v>
      </c>
      <c r="R269" s="1" t="s">
        <v>434</v>
      </c>
      <c r="S269" s="1" t="s">
        <v>435</v>
      </c>
      <c r="T269" s="1">
        <v>447</v>
      </c>
      <c r="U269" s="1">
        <v>132897</v>
      </c>
      <c r="V269" s="1" t="s">
        <v>3196</v>
      </c>
      <c r="W269" s="1">
        <v>12647819</v>
      </c>
      <c r="X269" t="s">
        <v>3449</v>
      </c>
      <c r="Z269" t="s">
        <v>3450</v>
      </c>
      <c r="AA269" t="s">
        <v>68</v>
      </c>
      <c r="AB269" t="s">
        <v>3451</v>
      </c>
      <c r="AC269" t="s">
        <v>3452</v>
      </c>
      <c r="AD269" t="s">
        <v>3453</v>
      </c>
      <c r="AE269" t="s">
        <v>3454</v>
      </c>
      <c r="AF269" t="s">
        <v>73</v>
      </c>
      <c r="AH269" t="s">
        <v>75</v>
      </c>
      <c r="AI269" t="s">
        <v>76</v>
      </c>
      <c r="AJ269" t="s">
        <v>77</v>
      </c>
      <c r="AK269" t="s">
        <v>3455</v>
      </c>
      <c r="AL269" t="s">
        <v>364</v>
      </c>
      <c r="AM269" t="s">
        <v>80</v>
      </c>
      <c r="AN269" t="s">
        <v>158</v>
      </c>
      <c r="AO269" t="s">
        <v>3456</v>
      </c>
      <c r="AP269" t="s">
        <v>3457</v>
      </c>
      <c r="AR269">
        <v>92242</v>
      </c>
      <c r="AS269">
        <v>5594472</v>
      </c>
      <c r="AT269">
        <v>219</v>
      </c>
      <c r="AU269" t="s">
        <v>84</v>
      </c>
      <c r="AV269">
        <v>562</v>
      </c>
      <c r="AY269">
        <v>562</v>
      </c>
      <c r="BA269" t="s">
        <v>88</v>
      </c>
    </row>
    <row r="270" spans="1:57" hidden="1" x14ac:dyDescent="0.2">
      <c r="A270" t="s">
        <v>3458</v>
      </c>
      <c r="B270" t="s">
        <v>3458</v>
      </c>
      <c r="C270" t="s">
        <v>3459</v>
      </c>
      <c r="D270" t="s">
        <v>3460</v>
      </c>
      <c r="E270" t="s">
        <v>3460</v>
      </c>
      <c r="G270" t="s">
        <v>56</v>
      </c>
      <c r="H270" t="s">
        <v>57</v>
      </c>
      <c r="I270" t="s">
        <v>58</v>
      </c>
      <c r="J270" t="s">
        <v>3228</v>
      </c>
      <c r="K270" t="s">
        <v>406</v>
      </c>
      <c r="L270" t="s">
        <v>389</v>
      </c>
      <c r="M270" t="s">
        <v>7165</v>
      </c>
      <c r="N270" t="s">
        <v>7165</v>
      </c>
      <c r="O270" s="1" t="s">
        <v>3461</v>
      </c>
      <c r="P270" t="s">
        <v>3461</v>
      </c>
      <c r="Q270" s="1" t="s">
        <v>3090</v>
      </c>
      <c r="R270" s="1" t="s">
        <v>434</v>
      </c>
      <c r="S270" s="1" t="s">
        <v>451</v>
      </c>
      <c r="T270" s="1">
        <v>10</v>
      </c>
      <c r="U270" s="1">
        <v>29474</v>
      </c>
      <c r="V270" s="1" t="s">
        <v>3265</v>
      </c>
      <c r="W270" s="1">
        <v>12640899</v>
      </c>
      <c r="X270" t="s">
        <v>3462</v>
      </c>
      <c r="Y270" t="s">
        <v>3463</v>
      </c>
      <c r="AA270" t="s">
        <v>68</v>
      </c>
      <c r="AB270" t="s">
        <v>3464</v>
      </c>
      <c r="AC270" t="s">
        <v>3465</v>
      </c>
      <c r="AD270" t="s">
        <v>3466</v>
      </c>
      <c r="AE270" t="s">
        <v>3125</v>
      </c>
      <c r="AF270" t="s">
        <v>73</v>
      </c>
      <c r="AG270" t="s">
        <v>3467</v>
      </c>
      <c r="AI270" t="s">
        <v>76</v>
      </c>
      <c r="AJ270" t="s">
        <v>77</v>
      </c>
      <c r="AK270" t="s">
        <v>3468</v>
      </c>
      <c r="AL270" t="s">
        <v>79</v>
      </c>
      <c r="AM270" t="s">
        <v>531</v>
      </c>
      <c r="AN270" t="s">
        <v>158</v>
      </c>
      <c r="AO270" t="s">
        <v>159</v>
      </c>
      <c r="AP270" t="s">
        <v>83</v>
      </c>
      <c r="AR270">
        <v>125708</v>
      </c>
      <c r="AS270">
        <v>5480430</v>
      </c>
      <c r="AT270">
        <v>203</v>
      </c>
      <c r="AU270" t="s">
        <v>84</v>
      </c>
      <c r="AV270">
        <v>562</v>
      </c>
      <c r="AW270" t="s">
        <v>85</v>
      </c>
      <c r="AX270" t="s">
        <v>86</v>
      </c>
      <c r="AY270">
        <v>562</v>
      </c>
      <c r="AZ270" t="s">
        <v>3469</v>
      </c>
      <c r="BA270" t="s">
        <v>88</v>
      </c>
      <c r="BC270" t="s">
        <v>3470</v>
      </c>
      <c r="BD270">
        <v>0</v>
      </c>
    </row>
    <row r="271" spans="1:57" hidden="1" x14ac:dyDescent="0.2">
      <c r="A271" t="s">
        <v>3471</v>
      </c>
      <c r="B271" t="s">
        <v>3471</v>
      </c>
      <c r="C271" t="s">
        <v>3472</v>
      </c>
      <c r="D271" t="s">
        <v>3473</v>
      </c>
      <c r="E271" t="s">
        <v>3473</v>
      </c>
      <c r="G271" t="s">
        <v>56</v>
      </c>
      <c r="H271" t="s">
        <v>57</v>
      </c>
      <c r="I271" t="s">
        <v>58</v>
      </c>
      <c r="J271" t="s">
        <v>3474</v>
      </c>
      <c r="K271" t="s">
        <v>140</v>
      </c>
      <c r="L271" t="s">
        <v>141</v>
      </c>
      <c r="M271" t="s">
        <v>7165</v>
      </c>
      <c r="N271" t="s">
        <v>7165</v>
      </c>
      <c r="O271" s="1" t="s">
        <v>3475</v>
      </c>
      <c r="P271" t="s">
        <v>3475</v>
      </c>
      <c r="Q271" s="1" t="s">
        <v>144</v>
      </c>
      <c r="R271" s="1" t="s">
        <v>3476</v>
      </c>
      <c r="S271" s="1" t="s">
        <v>3477</v>
      </c>
      <c r="T271" s="1">
        <v>325</v>
      </c>
      <c r="U271" s="1">
        <v>132483</v>
      </c>
      <c r="V271" s="1" t="s">
        <v>3478</v>
      </c>
      <c r="W271" s="1">
        <v>12615808</v>
      </c>
      <c r="X271" t="s">
        <v>3479</v>
      </c>
      <c r="Y271" t="s">
        <v>3480</v>
      </c>
      <c r="AA271" t="s">
        <v>68</v>
      </c>
      <c r="AB271" t="s">
        <v>3481</v>
      </c>
      <c r="AC271" t="s">
        <v>3482</v>
      </c>
      <c r="AD271" t="s">
        <v>3483</v>
      </c>
      <c r="AE271" t="s">
        <v>3484</v>
      </c>
      <c r="AF271" t="s">
        <v>73</v>
      </c>
      <c r="AG271" t="s">
        <v>3485</v>
      </c>
      <c r="AH271" t="s">
        <v>3402</v>
      </c>
      <c r="AI271" t="s">
        <v>76</v>
      </c>
      <c r="AJ271" t="s">
        <v>77</v>
      </c>
      <c r="AK271" t="s">
        <v>3486</v>
      </c>
      <c r="AL271" t="s">
        <v>3487</v>
      </c>
      <c r="AM271" t="s">
        <v>3404</v>
      </c>
      <c r="AN271" t="s">
        <v>158</v>
      </c>
      <c r="AO271" t="s">
        <v>159</v>
      </c>
      <c r="AP271" t="s">
        <v>83</v>
      </c>
      <c r="AR271">
        <v>105136</v>
      </c>
      <c r="AS271">
        <v>5405420</v>
      </c>
      <c r="AT271">
        <v>226</v>
      </c>
      <c r="AU271" t="s">
        <v>84</v>
      </c>
      <c r="AV271">
        <v>562</v>
      </c>
      <c r="AW271" t="s">
        <v>85</v>
      </c>
      <c r="AX271" t="s">
        <v>86</v>
      </c>
      <c r="AY271">
        <v>562</v>
      </c>
      <c r="AZ271" t="s">
        <v>3488</v>
      </c>
      <c r="BA271" t="s">
        <v>88</v>
      </c>
    </row>
    <row r="272" spans="1:57" hidden="1" x14ac:dyDescent="0.2">
      <c r="A272" t="s">
        <v>3489</v>
      </c>
      <c r="B272" t="s">
        <v>3489</v>
      </c>
      <c r="C272" t="s">
        <v>3490</v>
      </c>
      <c r="D272" t="s">
        <v>3491</v>
      </c>
      <c r="E272" t="s">
        <v>3491</v>
      </c>
      <c r="G272" t="s">
        <v>56</v>
      </c>
      <c r="H272" t="s">
        <v>57</v>
      </c>
      <c r="I272" t="s">
        <v>93</v>
      </c>
      <c r="J272">
        <v>0</v>
      </c>
      <c r="K272" t="s">
        <v>447</v>
      </c>
      <c r="L272" t="s">
        <v>389</v>
      </c>
      <c r="M272" t="s">
        <v>7165</v>
      </c>
      <c r="N272" t="s">
        <v>7165</v>
      </c>
      <c r="O272" s="1" t="s">
        <v>448</v>
      </c>
      <c r="P272" t="s">
        <v>448</v>
      </c>
      <c r="Q272" s="1" t="s">
        <v>126</v>
      </c>
      <c r="R272" s="1" t="s">
        <v>3492</v>
      </c>
      <c r="S272" s="1" t="s">
        <v>451</v>
      </c>
      <c r="T272" s="1">
        <v>25</v>
      </c>
      <c r="U272" s="1">
        <v>30074</v>
      </c>
      <c r="V272" s="1" t="s">
        <v>3196</v>
      </c>
      <c r="W272" s="1">
        <v>12618539</v>
      </c>
      <c r="X272" t="s">
        <v>3493</v>
      </c>
      <c r="Y272" t="s">
        <v>3494</v>
      </c>
      <c r="AA272" t="s">
        <v>68</v>
      </c>
      <c r="AB272" t="s">
        <v>3495</v>
      </c>
      <c r="AC272" t="s">
        <v>3496</v>
      </c>
      <c r="AD272" t="s">
        <v>3497</v>
      </c>
      <c r="AE272" t="s">
        <v>3425</v>
      </c>
      <c r="AF272" t="s">
        <v>73</v>
      </c>
      <c r="AG272" t="s">
        <v>3498</v>
      </c>
      <c r="AI272" t="s">
        <v>76</v>
      </c>
      <c r="AJ272" t="s">
        <v>77</v>
      </c>
      <c r="AK272" t="s">
        <v>3499</v>
      </c>
      <c r="AL272" t="s">
        <v>156</v>
      </c>
      <c r="AM272" t="s">
        <v>531</v>
      </c>
      <c r="AN272" t="s">
        <v>532</v>
      </c>
      <c r="AO272" t="s">
        <v>533</v>
      </c>
      <c r="AP272" t="s">
        <v>83</v>
      </c>
      <c r="AR272">
        <v>111403</v>
      </c>
      <c r="AS272">
        <v>5654661</v>
      </c>
      <c r="AT272">
        <v>382</v>
      </c>
      <c r="AU272" t="s">
        <v>84</v>
      </c>
      <c r="AV272">
        <v>562</v>
      </c>
      <c r="AW272" t="s">
        <v>85</v>
      </c>
      <c r="AX272" t="s">
        <v>86</v>
      </c>
      <c r="AY272">
        <v>562</v>
      </c>
      <c r="AZ272" t="s">
        <v>3500</v>
      </c>
      <c r="BA272" t="s">
        <v>88</v>
      </c>
    </row>
    <row r="273" spans="1:57" hidden="1" x14ac:dyDescent="0.2">
      <c r="A273" t="s">
        <v>3501</v>
      </c>
      <c r="B273" t="s">
        <v>3501</v>
      </c>
      <c r="C273" t="s">
        <v>3490</v>
      </c>
      <c r="D273" t="s">
        <v>3502</v>
      </c>
      <c r="E273" t="s">
        <v>3502</v>
      </c>
      <c r="G273" t="s">
        <v>56</v>
      </c>
      <c r="H273" t="s">
        <v>57</v>
      </c>
      <c r="I273" t="s">
        <v>93</v>
      </c>
      <c r="J273">
        <v>0</v>
      </c>
      <c r="K273" t="s">
        <v>406</v>
      </c>
      <c r="L273" t="s">
        <v>389</v>
      </c>
      <c r="M273" t="s">
        <v>7165</v>
      </c>
      <c r="N273" t="s">
        <v>7165</v>
      </c>
      <c r="O273" s="1" t="s">
        <v>183</v>
      </c>
      <c r="P273" t="s">
        <v>183</v>
      </c>
      <c r="Q273" s="1" t="s">
        <v>126</v>
      </c>
      <c r="R273" s="1" t="s">
        <v>185</v>
      </c>
      <c r="S273" s="1" t="s">
        <v>186</v>
      </c>
      <c r="T273" s="1">
        <v>10652</v>
      </c>
      <c r="U273" s="1">
        <v>1587</v>
      </c>
      <c r="V273" s="1" t="s">
        <v>169</v>
      </c>
      <c r="W273" s="1" t="s">
        <v>170</v>
      </c>
      <c r="X273" t="s">
        <v>3503</v>
      </c>
      <c r="Y273" t="s">
        <v>3504</v>
      </c>
      <c r="AA273" t="s">
        <v>68</v>
      </c>
      <c r="AB273" t="s">
        <v>3505</v>
      </c>
      <c r="AC273" t="s">
        <v>3506</v>
      </c>
      <c r="AD273" t="s">
        <v>3507</v>
      </c>
      <c r="AE273" t="s">
        <v>3508</v>
      </c>
      <c r="AF273" t="s">
        <v>73</v>
      </c>
      <c r="AG273" t="s">
        <v>3509</v>
      </c>
      <c r="AI273" t="s">
        <v>76</v>
      </c>
      <c r="AJ273" t="s">
        <v>77</v>
      </c>
      <c r="AK273" t="s">
        <v>3510</v>
      </c>
      <c r="AL273" t="s">
        <v>3511</v>
      </c>
      <c r="AM273" t="s">
        <v>531</v>
      </c>
      <c r="AN273" t="s">
        <v>532</v>
      </c>
      <c r="AO273" t="s">
        <v>533</v>
      </c>
      <c r="AP273" t="s">
        <v>83</v>
      </c>
      <c r="AR273">
        <v>90191</v>
      </c>
      <c r="AS273">
        <v>5651378</v>
      </c>
      <c r="AT273">
        <v>313</v>
      </c>
      <c r="AU273" t="s">
        <v>84</v>
      </c>
      <c r="AV273">
        <v>562</v>
      </c>
      <c r="AW273" t="s">
        <v>85</v>
      </c>
      <c r="AX273" t="s">
        <v>86</v>
      </c>
      <c r="AY273">
        <v>562</v>
      </c>
      <c r="AZ273" t="s">
        <v>3512</v>
      </c>
      <c r="BA273" t="s">
        <v>88</v>
      </c>
    </row>
    <row r="274" spans="1:57" hidden="1" x14ac:dyDescent="0.2">
      <c r="A274" t="s">
        <v>3513</v>
      </c>
      <c r="B274" t="s">
        <v>3513</v>
      </c>
      <c r="C274" t="s">
        <v>3490</v>
      </c>
      <c r="D274" t="s">
        <v>3514</v>
      </c>
      <c r="E274" t="s">
        <v>3514</v>
      </c>
      <c r="G274" t="s">
        <v>56</v>
      </c>
      <c r="H274" t="s">
        <v>57</v>
      </c>
      <c r="I274" t="s">
        <v>93</v>
      </c>
      <c r="J274">
        <v>0</v>
      </c>
      <c r="K274" t="s">
        <v>406</v>
      </c>
      <c r="L274" t="s">
        <v>389</v>
      </c>
      <c r="M274" t="s">
        <v>7165</v>
      </c>
      <c r="N274" t="s">
        <v>7165</v>
      </c>
      <c r="O274" s="1" t="s">
        <v>3515</v>
      </c>
      <c r="P274" t="s">
        <v>3515</v>
      </c>
      <c r="Q274" s="1" t="s">
        <v>166</v>
      </c>
      <c r="R274" s="1" t="s">
        <v>167</v>
      </c>
      <c r="S274" s="1" t="s">
        <v>168</v>
      </c>
      <c r="T274" s="1">
        <v>43</v>
      </c>
      <c r="U274" s="1">
        <v>2010</v>
      </c>
      <c r="V274" s="1" t="s">
        <v>3478</v>
      </c>
      <c r="W274" s="1">
        <v>12618539</v>
      </c>
      <c r="X274" t="s">
        <v>3516</v>
      </c>
      <c r="Y274" t="s">
        <v>3517</v>
      </c>
      <c r="AA274" t="s">
        <v>68</v>
      </c>
      <c r="AB274" t="s">
        <v>3518</v>
      </c>
      <c r="AC274" t="s">
        <v>3519</v>
      </c>
      <c r="AD274" t="s">
        <v>3520</v>
      </c>
      <c r="AE274" t="s">
        <v>3521</v>
      </c>
      <c r="AF274" t="s">
        <v>73</v>
      </c>
      <c r="AG274" t="s">
        <v>3522</v>
      </c>
      <c r="AI274" t="s">
        <v>76</v>
      </c>
      <c r="AJ274" t="s">
        <v>77</v>
      </c>
      <c r="AK274" t="s">
        <v>3523</v>
      </c>
      <c r="AL274" t="s">
        <v>546</v>
      </c>
      <c r="AM274" t="s">
        <v>531</v>
      </c>
      <c r="AN274" t="s">
        <v>158</v>
      </c>
      <c r="AO274" t="s">
        <v>159</v>
      </c>
      <c r="AP274" t="s">
        <v>83</v>
      </c>
      <c r="AR274">
        <v>71650</v>
      </c>
      <c r="AS274">
        <v>4921339</v>
      </c>
      <c r="AT274">
        <v>279</v>
      </c>
      <c r="AU274" t="s">
        <v>84</v>
      </c>
      <c r="AV274">
        <v>562</v>
      </c>
      <c r="AW274" t="s">
        <v>85</v>
      </c>
      <c r="AX274" t="s">
        <v>86</v>
      </c>
      <c r="AY274">
        <v>562</v>
      </c>
      <c r="AZ274" t="s">
        <v>3524</v>
      </c>
      <c r="BA274" t="s">
        <v>88</v>
      </c>
    </row>
    <row r="275" spans="1:57" hidden="1" x14ac:dyDescent="0.2">
      <c r="A275" t="s">
        <v>3525</v>
      </c>
      <c r="B275" t="s">
        <v>3525</v>
      </c>
      <c r="C275" t="s">
        <v>3526</v>
      </c>
      <c r="D275" t="s">
        <v>3527</v>
      </c>
      <c r="E275" t="s">
        <v>3527</v>
      </c>
      <c r="G275" t="s">
        <v>56</v>
      </c>
      <c r="H275" t="s">
        <v>57</v>
      </c>
      <c r="I275" t="s">
        <v>58</v>
      </c>
      <c r="J275" t="s">
        <v>3528</v>
      </c>
      <c r="K275" t="s">
        <v>140</v>
      </c>
      <c r="L275" t="s">
        <v>141</v>
      </c>
      <c r="M275" t="s">
        <v>7165</v>
      </c>
      <c r="N275" t="s">
        <v>7165</v>
      </c>
      <c r="O275" s="1" t="s">
        <v>3529</v>
      </c>
      <c r="P275" t="s">
        <v>3529</v>
      </c>
      <c r="Q275" s="1" t="s">
        <v>3530</v>
      </c>
      <c r="R275" s="1" t="s">
        <v>250</v>
      </c>
      <c r="S275" s="1" t="s">
        <v>751</v>
      </c>
      <c r="T275" s="1">
        <v>300</v>
      </c>
      <c r="U275" s="1">
        <v>132480</v>
      </c>
      <c r="V275" s="1" t="s">
        <v>3181</v>
      </c>
      <c r="W275" s="1">
        <v>12615808</v>
      </c>
      <c r="X275" t="s">
        <v>3531</v>
      </c>
      <c r="Z275" t="s">
        <v>3450</v>
      </c>
      <c r="AA275" t="s">
        <v>68</v>
      </c>
      <c r="AB275" t="s">
        <v>3532</v>
      </c>
      <c r="AC275" t="s">
        <v>3533</v>
      </c>
      <c r="AD275" t="s">
        <v>3534</v>
      </c>
      <c r="AE275" t="s">
        <v>3099</v>
      </c>
      <c r="AF275" t="s">
        <v>73</v>
      </c>
      <c r="AH275" t="s">
        <v>75</v>
      </c>
      <c r="AI275" t="s">
        <v>76</v>
      </c>
      <c r="AJ275" t="s">
        <v>77</v>
      </c>
      <c r="AK275" t="s">
        <v>3535</v>
      </c>
      <c r="AL275" t="s">
        <v>364</v>
      </c>
      <c r="AM275" t="s">
        <v>3536</v>
      </c>
      <c r="AN275" t="s">
        <v>158</v>
      </c>
      <c r="AO275" t="s">
        <v>3456</v>
      </c>
      <c r="AP275" t="s">
        <v>3457</v>
      </c>
      <c r="AR275">
        <v>62910</v>
      </c>
      <c r="AS275">
        <v>5241024</v>
      </c>
      <c r="AT275">
        <v>290</v>
      </c>
      <c r="AU275" t="s">
        <v>84</v>
      </c>
      <c r="AV275">
        <v>562</v>
      </c>
      <c r="AY275">
        <v>562</v>
      </c>
      <c r="BA275" t="s">
        <v>88</v>
      </c>
      <c r="BC275" t="s">
        <v>3537</v>
      </c>
      <c r="BD275">
        <v>9</v>
      </c>
    </row>
    <row r="276" spans="1:57" hidden="1" x14ac:dyDescent="0.2">
      <c r="A276" t="s">
        <v>3538</v>
      </c>
      <c r="B276" t="s">
        <v>3538</v>
      </c>
      <c r="C276" t="s">
        <v>3539</v>
      </c>
      <c r="D276" t="s">
        <v>3540</v>
      </c>
      <c r="E276" t="s">
        <v>3540</v>
      </c>
      <c r="G276" t="s">
        <v>56</v>
      </c>
      <c r="H276" t="s">
        <v>57</v>
      </c>
      <c r="I276" t="s">
        <v>93</v>
      </c>
      <c r="J276">
        <v>0</v>
      </c>
      <c r="K276" t="s">
        <v>140</v>
      </c>
      <c r="L276" t="s">
        <v>3260</v>
      </c>
      <c r="M276" t="s">
        <v>7165</v>
      </c>
      <c r="N276" t="s">
        <v>7165</v>
      </c>
      <c r="O276" s="1" t="s">
        <v>3165</v>
      </c>
      <c r="P276" t="s">
        <v>3379</v>
      </c>
      <c r="Q276" s="1" t="s">
        <v>144</v>
      </c>
      <c r="R276" s="1" t="s">
        <v>270</v>
      </c>
      <c r="S276" s="1" t="s">
        <v>3541</v>
      </c>
      <c r="T276" s="1">
        <v>332</v>
      </c>
      <c r="U276" s="1">
        <v>44442</v>
      </c>
      <c r="V276" s="1" t="s">
        <v>3542</v>
      </c>
      <c r="W276" s="1">
        <v>12686847</v>
      </c>
      <c r="X276" t="s">
        <v>3543</v>
      </c>
      <c r="Z276" t="s">
        <v>3450</v>
      </c>
      <c r="AA276" t="s">
        <v>68</v>
      </c>
      <c r="AB276" t="s">
        <v>3544</v>
      </c>
      <c r="AC276" t="s">
        <v>3545</v>
      </c>
      <c r="AD276" t="s">
        <v>3546</v>
      </c>
      <c r="AE276" t="s">
        <v>3484</v>
      </c>
      <c r="AF276" t="s">
        <v>73</v>
      </c>
      <c r="AH276" t="s">
        <v>3547</v>
      </c>
      <c r="AI276" t="s">
        <v>76</v>
      </c>
      <c r="AJ276" t="s">
        <v>77</v>
      </c>
      <c r="AK276" t="s">
        <v>3548</v>
      </c>
      <c r="AL276" t="s">
        <v>156</v>
      </c>
      <c r="AM276" t="s">
        <v>3549</v>
      </c>
      <c r="AN276" t="s">
        <v>158</v>
      </c>
      <c r="AO276" t="s">
        <v>3456</v>
      </c>
      <c r="AP276" t="s">
        <v>3457</v>
      </c>
      <c r="AR276">
        <v>57936</v>
      </c>
      <c r="AS276">
        <v>5295877</v>
      </c>
      <c r="AT276">
        <v>371</v>
      </c>
      <c r="AU276" t="s">
        <v>84</v>
      </c>
      <c r="AV276">
        <v>562</v>
      </c>
      <c r="AY276">
        <v>562</v>
      </c>
      <c r="BA276" t="s">
        <v>88</v>
      </c>
    </row>
    <row r="277" spans="1:57" hidden="1" x14ac:dyDescent="0.2">
      <c r="A277" t="s">
        <v>3550</v>
      </c>
      <c r="B277" t="s">
        <v>3550</v>
      </c>
      <c r="C277" t="s">
        <v>3551</v>
      </c>
      <c r="D277" t="s">
        <v>3552</v>
      </c>
      <c r="E277" t="s">
        <v>3552</v>
      </c>
      <c r="G277" t="s">
        <v>56</v>
      </c>
      <c r="H277" t="s">
        <v>57</v>
      </c>
      <c r="I277" t="s">
        <v>93</v>
      </c>
      <c r="J277">
        <v>0</v>
      </c>
      <c r="K277" t="s">
        <v>447</v>
      </c>
      <c r="L277" t="s">
        <v>389</v>
      </c>
      <c r="M277" t="s">
        <v>7165</v>
      </c>
      <c r="N277" t="s">
        <v>7165</v>
      </c>
      <c r="O277" s="1" t="s">
        <v>183</v>
      </c>
      <c r="P277" t="s">
        <v>183</v>
      </c>
      <c r="Q277" s="1" t="s">
        <v>126</v>
      </c>
      <c r="R277" s="1" t="s">
        <v>185</v>
      </c>
      <c r="S277" s="1" t="s">
        <v>186</v>
      </c>
      <c r="T277" s="1">
        <v>33</v>
      </c>
      <c r="U277" s="1">
        <v>1587</v>
      </c>
      <c r="V277" s="1" t="s">
        <v>169</v>
      </c>
      <c r="W277" s="1">
        <v>12737416</v>
      </c>
      <c r="X277" t="s">
        <v>3553</v>
      </c>
      <c r="Y277" t="s">
        <v>3554</v>
      </c>
      <c r="AA277" t="s">
        <v>68</v>
      </c>
      <c r="AB277" t="s">
        <v>3555</v>
      </c>
      <c r="AC277" t="s">
        <v>3556</v>
      </c>
      <c r="AD277" t="s">
        <v>3557</v>
      </c>
      <c r="AE277" t="s">
        <v>3558</v>
      </c>
      <c r="AF277" t="s">
        <v>73</v>
      </c>
      <c r="AG277" t="s">
        <v>3559</v>
      </c>
      <c r="AI277" t="s">
        <v>76</v>
      </c>
      <c r="AJ277" t="s">
        <v>77</v>
      </c>
      <c r="AK277" t="s">
        <v>3560</v>
      </c>
      <c r="AL277" t="s">
        <v>156</v>
      </c>
      <c r="AM277" t="s">
        <v>531</v>
      </c>
      <c r="AN277" t="s">
        <v>532</v>
      </c>
      <c r="AO277" t="s">
        <v>533</v>
      </c>
      <c r="AP277" t="s">
        <v>83</v>
      </c>
      <c r="AR277">
        <v>77747</v>
      </c>
      <c r="AS277">
        <v>5687577</v>
      </c>
      <c r="AT277">
        <v>401</v>
      </c>
      <c r="AU277" t="s">
        <v>84</v>
      </c>
      <c r="AV277">
        <v>562</v>
      </c>
      <c r="AW277" t="s">
        <v>85</v>
      </c>
      <c r="AX277" t="s">
        <v>86</v>
      </c>
      <c r="AY277">
        <v>562</v>
      </c>
      <c r="AZ277" t="s">
        <v>3561</v>
      </c>
      <c r="BA277" t="s">
        <v>88</v>
      </c>
    </row>
    <row r="278" spans="1:57" hidden="1" x14ac:dyDescent="0.2">
      <c r="A278" t="s">
        <v>3562</v>
      </c>
      <c r="B278" t="s">
        <v>3562</v>
      </c>
      <c r="C278" t="s">
        <v>3563</v>
      </c>
      <c r="D278" t="s">
        <v>3564</v>
      </c>
      <c r="E278" t="s">
        <v>3564</v>
      </c>
      <c r="G278" t="s">
        <v>56</v>
      </c>
      <c r="H278" t="s">
        <v>57</v>
      </c>
      <c r="I278" t="s">
        <v>58</v>
      </c>
      <c r="J278" t="s">
        <v>3228</v>
      </c>
      <c r="K278" t="s">
        <v>406</v>
      </c>
      <c r="L278" t="s">
        <v>389</v>
      </c>
      <c r="M278" t="s">
        <v>7165</v>
      </c>
      <c r="N278" t="s">
        <v>7165</v>
      </c>
      <c r="O278" s="1" t="s">
        <v>3461</v>
      </c>
      <c r="P278" t="s">
        <v>3461</v>
      </c>
      <c r="Q278" s="1" t="s">
        <v>3090</v>
      </c>
      <c r="R278" s="1" t="s">
        <v>434</v>
      </c>
      <c r="S278" s="1" t="s">
        <v>451</v>
      </c>
      <c r="T278" s="1">
        <v>10</v>
      </c>
      <c r="U278" s="1">
        <v>29474</v>
      </c>
      <c r="V278" s="1" t="s">
        <v>3265</v>
      </c>
      <c r="W278" s="1">
        <v>14295156</v>
      </c>
      <c r="X278" t="s">
        <v>3565</v>
      </c>
      <c r="Y278" t="s">
        <v>3566</v>
      </c>
      <c r="AA278" t="s">
        <v>68</v>
      </c>
      <c r="AB278" t="s">
        <v>3567</v>
      </c>
      <c r="AC278" t="s">
        <v>3568</v>
      </c>
      <c r="AD278" t="s">
        <v>3569</v>
      </c>
      <c r="AE278" t="s">
        <v>3484</v>
      </c>
      <c r="AF278" t="s">
        <v>73</v>
      </c>
      <c r="AG278" t="s">
        <v>3570</v>
      </c>
      <c r="AI278" t="s">
        <v>76</v>
      </c>
      <c r="AJ278" t="s">
        <v>77</v>
      </c>
      <c r="AK278" t="s">
        <v>3468</v>
      </c>
      <c r="AL278" t="s">
        <v>79</v>
      </c>
      <c r="AM278" t="s">
        <v>531</v>
      </c>
      <c r="AN278" t="s">
        <v>158</v>
      </c>
      <c r="AO278" t="s">
        <v>159</v>
      </c>
      <c r="AP278" t="s">
        <v>83</v>
      </c>
      <c r="AR278">
        <v>147451</v>
      </c>
      <c r="AS278">
        <v>5483178</v>
      </c>
      <c r="AT278">
        <v>218</v>
      </c>
      <c r="AU278" t="s">
        <v>84</v>
      </c>
      <c r="AV278">
        <v>562</v>
      </c>
      <c r="AW278" t="s">
        <v>85</v>
      </c>
      <c r="AX278" t="s">
        <v>86</v>
      </c>
      <c r="AY278">
        <v>562</v>
      </c>
      <c r="AZ278" t="s">
        <v>3571</v>
      </c>
      <c r="BA278" t="s">
        <v>88</v>
      </c>
      <c r="BC278" t="s">
        <v>3470</v>
      </c>
      <c r="BD278">
        <v>0</v>
      </c>
    </row>
    <row r="279" spans="1:57" x14ac:dyDescent="0.2">
      <c r="A279" t="s">
        <v>3572</v>
      </c>
      <c r="B279" t="s">
        <v>3572</v>
      </c>
      <c r="C279" t="s">
        <v>3573</v>
      </c>
      <c r="D279" t="s">
        <v>3574</v>
      </c>
      <c r="E279" t="s">
        <v>3574</v>
      </c>
      <c r="G279" t="s">
        <v>56</v>
      </c>
      <c r="H279" t="s">
        <v>57</v>
      </c>
      <c r="I279" t="s">
        <v>93</v>
      </c>
      <c r="J279" t="e">
        <v>#N/A</v>
      </c>
      <c r="K279" t="s">
        <v>602</v>
      </c>
      <c r="M279" t="s">
        <v>7162</v>
      </c>
      <c r="N279" t="s">
        <v>7165</v>
      </c>
      <c r="O279" s="1" t="s">
        <v>603</v>
      </c>
      <c r="P279" t="s">
        <v>3575</v>
      </c>
      <c r="Q279" s="1" t="s">
        <v>875</v>
      </c>
      <c r="R279" s="1" t="s">
        <v>64</v>
      </c>
      <c r="S279" s="1" t="s">
        <v>3576</v>
      </c>
      <c r="T279" s="1">
        <v>11</v>
      </c>
      <c r="U279" s="1">
        <v>2114</v>
      </c>
      <c r="V279" s="1"/>
      <c r="W279" s="1"/>
      <c r="X279" t="s">
        <v>3577</v>
      </c>
      <c r="Y279" t="s">
        <v>3578</v>
      </c>
      <c r="AA279" t="s">
        <v>3579</v>
      </c>
      <c r="AC279" t="s">
        <v>3580</v>
      </c>
    </row>
    <row r="280" spans="1:57" hidden="1" x14ac:dyDescent="0.2">
      <c r="A280" t="s">
        <v>3581</v>
      </c>
      <c r="B280" t="s">
        <v>3581</v>
      </c>
      <c r="C280" t="s">
        <v>3563</v>
      </c>
      <c r="D280" t="s">
        <v>3582</v>
      </c>
      <c r="E280" s="2" t="s">
        <v>3583</v>
      </c>
      <c r="G280" t="s">
        <v>56</v>
      </c>
      <c r="H280" t="s">
        <v>57</v>
      </c>
      <c r="I280" t="s">
        <v>58</v>
      </c>
      <c r="J280" t="s">
        <v>351</v>
      </c>
      <c r="K280" t="s">
        <v>3584</v>
      </c>
      <c r="L280" t="s">
        <v>3584</v>
      </c>
      <c r="M280" t="s">
        <v>7165</v>
      </c>
      <c r="N280" t="s">
        <v>7172</v>
      </c>
      <c r="O280" s="1" t="s">
        <v>353</v>
      </c>
      <c r="P280" t="s">
        <v>3585</v>
      </c>
      <c r="Q280" s="1" t="s">
        <v>144</v>
      </c>
      <c r="R280" s="1" t="s">
        <v>355</v>
      </c>
      <c r="S280" s="1" t="s">
        <v>356</v>
      </c>
      <c r="T280" s="1">
        <v>155</v>
      </c>
      <c r="U280" s="1">
        <v>1607</v>
      </c>
      <c r="V280" s="1" t="s">
        <v>169</v>
      </c>
      <c r="W280" s="1">
        <v>14295156</v>
      </c>
      <c r="X280" t="s">
        <v>3586</v>
      </c>
      <c r="Y280" t="s">
        <v>3587</v>
      </c>
      <c r="AA280" t="s">
        <v>68</v>
      </c>
      <c r="AB280" t="s">
        <v>3588</v>
      </c>
      <c r="AC280" t="s">
        <v>3589</v>
      </c>
      <c r="AD280" t="s">
        <v>3590</v>
      </c>
      <c r="AE280" t="s">
        <v>3400</v>
      </c>
      <c r="AF280" t="s">
        <v>73</v>
      </c>
      <c r="AG280" t="s">
        <v>3591</v>
      </c>
      <c r="AH280" t="s">
        <v>75</v>
      </c>
      <c r="AI280" t="s">
        <v>76</v>
      </c>
      <c r="AJ280" t="s">
        <v>77</v>
      </c>
      <c r="AK280" t="s">
        <v>3592</v>
      </c>
      <c r="AL280" t="s">
        <v>364</v>
      </c>
      <c r="AM280" t="s">
        <v>80</v>
      </c>
      <c r="AN280" t="s">
        <v>158</v>
      </c>
      <c r="AO280" t="s">
        <v>159</v>
      </c>
      <c r="AP280" t="s">
        <v>83</v>
      </c>
      <c r="AQ280">
        <v>2020</v>
      </c>
      <c r="AR280">
        <v>177527</v>
      </c>
      <c r="AS280">
        <v>5249986</v>
      </c>
      <c r="AT280">
        <v>119</v>
      </c>
      <c r="AU280" t="s">
        <v>84</v>
      </c>
      <c r="AV280">
        <v>562</v>
      </c>
      <c r="AW280" t="s">
        <v>85</v>
      </c>
      <c r="AX280" t="s">
        <v>86</v>
      </c>
      <c r="AY280">
        <v>562</v>
      </c>
      <c r="AZ280" t="s">
        <v>3593</v>
      </c>
      <c r="BA280" t="s">
        <v>88</v>
      </c>
      <c r="BC280" t="s">
        <v>366</v>
      </c>
      <c r="BD280">
        <v>20</v>
      </c>
    </row>
    <row r="281" spans="1:57" hidden="1" x14ac:dyDescent="0.2">
      <c r="A281" t="s">
        <v>3594</v>
      </c>
      <c r="B281" t="s">
        <v>3594</v>
      </c>
      <c r="C281" t="s">
        <v>3595</v>
      </c>
      <c r="D281" t="s">
        <v>3596</v>
      </c>
      <c r="E281" t="s">
        <v>3596</v>
      </c>
      <c r="G281" t="s">
        <v>56</v>
      </c>
      <c r="H281" t="s">
        <v>57</v>
      </c>
      <c r="I281" t="s">
        <v>58</v>
      </c>
      <c r="J281" t="s">
        <v>3528</v>
      </c>
      <c r="K281" t="s">
        <v>140</v>
      </c>
      <c r="L281" t="s">
        <v>141</v>
      </c>
      <c r="M281" t="s">
        <v>7165</v>
      </c>
      <c r="N281" t="s">
        <v>7165</v>
      </c>
      <c r="O281" s="1" t="s">
        <v>3529</v>
      </c>
      <c r="P281" t="s">
        <v>3529</v>
      </c>
      <c r="Q281" s="1" t="s">
        <v>3530</v>
      </c>
      <c r="R281" s="1" t="s">
        <v>250</v>
      </c>
      <c r="S281" s="1" t="s">
        <v>751</v>
      </c>
      <c r="T281" s="1">
        <v>300</v>
      </c>
      <c r="U281" s="1">
        <v>132480</v>
      </c>
      <c r="V281" s="1" t="s">
        <v>3181</v>
      </c>
      <c r="W281" s="1">
        <v>13558792</v>
      </c>
      <c r="X281" t="s">
        <v>3597</v>
      </c>
      <c r="Y281" t="s">
        <v>3598</v>
      </c>
      <c r="AA281" t="s">
        <v>68</v>
      </c>
      <c r="AB281" t="s">
        <v>3599</v>
      </c>
      <c r="AC281" t="s">
        <v>3600</v>
      </c>
      <c r="AD281" t="s">
        <v>3601</v>
      </c>
      <c r="AE281" t="s">
        <v>3099</v>
      </c>
      <c r="AF281" t="s">
        <v>73</v>
      </c>
      <c r="AG281" t="s">
        <v>3602</v>
      </c>
      <c r="AH281" t="s">
        <v>75</v>
      </c>
      <c r="AI281" t="s">
        <v>76</v>
      </c>
      <c r="AJ281" t="s">
        <v>77</v>
      </c>
      <c r="AK281" t="s">
        <v>3603</v>
      </c>
      <c r="AL281" t="s">
        <v>364</v>
      </c>
      <c r="AM281" t="s">
        <v>3536</v>
      </c>
      <c r="AN281" t="s">
        <v>158</v>
      </c>
      <c r="AO281" t="s">
        <v>159</v>
      </c>
      <c r="AP281" t="s">
        <v>83</v>
      </c>
      <c r="AR281">
        <v>77173</v>
      </c>
      <c r="AS281">
        <v>5285275</v>
      </c>
      <c r="AT281">
        <v>230</v>
      </c>
      <c r="AU281" t="s">
        <v>84</v>
      </c>
      <c r="AV281">
        <v>562</v>
      </c>
      <c r="AW281" t="s">
        <v>85</v>
      </c>
      <c r="AX281" t="s">
        <v>86</v>
      </c>
      <c r="AY281">
        <v>562</v>
      </c>
      <c r="AZ281" t="s">
        <v>3604</v>
      </c>
      <c r="BA281" t="s">
        <v>88</v>
      </c>
      <c r="BC281" t="s">
        <v>3537</v>
      </c>
      <c r="BD281">
        <v>9</v>
      </c>
    </row>
    <row r="282" spans="1:57" hidden="1" x14ac:dyDescent="0.2">
      <c r="A282" t="s">
        <v>3605</v>
      </c>
      <c r="B282" t="s">
        <v>3605</v>
      </c>
      <c r="C282" t="s">
        <v>3595</v>
      </c>
      <c r="D282" t="s">
        <v>3606</v>
      </c>
      <c r="E282" t="s">
        <v>3606</v>
      </c>
      <c r="G282" t="s">
        <v>56</v>
      </c>
      <c r="H282" t="s">
        <v>57</v>
      </c>
      <c r="I282" t="s">
        <v>93</v>
      </c>
      <c r="J282">
        <v>0</v>
      </c>
      <c r="K282" t="s">
        <v>140</v>
      </c>
      <c r="L282" t="s">
        <v>141</v>
      </c>
      <c r="M282" t="s">
        <v>7165</v>
      </c>
      <c r="N282" t="s">
        <v>7165</v>
      </c>
      <c r="O282" s="1" t="s">
        <v>3607</v>
      </c>
      <c r="P282" t="s">
        <v>3607</v>
      </c>
      <c r="Q282" s="1" t="s">
        <v>166</v>
      </c>
      <c r="R282" s="1" t="s">
        <v>250</v>
      </c>
      <c r="S282" s="1" t="s">
        <v>251</v>
      </c>
      <c r="T282" s="1">
        <v>224</v>
      </c>
      <c r="U282" s="1">
        <v>14963</v>
      </c>
      <c r="V282" s="1" t="s">
        <v>3608</v>
      </c>
      <c r="W282" s="1">
        <v>13558792</v>
      </c>
      <c r="X282" t="s">
        <v>3609</v>
      </c>
      <c r="Y282" t="s">
        <v>3610</v>
      </c>
      <c r="AA282" t="s">
        <v>68</v>
      </c>
      <c r="AB282" t="s">
        <v>3611</v>
      </c>
      <c r="AC282" t="s">
        <v>3612</v>
      </c>
      <c r="AD282" t="s">
        <v>3613</v>
      </c>
      <c r="AE282" t="s">
        <v>3285</v>
      </c>
      <c r="AF282" t="s">
        <v>73</v>
      </c>
      <c r="AG282" t="s">
        <v>3614</v>
      </c>
      <c r="AH282" t="s">
        <v>3615</v>
      </c>
      <c r="AI282" t="s">
        <v>76</v>
      </c>
      <c r="AJ282" t="s">
        <v>77</v>
      </c>
      <c r="AK282" t="s">
        <v>3616</v>
      </c>
      <c r="AL282" t="s">
        <v>3617</v>
      </c>
      <c r="AM282" t="s">
        <v>3618</v>
      </c>
      <c r="AN282" t="s">
        <v>158</v>
      </c>
      <c r="AO282" t="s">
        <v>159</v>
      </c>
      <c r="AP282" t="s">
        <v>83</v>
      </c>
      <c r="AR282">
        <v>35397</v>
      </c>
      <c r="AS282">
        <v>4873881</v>
      </c>
      <c r="AT282">
        <v>349</v>
      </c>
      <c r="AU282" t="s">
        <v>84</v>
      </c>
      <c r="AV282">
        <v>562</v>
      </c>
      <c r="AW282" t="s">
        <v>85</v>
      </c>
      <c r="AX282" t="s">
        <v>86</v>
      </c>
      <c r="AY282">
        <v>562</v>
      </c>
      <c r="AZ282" t="s">
        <v>3619</v>
      </c>
      <c r="BA282" t="s">
        <v>88</v>
      </c>
      <c r="BC282" t="s">
        <v>3620</v>
      </c>
      <c r="BD282">
        <v>26</v>
      </c>
    </row>
    <row r="283" spans="1:57" hidden="1" x14ac:dyDescent="0.2">
      <c r="A283" t="s">
        <v>3621</v>
      </c>
      <c r="B283" t="s">
        <v>3621</v>
      </c>
      <c r="C283" t="s">
        <v>3622</v>
      </c>
      <c r="D283" t="s">
        <v>3623</v>
      </c>
      <c r="E283" t="s">
        <v>3623</v>
      </c>
      <c r="G283" t="s">
        <v>56</v>
      </c>
      <c r="H283" t="s">
        <v>57</v>
      </c>
      <c r="I283" t="s">
        <v>93</v>
      </c>
      <c r="J283">
        <v>0</v>
      </c>
      <c r="K283" t="s">
        <v>447</v>
      </c>
      <c r="L283" t="s">
        <v>389</v>
      </c>
      <c r="M283" t="s">
        <v>7165</v>
      </c>
      <c r="N283" t="s">
        <v>7165</v>
      </c>
      <c r="O283" s="1" t="s">
        <v>448</v>
      </c>
      <c r="P283" t="s">
        <v>448</v>
      </c>
      <c r="Q283" s="1" t="s">
        <v>3090</v>
      </c>
      <c r="R283" s="1" t="s">
        <v>434</v>
      </c>
      <c r="S283" s="1" t="s">
        <v>451</v>
      </c>
      <c r="T283" s="1">
        <v>25</v>
      </c>
      <c r="U283" s="1">
        <v>30074</v>
      </c>
      <c r="V283" s="1" t="s">
        <v>3196</v>
      </c>
      <c r="W283" s="1">
        <v>13693778</v>
      </c>
      <c r="X283" t="s">
        <v>3624</v>
      </c>
      <c r="Y283" t="s">
        <v>3625</v>
      </c>
      <c r="AA283" t="s">
        <v>68</v>
      </c>
      <c r="AB283" t="s">
        <v>3626</v>
      </c>
      <c r="AC283" t="s">
        <v>3627</v>
      </c>
      <c r="AD283" t="s">
        <v>3628</v>
      </c>
      <c r="AE283" t="s">
        <v>3629</v>
      </c>
      <c r="AF283" t="s">
        <v>73</v>
      </c>
      <c r="AG283" t="s">
        <v>3630</v>
      </c>
      <c r="AH283" t="s">
        <v>75</v>
      </c>
      <c r="AI283" t="s">
        <v>76</v>
      </c>
      <c r="AJ283" t="s">
        <v>77</v>
      </c>
      <c r="AK283" t="s">
        <v>3387</v>
      </c>
      <c r="AL283" t="s">
        <v>156</v>
      </c>
      <c r="AM283" t="s">
        <v>80</v>
      </c>
      <c r="AN283" t="s">
        <v>158</v>
      </c>
      <c r="AO283" t="s">
        <v>159</v>
      </c>
      <c r="AP283" t="s">
        <v>83</v>
      </c>
      <c r="AR283">
        <v>125662</v>
      </c>
      <c r="AS283">
        <v>5446115</v>
      </c>
      <c r="AT283">
        <v>177</v>
      </c>
      <c r="AU283" t="s">
        <v>84</v>
      </c>
      <c r="AV283">
        <v>562</v>
      </c>
      <c r="AW283" t="s">
        <v>85</v>
      </c>
      <c r="AX283" t="s">
        <v>86</v>
      </c>
      <c r="AY283">
        <v>562</v>
      </c>
      <c r="AZ283" t="s">
        <v>3631</v>
      </c>
      <c r="BA283" t="s">
        <v>88</v>
      </c>
    </row>
    <row r="284" spans="1:57" hidden="1" x14ac:dyDescent="0.2">
      <c r="A284" t="s">
        <v>3632</v>
      </c>
      <c r="B284" t="s">
        <v>3632</v>
      </c>
      <c r="C284" t="s">
        <v>3633</v>
      </c>
      <c r="D284" t="s">
        <v>3634</v>
      </c>
      <c r="E284" t="s">
        <v>3634</v>
      </c>
      <c r="G284" t="s">
        <v>56</v>
      </c>
      <c r="H284" t="s">
        <v>57</v>
      </c>
      <c r="I284" t="s">
        <v>93</v>
      </c>
      <c r="J284">
        <v>0</v>
      </c>
      <c r="K284" t="s">
        <v>406</v>
      </c>
      <c r="L284" t="s">
        <v>389</v>
      </c>
      <c r="M284" t="s">
        <v>7165</v>
      </c>
      <c r="N284" t="s">
        <v>7165</v>
      </c>
      <c r="O284" s="1" t="s">
        <v>3635</v>
      </c>
      <c r="P284" t="s">
        <v>3635</v>
      </c>
      <c r="Q284" s="1" t="s">
        <v>234</v>
      </c>
      <c r="R284" s="1" t="s">
        <v>167</v>
      </c>
      <c r="S284" s="1" t="s">
        <v>483</v>
      </c>
      <c r="T284" s="1">
        <v>447</v>
      </c>
      <c r="U284" s="1">
        <v>58791</v>
      </c>
      <c r="V284" s="1" t="s">
        <v>3196</v>
      </c>
      <c r="W284" s="1">
        <v>13558100</v>
      </c>
      <c r="X284" t="s">
        <v>3636</v>
      </c>
      <c r="Y284" t="s">
        <v>3637</v>
      </c>
      <c r="AA284" t="s">
        <v>68</v>
      </c>
      <c r="AB284" t="s">
        <v>3638</v>
      </c>
      <c r="AC284" t="s">
        <v>3639</v>
      </c>
      <c r="AD284" t="s">
        <v>3640</v>
      </c>
      <c r="AE284" t="s">
        <v>3235</v>
      </c>
      <c r="AF284" t="s">
        <v>73</v>
      </c>
      <c r="AG284" t="s">
        <v>3641</v>
      </c>
      <c r="AH284" t="s">
        <v>75</v>
      </c>
      <c r="AI284" t="s">
        <v>76</v>
      </c>
      <c r="AJ284" t="s">
        <v>77</v>
      </c>
      <c r="AK284" t="s">
        <v>3642</v>
      </c>
      <c r="AL284" t="s">
        <v>156</v>
      </c>
      <c r="AM284" t="s">
        <v>80</v>
      </c>
      <c r="AN284" t="s">
        <v>158</v>
      </c>
      <c r="AO284" t="s">
        <v>159</v>
      </c>
      <c r="AP284" t="s">
        <v>83</v>
      </c>
      <c r="AR284">
        <v>117287</v>
      </c>
      <c r="AS284">
        <v>5422620</v>
      </c>
      <c r="AT284">
        <v>162</v>
      </c>
      <c r="AU284" t="s">
        <v>84</v>
      </c>
      <c r="AV284">
        <v>562</v>
      </c>
      <c r="AW284" t="s">
        <v>85</v>
      </c>
      <c r="AX284" t="s">
        <v>86</v>
      </c>
      <c r="AY284">
        <v>562</v>
      </c>
      <c r="AZ284" t="s">
        <v>3643</v>
      </c>
      <c r="BA284" t="s">
        <v>88</v>
      </c>
    </row>
    <row r="285" spans="1:57" hidden="1" x14ac:dyDescent="0.2">
      <c r="A285" t="s">
        <v>3644</v>
      </c>
      <c r="B285" t="s">
        <v>3644</v>
      </c>
      <c r="C285" t="s">
        <v>3645</v>
      </c>
      <c r="D285" t="s">
        <v>3646</v>
      </c>
      <c r="E285" t="s">
        <v>3646</v>
      </c>
      <c r="G285" t="s">
        <v>56</v>
      </c>
      <c r="H285" t="s">
        <v>57</v>
      </c>
      <c r="I285" t="s">
        <v>93</v>
      </c>
      <c r="J285">
        <v>0</v>
      </c>
      <c r="K285" t="s">
        <v>140</v>
      </c>
      <c r="L285" t="s">
        <v>141</v>
      </c>
      <c r="M285" t="s">
        <v>7165</v>
      </c>
      <c r="N285" t="s">
        <v>7165</v>
      </c>
      <c r="O285" s="1" t="s">
        <v>3647</v>
      </c>
      <c r="P285" t="s">
        <v>3648</v>
      </c>
      <c r="Q285" s="1" t="s">
        <v>144</v>
      </c>
      <c r="R285" s="1" t="s">
        <v>3649</v>
      </c>
      <c r="S285" s="1" t="s">
        <v>3650</v>
      </c>
      <c r="T285" s="1">
        <v>10924</v>
      </c>
      <c r="U285" s="1">
        <v>15599</v>
      </c>
      <c r="V285" s="1" t="s">
        <v>3651</v>
      </c>
      <c r="W285" s="1">
        <v>13670566</v>
      </c>
      <c r="X285" t="s">
        <v>3652</v>
      </c>
      <c r="Y285" t="s">
        <v>3653</v>
      </c>
      <c r="AA285" t="s">
        <v>68</v>
      </c>
      <c r="AB285" t="s">
        <v>3654</v>
      </c>
      <c r="AC285" t="s">
        <v>3655</v>
      </c>
      <c r="AD285" t="s">
        <v>3656</v>
      </c>
      <c r="AE285" t="s">
        <v>3250</v>
      </c>
      <c r="AF285" t="s">
        <v>73</v>
      </c>
      <c r="AG285" t="s">
        <v>3657</v>
      </c>
      <c r="AH285" t="s">
        <v>3658</v>
      </c>
      <c r="AI285" t="s">
        <v>76</v>
      </c>
      <c r="AJ285" t="s">
        <v>77</v>
      </c>
      <c r="AK285" t="s">
        <v>3659</v>
      </c>
      <c r="AL285" t="s">
        <v>3660</v>
      </c>
      <c r="AM285" t="s">
        <v>3661</v>
      </c>
      <c r="AN285" t="s">
        <v>158</v>
      </c>
      <c r="AO285" t="s">
        <v>159</v>
      </c>
      <c r="AP285" t="s">
        <v>83</v>
      </c>
      <c r="AR285">
        <v>30089</v>
      </c>
      <c r="AS285">
        <v>4909208</v>
      </c>
      <c r="AT285">
        <v>386</v>
      </c>
      <c r="AU285" t="s">
        <v>84</v>
      </c>
      <c r="AV285">
        <v>562</v>
      </c>
      <c r="AW285" t="s">
        <v>85</v>
      </c>
      <c r="AX285" t="s">
        <v>86</v>
      </c>
      <c r="AY285">
        <v>562</v>
      </c>
      <c r="AZ285" t="s">
        <v>3662</v>
      </c>
      <c r="BA285" t="s">
        <v>88</v>
      </c>
      <c r="BC285" t="s">
        <v>3663</v>
      </c>
      <c r="BD285">
        <v>31</v>
      </c>
      <c r="BE285">
        <v>37</v>
      </c>
    </row>
    <row r="286" spans="1:57" hidden="1" x14ac:dyDescent="0.2">
      <c r="A286" t="s">
        <v>3664</v>
      </c>
      <c r="B286" t="s">
        <v>3664</v>
      </c>
      <c r="C286" t="s">
        <v>3665</v>
      </c>
      <c r="D286" t="s">
        <v>3666</v>
      </c>
      <c r="E286" t="s">
        <v>3666</v>
      </c>
      <c r="G286" t="s">
        <v>56</v>
      </c>
      <c r="H286" t="s">
        <v>57</v>
      </c>
      <c r="I286" t="s">
        <v>58</v>
      </c>
      <c r="J286" t="s">
        <v>3228</v>
      </c>
      <c r="K286" t="s">
        <v>406</v>
      </c>
      <c r="L286" t="s">
        <v>389</v>
      </c>
      <c r="M286" t="s">
        <v>7165</v>
      </c>
      <c r="N286" t="s">
        <v>7165</v>
      </c>
      <c r="O286" s="1" t="s">
        <v>3461</v>
      </c>
      <c r="P286" t="s">
        <v>3461</v>
      </c>
      <c r="Q286" s="1" t="s">
        <v>3090</v>
      </c>
      <c r="R286" s="1" t="s">
        <v>434</v>
      </c>
      <c r="S286" s="1" t="s">
        <v>451</v>
      </c>
      <c r="T286" s="1">
        <v>10</v>
      </c>
      <c r="U286" s="1">
        <v>29474</v>
      </c>
      <c r="V286" s="1" t="s">
        <v>3265</v>
      </c>
      <c r="W286" s="1">
        <v>14003015</v>
      </c>
      <c r="X286" t="s">
        <v>3667</v>
      </c>
      <c r="Y286" t="s">
        <v>3668</v>
      </c>
      <c r="AA286" t="s">
        <v>68</v>
      </c>
      <c r="AB286" t="s">
        <v>3669</v>
      </c>
      <c r="AC286" t="s">
        <v>3670</v>
      </c>
      <c r="AD286" t="s">
        <v>3671</v>
      </c>
      <c r="AE286" t="s">
        <v>3672</v>
      </c>
      <c r="AF286" t="s">
        <v>73</v>
      </c>
      <c r="AG286" t="s">
        <v>3673</v>
      </c>
      <c r="AI286" t="s">
        <v>76</v>
      </c>
      <c r="AJ286" t="s">
        <v>77</v>
      </c>
      <c r="AK286" t="s">
        <v>3468</v>
      </c>
      <c r="AL286" t="s">
        <v>79</v>
      </c>
      <c r="AM286" t="s">
        <v>531</v>
      </c>
      <c r="AN286" t="s">
        <v>158</v>
      </c>
      <c r="AO286" t="s">
        <v>159</v>
      </c>
      <c r="AP286" t="s">
        <v>83</v>
      </c>
      <c r="AR286">
        <v>115096</v>
      </c>
      <c r="AS286">
        <v>5492768</v>
      </c>
      <c r="AT286">
        <v>214</v>
      </c>
      <c r="AU286" t="s">
        <v>84</v>
      </c>
      <c r="AV286">
        <v>562</v>
      </c>
      <c r="AW286" t="s">
        <v>85</v>
      </c>
      <c r="AX286" t="s">
        <v>86</v>
      </c>
      <c r="AY286">
        <v>562</v>
      </c>
      <c r="AZ286" t="s">
        <v>3674</v>
      </c>
      <c r="BA286" t="s">
        <v>88</v>
      </c>
      <c r="BC286" t="s">
        <v>3470</v>
      </c>
      <c r="BD286">
        <v>1</v>
      </c>
    </row>
    <row r="287" spans="1:57" hidden="1" x14ac:dyDescent="0.2">
      <c r="A287" t="s">
        <v>3675</v>
      </c>
      <c r="B287" t="s">
        <v>3675</v>
      </c>
      <c r="C287" s="7" t="s">
        <v>3665</v>
      </c>
      <c r="D287" t="s">
        <v>3676</v>
      </c>
      <c r="E287" t="s">
        <v>3676</v>
      </c>
      <c r="G287" t="s">
        <v>56</v>
      </c>
      <c r="H287" t="s">
        <v>57</v>
      </c>
      <c r="I287" t="s">
        <v>93</v>
      </c>
      <c r="J287">
        <v>0</v>
      </c>
      <c r="K287" t="s">
        <v>406</v>
      </c>
      <c r="L287" t="s">
        <v>389</v>
      </c>
      <c r="M287" t="s">
        <v>7165</v>
      </c>
      <c r="N287" t="s">
        <v>7165</v>
      </c>
      <c r="O287" s="1" t="s">
        <v>183</v>
      </c>
      <c r="P287" t="s">
        <v>183</v>
      </c>
      <c r="Q287" s="1" t="s">
        <v>3677</v>
      </c>
      <c r="R287" s="1" t="s">
        <v>3649</v>
      </c>
      <c r="S287" s="1" t="s">
        <v>3678</v>
      </c>
      <c r="T287" s="1">
        <v>33</v>
      </c>
      <c r="U287" s="1">
        <v>1587</v>
      </c>
      <c r="V287" s="1" t="s">
        <v>169</v>
      </c>
      <c r="W287" s="1">
        <v>14003015</v>
      </c>
      <c r="X287" t="s">
        <v>3679</v>
      </c>
      <c r="Y287" t="s">
        <v>3680</v>
      </c>
      <c r="AA287" t="s">
        <v>68</v>
      </c>
      <c r="AB287" t="s">
        <v>3681</v>
      </c>
      <c r="AC287" t="s">
        <v>3682</v>
      </c>
      <c r="AD287" t="s">
        <v>3683</v>
      </c>
      <c r="AE287" t="s">
        <v>3684</v>
      </c>
      <c r="AF287" t="s">
        <v>73</v>
      </c>
      <c r="AG287" t="s">
        <v>3685</v>
      </c>
      <c r="AI287" t="s">
        <v>76</v>
      </c>
      <c r="AJ287" t="s">
        <v>77</v>
      </c>
      <c r="AK287" t="s">
        <v>3686</v>
      </c>
      <c r="AL287" t="s">
        <v>546</v>
      </c>
      <c r="AM287" t="s">
        <v>531</v>
      </c>
      <c r="AN287" t="s">
        <v>532</v>
      </c>
      <c r="AO287" t="s">
        <v>533</v>
      </c>
      <c r="AP287" t="s">
        <v>83</v>
      </c>
      <c r="AR287">
        <v>64381</v>
      </c>
      <c r="AS287">
        <v>5422979</v>
      </c>
      <c r="AT287">
        <v>325</v>
      </c>
      <c r="AU287" t="s">
        <v>84</v>
      </c>
      <c r="AV287">
        <v>562</v>
      </c>
      <c r="AW287" t="s">
        <v>85</v>
      </c>
      <c r="AX287" t="s">
        <v>86</v>
      </c>
      <c r="AY287">
        <v>562</v>
      </c>
      <c r="AZ287" t="s">
        <v>3687</v>
      </c>
      <c r="BA287" t="s">
        <v>88</v>
      </c>
    </row>
    <row r="288" spans="1:57" hidden="1" x14ac:dyDescent="0.2">
      <c r="A288" t="s">
        <v>3688</v>
      </c>
      <c r="B288" t="s">
        <v>3688</v>
      </c>
      <c r="C288" t="s">
        <v>3689</v>
      </c>
      <c r="D288" t="s">
        <v>3690</v>
      </c>
      <c r="E288" t="s">
        <v>3690</v>
      </c>
      <c r="G288" t="s">
        <v>56</v>
      </c>
      <c r="H288" t="s">
        <v>57</v>
      </c>
      <c r="I288" t="s">
        <v>93</v>
      </c>
      <c r="J288">
        <v>0</v>
      </c>
      <c r="K288" t="s">
        <v>406</v>
      </c>
      <c r="L288" t="s">
        <v>389</v>
      </c>
      <c r="M288" t="s">
        <v>7165</v>
      </c>
      <c r="N288" t="s">
        <v>7165</v>
      </c>
      <c r="O288" s="1" t="s">
        <v>390</v>
      </c>
      <c r="P288" t="s">
        <v>390</v>
      </c>
      <c r="Q288" s="1" t="s">
        <v>166</v>
      </c>
      <c r="R288" s="1" t="s">
        <v>167</v>
      </c>
      <c r="S288" s="1" t="s">
        <v>168</v>
      </c>
      <c r="T288" s="1">
        <v>11177</v>
      </c>
      <c r="U288" s="1">
        <v>84725</v>
      </c>
      <c r="V288" s="1" t="s">
        <v>3106</v>
      </c>
      <c r="W288" s="1">
        <v>14003015</v>
      </c>
      <c r="X288" t="s">
        <v>3691</v>
      </c>
      <c r="Y288" t="s">
        <v>3692</v>
      </c>
      <c r="AA288" t="s">
        <v>68</v>
      </c>
      <c r="AB288" t="s">
        <v>3693</v>
      </c>
      <c r="AC288" t="s">
        <v>3694</v>
      </c>
      <c r="AD288" t="s">
        <v>3695</v>
      </c>
      <c r="AE288" t="s">
        <v>3508</v>
      </c>
      <c r="AF288" t="s">
        <v>73</v>
      </c>
      <c r="AG288" t="s">
        <v>3696</v>
      </c>
      <c r="AH288" t="s">
        <v>967</v>
      </c>
      <c r="AI288" t="s">
        <v>76</v>
      </c>
      <c r="AJ288" t="s">
        <v>77</v>
      </c>
      <c r="AK288" t="s">
        <v>3697</v>
      </c>
      <c r="AL288" t="s">
        <v>3115</v>
      </c>
      <c r="AM288" t="s">
        <v>3116</v>
      </c>
      <c r="AN288" t="s">
        <v>158</v>
      </c>
      <c r="AO288" t="s">
        <v>159</v>
      </c>
      <c r="AP288" t="s">
        <v>83</v>
      </c>
      <c r="AR288">
        <v>117453</v>
      </c>
      <c r="AS288">
        <v>5142263</v>
      </c>
      <c r="AT288">
        <v>234</v>
      </c>
      <c r="AU288" t="s">
        <v>84</v>
      </c>
      <c r="AV288">
        <v>562</v>
      </c>
      <c r="AW288" t="s">
        <v>85</v>
      </c>
      <c r="AX288" t="s">
        <v>86</v>
      </c>
      <c r="AY288">
        <v>562</v>
      </c>
      <c r="AZ288" t="s">
        <v>3698</v>
      </c>
      <c r="BA288" t="s">
        <v>88</v>
      </c>
    </row>
    <row r="289" spans="1:53" hidden="1" x14ac:dyDescent="0.2">
      <c r="A289" t="s">
        <v>3699</v>
      </c>
      <c r="B289" t="s">
        <v>3699</v>
      </c>
      <c r="C289" t="s">
        <v>3700</v>
      </c>
      <c r="D289" t="s">
        <v>3701</v>
      </c>
      <c r="E289" t="s">
        <v>3701</v>
      </c>
      <c r="G289" t="s">
        <v>56</v>
      </c>
      <c r="H289" t="s">
        <v>57</v>
      </c>
      <c r="I289" t="s">
        <v>93</v>
      </c>
      <c r="J289">
        <v>0</v>
      </c>
      <c r="K289" t="s">
        <v>406</v>
      </c>
      <c r="L289" t="s">
        <v>389</v>
      </c>
      <c r="M289" t="s">
        <v>7165</v>
      </c>
      <c r="N289" t="s">
        <v>7165</v>
      </c>
      <c r="O289" s="1" t="s">
        <v>3702</v>
      </c>
      <c r="P289" t="s">
        <v>3703</v>
      </c>
      <c r="Q289" s="1" t="s">
        <v>126</v>
      </c>
      <c r="R289" s="1" t="s">
        <v>434</v>
      </c>
      <c r="S289" s="1" t="s">
        <v>468</v>
      </c>
      <c r="T289" s="1">
        <v>11366</v>
      </c>
      <c r="U289" s="1">
        <v>145191</v>
      </c>
      <c r="V289" s="1" t="s">
        <v>3196</v>
      </c>
      <c r="W289" s="1">
        <v>14294856</v>
      </c>
      <c r="X289" t="s">
        <v>3704</v>
      </c>
      <c r="Y289" t="s">
        <v>3705</v>
      </c>
      <c r="AA289" t="s">
        <v>68</v>
      </c>
      <c r="AB289" t="s">
        <v>3706</v>
      </c>
      <c r="AC289" t="s">
        <v>3707</v>
      </c>
      <c r="AD289" t="s">
        <v>3708</v>
      </c>
      <c r="AE289" t="s">
        <v>3125</v>
      </c>
      <c r="AF289" t="s">
        <v>73</v>
      </c>
      <c r="AG289" t="s">
        <v>3709</v>
      </c>
      <c r="AH289" t="s">
        <v>75</v>
      </c>
      <c r="AI289" t="s">
        <v>76</v>
      </c>
      <c r="AJ289" t="s">
        <v>77</v>
      </c>
      <c r="AK289" t="s">
        <v>3710</v>
      </c>
      <c r="AL289" t="s">
        <v>156</v>
      </c>
      <c r="AM289" t="s">
        <v>80</v>
      </c>
      <c r="AN289" t="s">
        <v>158</v>
      </c>
      <c r="AO289" t="s">
        <v>159</v>
      </c>
      <c r="AP289" t="s">
        <v>83</v>
      </c>
      <c r="AR289">
        <v>52235</v>
      </c>
      <c r="AS289">
        <v>5104847</v>
      </c>
      <c r="AT289">
        <v>222</v>
      </c>
      <c r="AU289" t="s">
        <v>84</v>
      </c>
      <c r="AV289">
        <v>562</v>
      </c>
      <c r="AW289" t="s">
        <v>85</v>
      </c>
      <c r="AX289" t="s">
        <v>86</v>
      </c>
      <c r="AY289">
        <v>562</v>
      </c>
      <c r="AZ289" t="s">
        <v>3711</v>
      </c>
      <c r="BA289" t="s">
        <v>88</v>
      </c>
    </row>
    <row r="290" spans="1:53" hidden="1" x14ac:dyDescent="0.2">
      <c r="A290" t="s">
        <v>3712</v>
      </c>
      <c r="B290" t="s">
        <v>3712</v>
      </c>
      <c r="C290" t="s">
        <v>3713</v>
      </c>
      <c r="D290" t="s">
        <v>3714</v>
      </c>
      <c r="E290" t="s">
        <v>3714</v>
      </c>
      <c r="G290" t="s">
        <v>56</v>
      </c>
      <c r="H290" t="s">
        <v>57</v>
      </c>
      <c r="I290" t="s">
        <v>93</v>
      </c>
      <c r="J290">
        <v>0</v>
      </c>
      <c r="K290" t="s">
        <v>406</v>
      </c>
      <c r="L290" t="s">
        <v>389</v>
      </c>
      <c r="M290" t="s">
        <v>7165</v>
      </c>
      <c r="N290" t="s">
        <v>7165</v>
      </c>
      <c r="O290" s="1" t="s">
        <v>183</v>
      </c>
      <c r="P290" t="s">
        <v>183</v>
      </c>
      <c r="Q290" s="1" t="s">
        <v>3090</v>
      </c>
      <c r="R290" s="1" t="s">
        <v>185</v>
      </c>
      <c r="S290" s="1" t="s">
        <v>186</v>
      </c>
      <c r="T290" s="1">
        <v>33</v>
      </c>
      <c r="U290" s="1">
        <v>1587</v>
      </c>
      <c r="V290" s="1" t="s">
        <v>169</v>
      </c>
      <c r="W290" s="1">
        <v>14200473</v>
      </c>
      <c r="X290" t="s">
        <v>3715</v>
      </c>
      <c r="Y290" t="s">
        <v>3716</v>
      </c>
      <c r="AA290" t="s">
        <v>68</v>
      </c>
      <c r="AB290" t="s">
        <v>3717</v>
      </c>
      <c r="AC290" t="s">
        <v>3718</v>
      </c>
      <c r="AD290" t="s">
        <v>3719</v>
      </c>
      <c r="AE290" t="s">
        <v>3720</v>
      </c>
      <c r="AF290" t="s">
        <v>73</v>
      </c>
      <c r="AG290" t="s">
        <v>3721</v>
      </c>
      <c r="AH290" t="s">
        <v>75</v>
      </c>
      <c r="AI290" t="s">
        <v>76</v>
      </c>
      <c r="AJ290" t="s">
        <v>77</v>
      </c>
      <c r="AK290" t="s">
        <v>3722</v>
      </c>
      <c r="AL290" t="s">
        <v>156</v>
      </c>
      <c r="AM290" t="s">
        <v>80</v>
      </c>
      <c r="AN290" t="s">
        <v>158</v>
      </c>
      <c r="AO290" t="s">
        <v>159</v>
      </c>
      <c r="AP290" t="s">
        <v>83</v>
      </c>
      <c r="AR290">
        <v>94578</v>
      </c>
      <c r="AS290">
        <v>5497075</v>
      </c>
      <c r="AT290">
        <v>288</v>
      </c>
      <c r="AU290" t="s">
        <v>84</v>
      </c>
      <c r="AV290">
        <v>562</v>
      </c>
      <c r="AW290" t="s">
        <v>85</v>
      </c>
      <c r="AX290" t="s">
        <v>86</v>
      </c>
      <c r="AY290">
        <v>562</v>
      </c>
      <c r="AZ290" t="s">
        <v>3723</v>
      </c>
      <c r="BA290" t="s">
        <v>88</v>
      </c>
    </row>
    <row r="291" spans="1:53" hidden="1" x14ac:dyDescent="0.2">
      <c r="A291" t="s">
        <v>3724</v>
      </c>
      <c r="B291" t="s">
        <v>3724</v>
      </c>
      <c r="C291" t="s">
        <v>3725</v>
      </c>
      <c r="D291" t="s">
        <v>3726</v>
      </c>
      <c r="E291" t="s">
        <v>3726</v>
      </c>
      <c r="G291" t="s">
        <v>56</v>
      </c>
      <c r="H291" t="s">
        <v>57</v>
      </c>
      <c r="I291" t="s">
        <v>58</v>
      </c>
      <c r="J291" t="s">
        <v>3228</v>
      </c>
      <c r="K291" t="s">
        <v>406</v>
      </c>
      <c r="L291" t="s">
        <v>389</v>
      </c>
      <c r="M291" t="s">
        <v>7165</v>
      </c>
      <c r="N291" t="s">
        <v>7165</v>
      </c>
      <c r="O291" s="1" t="s">
        <v>448</v>
      </c>
      <c r="P291" t="s">
        <v>448</v>
      </c>
      <c r="Q291" s="1" t="s">
        <v>3090</v>
      </c>
      <c r="R291" s="1" t="s">
        <v>434</v>
      </c>
      <c r="S291" s="1" t="s">
        <v>3727</v>
      </c>
      <c r="T291" s="1">
        <v>811</v>
      </c>
      <c r="U291" s="1">
        <v>30074</v>
      </c>
      <c r="V291" s="1" t="s">
        <v>3196</v>
      </c>
      <c r="W291" s="1">
        <v>14340781</v>
      </c>
      <c r="X291" t="s">
        <v>3728</v>
      </c>
      <c r="Y291" t="s">
        <v>3729</v>
      </c>
      <c r="AA291" t="s">
        <v>68</v>
      </c>
      <c r="AB291" t="s">
        <v>3730</v>
      </c>
      <c r="AC291" t="s">
        <v>3731</v>
      </c>
      <c r="AD291" t="s">
        <v>3732</v>
      </c>
      <c r="AE291" t="s">
        <v>3672</v>
      </c>
      <c r="AF291" t="s">
        <v>73</v>
      </c>
      <c r="AG291" t="s">
        <v>3733</v>
      </c>
      <c r="AH291" t="s">
        <v>75</v>
      </c>
      <c r="AI291" t="s">
        <v>76</v>
      </c>
      <c r="AJ291" t="s">
        <v>77</v>
      </c>
      <c r="AK291" t="s">
        <v>3734</v>
      </c>
      <c r="AL291" t="s">
        <v>364</v>
      </c>
      <c r="AM291" t="s">
        <v>80</v>
      </c>
      <c r="AN291" t="s">
        <v>158</v>
      </c>
      <c r="AO291" t="s">
        <v>159</v>
      </c>
      <c r="AP291" t="s">
        <v>83</v>
      </c>
      <c r="AR291">
        <v>111512</v>
      </c>
      <c r="AS291">
        <v>5538118</v>
      </c>
      <c r="AT291">
        <v>154</v>
      </c>
      <c r="AU291" t="s">
        <v>84</v>
      </c>
      <c r="AV291">
        <v>562</v>
      </c>
      <c r="AW291" t="s">
        <v>85</v>
      </c>
      <c r="AX291" t="s">
        <v>86</v>
      </c>
      <c r="AY291">
        <v>562</v>
      </c>
      <c r="AZ291" t="s">
        <v>3735</v>
      </c>
      <c r="BA291" t="s">
        <v>88</v>
      </c>
    </row>
    <row r="292" spans="1:53" hidden="1" x14ac:dyDescent="0.2">
      <c r="A292" t="s">
        <v>3736</v>
      </c>
      <c r="B292" t="s">
        <v>3736</v>
      </c>
      <c r="C292" t="s">
        <v>3737</v>
      </c>
      <c r="D292" t="s">
        <v>3738</v>
      </c>
      <c r="E292" t="s">
        <v>3738</v>
      </c>
      <c r="F292" t="s">
        <v>2035</v>
      </c>
      <c r="G292" t="s">
        <v>56</v>
      </c>
      <c r="H292" t="s">
        <v>57</v>
      </c>
      <c r="I292" t="s">
        <v>93</v>
      </c>
      <c r="J292">
        <v>0</v>
      </c>
      <c r="K292" t="s">
        <v>406</v>
      </c>
      <c r="L292" t="s">
        <v>389</v>
      </c>
      <c r="M292" t="s">
        <v>7165</v>
      </c>
      <c r="N292" t="s">
        <v>7165</v>
      </c>
      <c r="O292" s="1" t="s">
        <v>3739</v>
      </c>
      <c r="P292" t="s">
        <v>3739</v>
      </c>
      <c r="Q292" s="1" t="s">
        <v>3090</v>
      </c>
      <c r="R292" s="1" t="s">
        <v>434</v>
      </c>
      <c r="S292" s="1" t="s">
        <v>3740</v>
      </c>
      <c r="T292" s="1">
        <v>6274</v>
      </c>
      <c r="U292" s="1">
        <v>45610</v>
      </c>
      <c r="V292" s="1" t="s">
        <v>3196</v>
      </c>
      <c r="W292" s="1">
        <v>14296084</v>
      </c>
      <c r="X292" t="s">
        <v>3741</v>
      </c>
      <c r="Y292" t="s">
        <v>3742</v>
      </c>
      <c r="AA292" t="s">
        <v>68</v>
      </c>
      <c r="AB292" t="s">
        <v>3743</v>
      </c>
      <c r="AC292" t="s">
        <v>3744</v>
      </c>
      <c r="AD292" t="s">
        <v>3745</v>
      </c>
      <c r="AE292" t="s">
        <v>3746</v>
      </c>
      <c r="AF292" t="s">
        <v>73</v>
      </c>
      <c r="AG292" t="s">
        <v>3747</v>
      </c>
      <c r="AH292" t="s">
        <v>75</v>
      </c>
      <c r="AI292" t="s">
        <v>76</v>
      </c>
      <c r="AJ292" t="s">
        <v>77</v>
      </c>
      <c r="AK292" t="s">
        <v>3748</v>
      </c>
      <c r="AL292" t="s">
        <v>107</v>
      </c>
      <c r="AM292" t="s">
        <v>80</v>
      </c>
      <c r="AN292" t="s">
        <v>158</v>
      </c>
      <c r="AO292" t="s">
        <v>159</v>
      </c>
      <c r="AP292" t="s">
        <v>83</v>
      </c>
      <c r="AR292">
        <v>107041</v>
      </c>
      <c r="AS292">
        <v>5415990</v>
      </c>
      <c r="AT292">
        <v>282</v>
      </c>
      <c r="AU292" t="s">
        <v>84</v>
      </c>
      <c r="AV292">
        <v>562</v>
      </c>
      <c r="AW292" t="s">
        <v>85</v>
      </c>
      <c r="AX292" t="s">
        <v>86</v>
      </c>
      <c r="AY292">
        <v>562</v>
      </c>
      <c r="AZ292" t="s">
        <v>3749</v>
      </c>
      <c r="BA292" t="s">
        <v>88</v>
      </c>
    </row>
    <row r="293" spans="1:53" hidden="1" x14ac:dyDescent="0.2">
      <c r="A293" t="s">
        <v>3750</v>
      </c>
      <c r="B293" t="s">
        <v>3750</v>
      </c>
      <c r="C293" t="s">
        <v>3751</v>
      </c>
      <c r="D293" t="s">
        <v>3752</v>
      </c>
      <c r="E293" t="s">
        <v>3752</v>
      </c>
      <c r="G293" t="s">
        <v>56</v>
      </c>
      <c r="H293" t="s">
        <v>57</v>
      </c>
      <c r="I293" t="s">
        <v>93</v>
      </c>
      <c r="J293">
        <v>0</v>
      </c>
      <c r="K293" t="s">
        <v>406</v>
      </c>
      <c r="L293" t="s">
        <v>3317</v>
      </c>
      <c r="M293" t="s">
        <v>7165</v>
      </c>
      <c r="N293" t="s">
        <v>7165</v>
      </c>
      <c r="O293" s="1" t="s">
        <v>183</v>
      </c>
      <c r="P293" t="s">
        <v>183</v>
      </c>
      <c r="Q293" s="1" t="s">
        <v>126</v>
      </c>
      <c r="R293" s="1" t="s">
        <v>185</v>
      </c>
      <c r="S293" s="1" t="s">
        <v>186</v>
      </c>
      <c r="T293" s="1">
        <v>33</v>
      </c>
      <c r="U293" s="1">
        <v>1587</v>
      </c>
      <c r="V293" s="1" t="s">
        <v>169</v>
      </c>
      <c r="W293" s="1">
        <v>14340070</v>
      </c>
      <c r="X293" t="s">
        <v>3753</v>
      </c>
      <c r="Y293" t="s">
        <v>3754</v>
      </c>
      <c r="AA293" t="s">
        <v>68</v>
      </c>
      <c r="AB293" t="s">
        <v>3755</v>
      </c>
      <c r="AC293" t="s">
        <v>3756</v>
      </c>
      <c r="AD293" t="s">
        <v>3757</v>
      </c>
      <c r="AE293" t="s">
        <v>3758</v>
      </c>
      <c r="AF293" t="s">
        <v>73</v>
      </c>
      <c r="AG293" t="s">
        <v>3759</v>
      </c>
      <c r="AH293" t="s">
        <v>75</v>
      </c>
      <c r="AI293" t="s">
        <v>76</v>
      </c>
      <c r="AJ293" t="s">
        <v>77</v>
      </c>
      <c r="AK293" t="s">
        <v>3760</v>
      </c>
      <c r="AL293" t="s">
        <v>156</v>
      </c>
      <c r="AM293" t="s">
        <v>80</v>
      </c>
      <c r="AN293" t="s">
        <v>158</v>
      </c>
      <c r="AO293" t="s">
        <v>159</v>
      </c>
      <c r="AP293" t="s">
        <v>83</v>
      </c>
      <c r="AR293">
        <v>66144</v>
      </c>
      <c r="AS293">
        <v>5511749</v>
      </c>
      <c r="AT293">
        <v>199</v>
      </c>
      <c r="AU293" t="s">
        <v>84</v>
      </c>
      <c r="AV293">
        <v>562</v>
      </c>
      <c r="AW293" t="s">
        <v>85</v>
      </c>
      <c r="AX293" t="s">
        <v>86</v>
      </c>
      <c r="AY293">
        <v>562</v>
      </c>
      <c r="AZ293" t="s">
        <v>3761</v>
      </c>
      <c r="BA293" t="s">
        <v>88</v>
      </c>
    </row>
    <row r="294" spans="1:53" hidden="1" x14ac:dyDescent="0.2">
      <c r="A294" t="s">
        <v>3762</v>
      </c>
      <c r="B294" t="s">
        <v>3762</v>
      </c>
      <c r="C294" t="s">
        <v>3763</v>
      </c>
      <c r="D294" t="s">
        <v>3764</v>
      </c>
      <c r="E294" t="s">
        <v>3764</v>
      </c>
      <c r="G294" t="s">
        <v>56</v>
      </c>
      <c r="H294" t="s">
        <v>57</v>
      </c>
      <c r="I294" t="s">
        <v>93</v>
      </c>
      <c r="J294">
        <v>0</v>
      </c>
      <c r="K294" t="s">
        <v>406</v>
      </c>
      <c r="L294" t="s">
        <v>389</v>
      </c>
      <c r="M294" t="s">
        <v>7165</v>
      </c>
      <c r="N294" t="s">
        <v>7165</v>
      </c>
      <c r="O294" s="1" t="s">
        <v>183</v>
      </c>
      <c r="P294" t="s">
        <v>183</v>
      </c>
      <c r="Q294" s="1" t="s">
        <v>126</v>
      </c>
      <c r="R294" s="1" t="s">
        <v>185</v>
      </c>
      <c r="S294" s="1" t="s">
        <v>186</v>
      </c>
      <c r="T294" s="1">
        <v>33</v>
      </c>
      <c r="U294" s="1">
        <v>1587</v>
      </c>
      <c r="V294" s="1" t="s">
        <v>169</v>
      </c>
      <c r="W294" s="1">
        <v>14340307</v>
      </c>
      <c r="X294" t="s">
        <v>3765</v>
      </c>
      <c r="Y294" t="s">
        <v>3766</v>
      </c>
      <c r="AA294" t="s">
        <v>68</v>
      </c>
      <c r="AB294" t="s">
        <v>3767</v>
      </c>
      <c r="AC294" t="s">
        <v>3768</v>
      </c>
      <c r="AD294" t="s">
        <v>3769</v>
      </c>
      <c r="AE294" t="s">
        <v>3125</v>
      </c>
      <c r="AF294" t="s">
        <v>73</v>
      </c>
      <c r="AG294" t="s">
        <v>3770</v>
      </c>
      <c r="AH294" t="s">
        <v>75</v>
      </c>
      <c r="AI294" t="s">
        <v>76</v>
      </c>
      <c r="AJ294" t="s">
        <v>77</v>
      </c>
      <c r="AK294" t="s">
        <v>3771</v>
      </c>
      <c r="AL294" t="s">
        <v>156</v>
      </c>
      <c r="AM294" t="s">
        <v>80</v>
      </c>
      <c r="AN294" t="s">
        <v>158</v>
      </c>
      <c r="AO294" t="s">
        <v>159</v>
      </c>
      <c r="AP294" t="s">
        <v>83</v>
      </c>
      <c r="AR294">
        <v>95385</v>
      </c>
      <c r="AS294">
        <v>5570081</v>
      </c>
      <c r="AT294">
        <v>188</v>
      </c>
      <c r="AU294" t="s">
        <v>84</v>
      </c>
      <c r="AV294">
        <v>562</v>
      </c>
      <c r="AW294" t="s">
        <v>85</v>
      </c>
      <c r="AX294" t="s">
        <v>86</v>
      </c>
      <c r="AY294">
        <v>562</v>
      </c>
      <c r="AZ294" t="s">
        <v>3772</v>
      </c>
      <c r="BA294" t="s">
        <v>88</v>
      </c>
    </row>
    <row r="295" spans="1:53" hidden="1" x14ac:dyDescent="0.2">
      <c r="A295" t="s">
        <v>3773</v>
      </c>
      <c r="B295" t="s">
        <v>3773</v>
      </c>
      <c r="C295" t="s">
        <v>3774</v>
      </c>
      <c r="D295" t="s">
        <v>3775</v>
      </c>
      <c r="E295" t="s">
        <v>3775</v>
      </c>
      <c r="G295" t="s">
        <v>56</v>
      </c>
      <c r="H295" t="s">
        <v>57</v>
      </c>
      <c r="I295" t="s">
        <v>93</v>
      </c>
      <c r="J295">
        <v>0</v>
      </c>
      <c r="K295" t="s">
        <v>406</v>
      </c>
      <c r="L295" t="s">
        <v>389</v>
      </c>
      <c r="M295" t="s">
        <v>7165</v>
      </c>
      <c r="N295" t="s">
        <v>7165</v>
      </c>
      <c r="O295" s="1" t="s">
        <v>183</v>
      </c>
      <c r="P295" t="s">
        <v>183</v>
      </c>
      <c r="Q295" s="1" t="s">
        <v>126</v>
      </c>
      <c r="R295" s="1" t="s">
        <v>185</v>
      </c>
      <c r="S295" s="1" t="s">
        <v>186</v>
      </c>
      <c r="T295" s="1">
        <v>33</v>
      </c>
      <c r="U295" s="1">
        <v>158776</v>
      </c>
      <c r="V295" s="1" t="s">
        <v>3776</v>
      </c>
      <c r="W295" s="1">
        <v>14435407</v>
      </c>
      <c r="X295" t="s">
        <v>3777</v>
      </c>
      <c r="Y295" t="s">
        <v>3778</v>
      </c>
      <c r="AA295" t="s">
        <v>68</v>
      </c>
      <c r="AB295" t="s">
        <v>3779</v>
      </c>
      <c r="AC295" t="s">
        <v>3780</v>
      </c>
      <c r="AD295" t="s">
        <v>3781</v>
      </c>
      <c r="AE295" t="s">
        <v>3684</v>
      </c>
      <c r="AF295" t="s">
        <v>73</v>
      </c>
      <c r="AG295" t="s">
        <v>3782</v>
      </c>
      <c r="AH295" t="s">
        <v>75</v>
      </c>
      <c r="AI295" t="s">
        <v>76</v>
      </c>
      <c r="AJ295" t="s">
        <v>77</v>
      </c>
      <c r="AK295" t="s">
        <v>3783</v>
      </c>
      <c r="AL295" t="s">
        <v>156</v>
      </c>
      <c r="AM295" t="s">
        <v>80</v>
      </c>
      <c r="AN295" t="s">
        <v>158</v>
      </c>
      <c r="AO295" t="s">
        <v>159</v>
      </c>
      <c r="AP295" t="s">
        <v>83</v>
      </c>
      <c r="AR295">
        <v>95423</v>
      </c>
      <c r="AS295">
        <v>5489281</v>
      </c>
      <c r="AT295">
        <v>235</v>
      </c>
      <c r="AU295" t="s">
        <v>84</v>
      </c>
      <c r="AV295">
        <v>562</v>
      </c>
      <c r="AW295" t="s">
        <v>85</v>
      </c>
      <c r="AX295" t="s">
        <v>86</v>
      </c>
      <c r="AY295">
        <v>562</v>
      </c>
      <c r="AZ295" t="s">
        <v>3784</v>
      </c>
      <c r="BA295" t="s">
        <v>88</v>
      </c>
    </row>
    <row r="296" spans="1:53" hidden="1" x14ac:dyDescent="0.2">
      <c r="A296" t="s">
        <v>3785</v>
      </c>
      <c r="B296" t="s">
        <v>3785</v>
      </c>
      <c r="C296" t="s">
        <v>3786</v>
      </c>
      <c r="D296" t="s">
        <v>3787</v>
      </c>
      <c r="E296" t="s">
        <v>3787</v>
      </c>
      <c r="G296" t="s">
        <v>56</v>
      </c>
      <c r="H296" t="s">
        <v>57</v>
      </c>
      <c r="I296" t="s">
        <v>93</v>
      </c>
      <c r="J296">
        <v>0</v>
      </c>
      <c r="K296" t="s">
        <v>406</v>
      </c>
      <c r="L296" t="s">
        <v>389</v>
      </c>
      <c r="M296" t="s">
        <v>7165</v>
      </c>
      <c r="N296" t="s">
        <v>7165</v>
      </c>
      <c r="O296" s="1" t="s">
        <v>183</v>
      </c>
      <c r="P296" t="s">
        <v>183</v>
      </c>
      <c r="Q296" s="1" t="s">
        <v>3677</v>
      </c>
      <c r="R296" s="1" t="s">
        <v>3649</v>
      </c>
      <c r="S296" s="1" t="s">
        <v>3678</v>
      </c>
      <c r="T296" s="1">
        <v>33</v>
      </c>
      <c r="U296" s="1">
        <v>1587</v>
      </c>
      <c r="V296" s="1" t="s">
        <v>169</v>
      </c>
      <c r="W296" s="1">
        <v>14435407</v>
      </c>
      <c r="X296" t="s">
        <v>3788</v>
      </c>
      <c r="Y296" t="s">
        <v>3789</v>
      </c>
      <c r="AA296" t="s">
        <v>68</v>
      </c>
      <c r="AB296" t="s">
        <v>3790</v>
      </c>
      <c r="AC296" t="s">
        <v>3791</v>
      </c>
      <c r="AD296" t="s">
        <v>3792</v>
      </c>
      <c r="AE296" t="s">
        <v>3684</v>
      </c>
      <c r="AF296" t="s">
        <v>73</v>
      </c>
      <c r="AG296" t="s">
        <v>3793</v>
      </c>
      <c r="AI296" t="s">
        <v>76</v>
      </c>
      <c r="AJ296" t="s">
        <v>77</v>
      </c>
      <c r="AK296" t="s">
        <v>3794</v>
      </c>
      <c r="AL296" t="s">
        <v>156</v>
      </c>
      <c r="AM296" t="s">
        <v>531</v>
      </c>
      <c r="AN296" t="s">
        <v>532</v>
      </c>
      <c r="AO296" t="s">
        <v>533</v>
      </c>
      <c r="AP296" t="s">
        <v>83</v>
      </c>
      <c r="AR296">
        <v>111527</v>
      </c>
      <c r="AS296">
        <v>5479448</v>
      </c>
      <c r="AT296">
        <v>380</v>
      </c>
      <c r="AU296" t="s">
        <v>84</v>
      </c>
      <c r="AV296">
        <v>562</v>
      </c>
      <c r="AW296" t="s">
        <v>85</v>
      </c>
      <c r="AX296" t="s">
        <v>86</v>
      </c>
      <c r="AY296">
        <v>562</v>
      </c>
      <c r="AZ296" t="s">
        <v>3795</v>
      </c>
      <c r="BA296" t="s">
        <v>88</v>
      </c>
    </row>
    <row r="297" spans="1:53" hidden="1" x14ac:dyDescent="0.2">
      <c r="A297" t="s">
        <v>3796</v>
      </c>
      <c r="B297" t="s">
        <v>3796</v>
      </c>
      <c r="C297" t="s">
        <v>3797</v>
      </c>
      <c r="D297" t="s">
        <v>3798</v>
      </c>
      <c r="E297" t="s">
        <v>3798</v>
      </c>
      <c r="G297" t="s">
        <v>56</v>
      </c>
      <c r="H297" t="s">
        <v>3391</v>
      </c>
      <c r="I297" t="s">
        <v>58</v>
      </c>
      <c r="J297" t="s">
        <v>3228</v>
      </c>
      <c r="K297" t="s">
        <v>406</v>
      </c>
      <c r="L297" t="s">
        <v>389</v>
      </c>
      <c r="M297" t="s">
        <v>7165</v>
      </c>
      <c r="N297" t="s">
        <v>7165</v>
      </c>
      <c r="O297" s="1" t="s">
        <v>3392</v>
      </c>
      <c r="P297" t="s">
        <v>3392</v>
      </c>
      <c r="Q297" s="1" t="s">
        <v>3090</v>
      </c>
      <c r="R297" s="1" t="s">
        <v>434</v>
      </c>
      <c r="S297" s="1" t="s">
        <v>3799</v>
      </c>
      <c r="T297" s="1">
        <v>57</v>
      </c>
      <c r="U297" s="1">
        <v>158785</v>
      </c>
      <c r="V297" s="1" t="s">
        <v>3394</v>
      </c>
      <c r="W297" s="1">
        <v>14435407</v>
      </c>
      <c r="X297" t="s">
        <v>3800</v>
      </c>
      <c r="Y297" t="s">
        <v>3801</v>
      </c>
      <c r="AA297" t="s">
        <v>68</v>
      </c>
      <c r="AB297" t="s">
        <v>3802</v>
      </c>
      <c r="AC297" t="s">
        <v>3803</v>
      </c>
      <c r="AD297" t="s">
        <v>3804</v>
      </c>
      <c r="AE297" t="s">
        <v>3805</v>
      </c>
      <c r="AF297" t="s">
        <v>73</v>
      </c>
      <c r="AG297" t="s">
        <v>3806</v>
      </c>
      <c r="AH297" t="s">
        <v>3402</v>
      </c>
      <c r="AI297" t="s">
        <v>76</v>
      </c>
      <c r="AJ297" t="s">
        <v>77</v>
      </c>
      <c r="AK297" t="s">
        <v>3807</v>
      </c>
      <c r="AL297" t="s">
        <v>364</v>
      </c>
      <c r="AM297" t="s">
        <v>3404</v>
      </c>
      <c r="AN297" t="s">
        <v>158</v>
      </c>
      <c r="AO297" t="s">
        <v>159</v>
      </c>
      <c r="AP297" t="s">
        <v>83</v>
      </c>
      <c r="AR297">
        <v>93013</v>
      </c>
      <c r="AS297">
        <v>5476397</v>
      </c>
      <c r="AT297">
        <v>321</v>
      </c>
      <c r="AU297" t="s">
        <v>84</v>
      </c>
      <c r="AV297">
        <v>562</v>
      </c>
      <c r="AW297" t="s">
        <v>85</v>
      </c>
      <c r="AX297" t="s">
        <v>86</v>
      </c>
      <c r="AY297">
        <v>562</v>
      </c>
      <c r="AZ297" t="s">
        <v>3808</v>
      </c>
      <c r="BA297" t="s">
        <v>88</v>
      </c>
    </row>
    <row r="298" spans="1:53" hidden="1" x14ac:dyDescent="0.2">
      <c r="A298" t="s">
        <v>3809</v>
      </c>
      <c r="B298" t="s">
        <v>3809</v>
      </c>
      <c r="C298" t="s">
        <v>3797</v>
      </c>
      <c r="D298" t="s">
        <v>3810</v>
      </c>
      <c r="E298" t="s">
        <v>3810</v>
      </c>
      <c r="G298" t="s">
        <v>56</v>
      </c>
      <c r="H298" t="s">
        <v>57</v>
      </c>
      <c r="I298" t="s">
        <v>58</v>
      </c>
      <c r="J298" t="s">
        <v>3228</v>
      </c>
      <c r="K298" t="s">
        <v>406</v>
      </c>
      <c r="L298" t="s">
        <v>389</v>
      </c>
      <c r="M298" t="s">
        <v>7165</v>
      </c>
      <c r="N298" t="s">
        <v>7165</v>
      </c>
      <c r="O298" s="1" t="s">
        <v>3635</v>
      </c>
      <c r="P298" t="s">
        <v>3635</v>
      </c>
      <c r="Q298" s="1" t="s">
        <v>3090</v>
      </c>
      <c r="R298" s="1" t="s">
        <v>434</v>
      </c>
      <c r="S298" s="1" t="s">
        <v>3811</v>
      </c>
      <c r="T298" s="1">
        <v>447</v>
      </c>
      <c r="U298" s="1">
        <v>30763</v>
      </c>
      <c r="V298" s="1" t="s">
        <v>3196</v>
      </c>
      <c r="W298" s="1">
        <v>14435407</v>
      </c>
      <c r="X298" t="s">
        <v>3812</v>
      </c>
      <c r="Y298" t="s">
        <v>3813</v>
      </c>
      <c r="AA298" t="s">
        <v>68</v>
      </c>
      <c r="AB298" t="s">
        <v>3814</v>
      </c>
      <c r="AC298" t="s">
        <v>3815</v>
      </c>
      <c r="AD298" t="s">
        <v>3816</v>
      </c>
      <c r="AE298" t="s">
        <v>3202</v>
      </c>
      <c r="AF298" t="s">
        <v>73</v>
      </c>
      <c r="AG298" t="s">
        <v>3817</v>
      </c>
      <c r="AH298" t="s">
        <v>75</v>
      </c>
      <c r="AI298" t="s">
        <v>76</v>
      </c>
      <c r="AJ298" t="s">
        <v>77</v>
      </c>
      <c r="AK298" t="s">
        <v>3818</v>
      </c>
      <c r="AL298" t="s">
        <v>364</v>
      </c>
      <c r="AM298" t="s">
        <v>80</v>
      </c>
      <c r="AN298" t="s">
        <v>158</v>
      </c>
      <c r="AO298" t="s">
        <v>159</v>
      </c>
      <c r="AP298" t="s">
        <v>83</v>
      </c>
      <c r="AR298">
        <v>151901</v>
      </c>
      <c r="AS298">
        <v>5339502</v>
      </c>
      <c r="AT298">
        <v>271</v>
      </c>
      <c r="AU298" t="s">
        <v>84</v>
      </c>
      <c r="AV298">
        <v>562</v>
      </c>
      <c r="AW298" t="s">
        <v>85</v>
      </c>
      <c r="AX298" t="s">
        <v>86</v>
      </c>
      <c r="AY298">
        <v>562</v>
      </c>
      <c r="AZ298" t="s">
        <v>3819</v>
      </c>
      <c r="BA298" t="s">
        <v>88</v>
      </c>
    </row>
    <row r="299" spans="1:53" hidden="1" x14ac:dyDescent="0.2">
      <c r="A299" t="s">
        <v>3820</v>
      </c>
      <c r="B299" t="s">
        <v>3820</v>
      </c>
      <c r="C299" t="s">
        <v>3821</v>
      </c>
      <c r="D299" t="s">
        <v>3822</v>
      </c>
      <c r="E299" t="s">
        <v>3822</v>
      </c>
      <c r="G299" t="s">
        <v>56</v>
      </c>
      <c r="H299" t="s">
        <v>57</v>
      </c>
      <c r="I299" t="s">
        <v>93</v>
      </c>
      <c r="J299">
        <v>0</v>
      </c>
      <c r="K299" t="s">
        <v>406</v>
      </c>
      <c r="L299" t="s">
        <v>389</v>
      </c>
      <c r="M299" t="s">
        <v>7165</v>
      </c>
      <c r="N299" t="s">
        <v>7165</v>
      </c>
      <c r="O299" s="1" t="s">
        <v>3823</v>
      </c>
      <c r="P299" t="s">
        <v>3823</v>
      </c>
      <c r="Q299" s="1" t="s">
        <v>144</v>
      </c>
      <c r="R299" s="1" t="s">
        <v>3649</v>
      </c>
      <c r="S299" s="1" t="s">
        <v>3824</v>
      </c>
      <c r="T299" s="1">
        <v>58</v>
      </c>
      <c r="U299" s="1">
        <v>1601</v>
      </c>
      <c r="V299" s="1" t="s">
        <v>169</v>
      </c>
      <c r="W299" s="1">
        <v>0</v>
      </c>
      <c r="X299" t="s">
        <v>3825</v>
      </c>
      <c r="Y299" t="s">
        <v>3826</v>
      </c>
      <c r="AA299" t="s">
        <v>68</v>
      </c>
      <c r="AB299" t="s">
        <v>3827</v>
      </c>
      <c r="AC299" t="s">
        <v>3828</v>
      </c>
      <c r="AD299" t="s">
        <v>3829</v>
      </c>
      <c r="AE299" t="s">
        <v>3400</v>
      </c>
      <c r="AF299" t="s">
        <v>73</v>
      </c>
      <c r="AG299" t="s">
        <v>3830</v>
      </c>
      <c r="AH299" t="s">
        <v>75</v>
      </c>
      <c r="AI299" t="s">
        <v>76</v>
      </c>
      <c r="AJ299" t="s">
        <v>77</v>
      </c>
      <c r="AK299" t="s">
        <v>3831</v>
      </c>
      <c r="AL299" t="s">
        <v>107</v>
      </c>
      <c r="AM299" t="s">
        <v>80</v>
      </c>
      <c r="AN299" t="s">
        <v>158</v>
      </c>
      <c r="AO299" t="s">
        <v>159</v>
      </c>
      <c r="AP299" t="s">
        <v>83</v>
      </c>
      <c r="AR299">
        <v>101600</v>
      </c>
      <c r="AS299">
        <v>5235167</v>
      </c>
      <c r="AT299">
        <v>170</v>
      </c>
      <c r="AU299" t="s">
        <v>84</v>
      </c>
      <c r="AV299">
        <v>562</v>
      </c>
      <c r="AW299" t="s">
        <v>85</v>
      </c>
      <c r="AX299" t="s">
        <v>86</v>
      </c>
      <c r="AY299">
        <v>562</v>
      </c>
      <c r="AZ299" t="s">
        <v>3832</v>
      </c>
      <c r="BA299" t="s">
        <v>88</v>
      </c>
    </row>
    <row r="300" spans="1:53" hidden="1" x14ac:dyDescent="0.2">
      <c r="A300" t="s">
        <v>3833</v>
      </c>
      <c r="B300" t="s">
        <v>3833</v>
      </c>
      <c r="C300" t="s">
        <v>3821</v>
      </c>
      <c r="D300" t="s">
        <v>3834</v>
      </c>
      <c r="E300" t="s">
        <v>3834</v>
      </c>
      <c r="G300" t="s">
        <v>56</v>
      </c>
      <c r="H300" t="s">
        <v>57</v>
      </c>
      <c r="I300" t="s">
        <v>93</v>
      </c>
      <c r="J300">
        <v>0</v>
      </c>
      <c r="K300" t="s">
        <v>406</v>
      </c>
      <c r="L300" t="s">
        <v>389</v>
      </c>
      <c r="M300" t="s">
        <v>7165</v>
      </c>
      <c r="N300" t="s">
        <v>7165</v>
      </c>
      <c r="O300" s="1" t="s">
        <v>3702</v>
      </c>
      <c r="P300" t="s">
        <v>3703</v>
      </c>
      <c r="Q300" s="1" t="s">
        <v>166</v>
      </c>
      <c r="R300" s="1" t="s">
        <v>167</v>
      </c>
      <c r="S300" s="1" t="s">
        <v>168</v>
      </c>
      <c r="T300" s="1">
        <v>8356</v>
      </c>
      <c r="U300" s="1">
        <v>162289</v>
      </c>
      <c r="V300" s="1" t="s">
        <v>3093</v>
      </c>
      <c r="W300" s="1">
        <v>0</v>
      </c>
      <c r="X300" t="s">
        <v>3835</v>
      </c>
      <c r="Y300" t="s">
        <v>3836</v>
      </c>
      <c r="AA300" t="s">
        <v>68</v>
      </c>
      <c r="AB300" t="s">
        <v>3837</v>
      </c>
      <c r="AC300" t="s">
        <v>3838</v>
      </c>
      <c r="AD300" t="s">
        <v>3839</v>
      </c>
      <c r="AE300" t="s">
        <v>3840</v>
      </c>
      <c r="AF300" t="s">
        <v>73</v>
      </c>
      <c r="AG300" t="s">
        <v>3841</v>
      </c>
      <c r="AH300" t="s">
        <v>75</v>
      </c>
      <c r="AI300" t="s">
        <v>76</v>
      </c>
      <c r="AJ300" t="s">
        <v>77</v>
      </c>
      <c r="AK300" t="s">
        <v>3842</v>
      </c>
      <c r="AL300" t="s">
        <v>107</v>
      </c>
      <c r="AM300" t="s">
        <v>401</v>
      </c>
      <c r="AN300" t="s">
        <v>158</v>
      </c>
      <c r="AO300" t="s">
        <v>159</v>
      </c>
      <c r="AP300" t="s">
        <v>83</v>
      </c>
      <c r="AR300">
        <v>90517</v>
      </c>
      <c r="AS300">
        <v>5069545</v>
      </c>
      <c r="AT300">
        <v>204</v>
      </c>
      <c r="AU300" t="s">
        <v>84</v>
      </c>
      <c r="AV300">
        <v>562</v>
      </c>
      <c r="AW300" t="s">
        <v>85</v>
      </c>
      <c r="AX300" t="s">
        <v>86</v>
      </c>
      <c r="AY300">
        <v>562</v>
      </c>
      <c r="AZ300" t="s">
        <v>3843</v>
      </c>
      <c r="BA300" t="s">
        <v>88</v>
      </c>
    </row>
    <row r="301" spans="1:53" hidden="1" x14ac:dyDescent="0.2">
      <c r="A301" t="s">
        <v>3844</v>
      </c>
      <c r="B301" t="s">
        <v>3844</v>
      </c>
      <c r="C301" t="s">
        <v>3845</v>
      </c>
      <c r="D301" t="s">
        <v>3846</v>
      </c>
      <c r="E301" t="s">
        <v>3846</v>
      </c>
      <c r="G301" t="s">
        <v>56</v>
      </c>
      <c r="H301" t="s">
        <v>57</v>
      </c>
      <c r="I301" t="s">
        <v>93</v>
      </c>
      <c r="J301">
        <v>0</v>
      </c>
      <c r="K301" t="s">
        <v>406</v>
      </c>
      <c r="L301" t="s">
        <v>3847</v>
      </c>
      <c r="M301" t="s">
        <v>7165</v>
      </c>
      <c r="N301" t="s">
        <v>7165</v>
      </c>
      <c r="O301" s="1" t="s">
        <v>3848</v>
      </c>
      <c r="P301" t="s">
        <v>3849</v>
      </c>
      <c r="Q301" s="1" t="s">
        <v>3090</v>
      </c>
      <c r="R301" s="1" t="s">
        <v>434</v>
      </c>
      <c r="S301" s="1" t="s">
        <v>3850</v>
      </c>
      <c r="T301" s="1">
        <v>3695</v>
      </c>
      <c r="U301" s="1">
        <v>48393</v>
      </c>
      <c r="V301" s="1" t="s">
        <v>3093</v>
      </c>
      <c r="W301" s="1">
        <v>14472336</v>
      </c>
      <c r="X301" t="s">
        <v>3851</v>
      </c>
      <c r="Y301" t="s">
        <v>3852</v>
      </c>
      <c r="AA301" t="s">
        <v>68</v>
      </c>
      <c r="AB301" t="s">
        <v>3853</v>
      </c>
      <c r="AC301" t="s">
        <v>3854</v>
      </c>
      <c r="AD301" t="s">
        <v>3855</v>
      </c>
      <c r="AE301" t="s">
        <v>3856</v>
      </c>
      <c r="AF301" t="s">
        <v>73</v>
      </c>
      <c r="AG301" t="s">
        <v>3857</v>
      </c>
      <c r="AH301" t="s">
        <v>75</v>
      </c>
      <c r="AI301" t="s">
        <v>76</v>
      </c>
      <c r="AJ301" t="s">
        <v>77</v>
      </c>
      <c r="AK301" t="s">
        <v>3858</v>
      </c>
      <c r="AL301" t="s">
        <v>107</v>
      </c>
      <c r="AM301" t="s">
        <v>80</v>
      </c>
      <c r="AN301" t="s">
        <v>158</v>
      </c>
      <c r="AO301" t="s">
        <v>159</v>
      </c>
      <c r="AP301" t="s">
        <v>83</v>
      </c>
      <c r="AR301">
        <v>55535</v>
      </c>
      <c r="AS301">
        <v>5459009</v>
      </c>
      <c r="AT301">
        <v>386</v>
      </c>
      <c r="AU301" t="s">
        <v>84</v>
      </c>
      <c r="AV301">
        <v>562</v>
      </c>
      <c r="AW301" t="s">
        <v>85</v>
      </c>
      <c r="AX301" t="s">
        <v>86</v>
      </c>
      <c r="AY301">
        <v>562</v>
      </c>
      <c r="AZ301" t="s">
        <v>3859</v>
      </c>
      <c r="BA301" t="s">
        <v>88</v>
      </c>
    </row>
    <row r="302" spans="1:53" hidden="1" x14ac:dyDescent="0.2">
      <c r="A302" t="s">
        <v>3860</v>
      </c>
      <c r="B302" t="s">
        <v>3860</v>
      </c>
      <c r="C302" t="s">
        <v>3861</v>
      </c>
      <c r="D302" t="s">
        <v>3862</v>
      </c>
      <c r="E302" t="s">
        <v>3862</v>
      </c>
      <c r="G302" t="s">
        <v>56</v>
      </c>
      <c r="H302" t="s">
        <v>57</v>
      </c>
      <c r="I302" t="s">
        <v>93</v>
      </c>
      <c r="J302">
        <v>0</v>
      </c>
      <c r="K302" t="s">
        <v>406</v>
      </c>
      <c r="L302" t="s">
        <v>389</v>
      </c>
      <c r="M302" t="s">
        <v>7165</v>
      </c>
      <c r="N302" t="s">
        <v>7165</v>
      </c>
      <c r="O302" s="1" t="s">
        <v>3863</v>
      </c>
      <c r="P302" t="s">
        <v>3863</v>
      </c>
      <c r="Q302" s="1" t="s">
        <v>3090</v>
      </c>
      <c r="R302" s="1" t="s">
        <v>434</v>
      </c>
      <c r="S302" s="1" t="s">
        <v>435</v>
      </c>
      <c r="T302" s="1">
        <v>3695</v>
      </c>
      <c r="U302" s="1">
        <v>48393</v>
      </c>
      <c r="V302" s="1" t="s">
        <v>3093</v>
      </c>
      <c r="W302" s="1">
        <v>14968530</v>
      </c>
      <c r="X302" t="s">
        <v>3864</v>
      </c>
      <c r="Y302" t="s">
        <v>3865</v>
      </c>
      <c r="AA302" t="s">
        <v>68</v>
      </c>
      <c r="AB302" t="s">
        <v>3866</v>
      </c>
      <c r="AC302" t="s">
        <v>3867</v>
      </c>
      <c r="AD302" t="s">
        <v>3868</v>
      </c>
      <c r="AE302" t="s">
        <v>3869</v>
      </c>
      <c r="AF302" t="s">
        <v>73</v>
      </c>
      <c r="AG302" t="s">
        <v>3870</v>
      </c>
      <c r="AH302" t="s">
        <v>75</v>
      </c>
      <c r="AI302" t="s">
        <v>76</v>
      </c>
      <c r="AJ302" t="s">
        <v>77</v>
      </c>
      <c r="AK302" t="s">
        <v>3871</v>
      </c>
      <c r="AL302" t="s">
        <v>107</v>
      </c>
      <c r="AM302" t="s">
        <v>80</v>
      </c>
      <c r="AN302" t="s">
        <v>158</v>
      </c>
      <c r="AO302" t="s">
        <v>159</v>
      </c>
      <c r="AP302" t="s">
        <v>83</v>
      </c>
      <c r="AR302">
        <v>92102</v>
      </c>
      <c r="AS302">
        <v>5470363</v>
      </c>
      <c r="AT302">
        <v>237</v>
      </c>
      <c r="AU302" t="s">
        <v>84</v>
      </c>
      <c r="AV302">
        <v>562</v>
      </c>
      <c r="AW302" t="s">
        <v>85</v>
      </c>
      <c r="AX302" t="s">
        <v>86</v>
      </c>
      <c r="AY302">
        <v>562</v>
      </c>
      <c r="AZ302" t="s">
        <v>3872</v>
      </c>
      <c r="BA302" t="s">
        <v>88</v>
      </c>
    </row>
    <row r="303" spans="1:53" hidden="1" x14ac:dyDescent="0.2">
      <c r="A303" t="s">
        <v>3873</v>
      </c>
      <c r="B303" t="s">
        <v>3873</v>
      </c>
      <c r="C303" t="s">
        <v>3874</v>
      </c>
      <c r="D303" t="s">
        <v>3875</v>
      </c>
      <c r="E303" t="s">
        <v>3875</v>
      </c>
      <c r="G303" t="s">
        <v>56</v>
      </c>
      <c r="H303" t="s">
        <v>57</v>
      </c>
      <c r="I303" t="s">
        <v>93</v>
      </c>
      <c r="J303">
        <v>0</v>
      </c>
      <c r="K303" t="s">
        <v>406</v>
      </c>
      <c r="L303" t="s">
        <v>389</v>
      </c>
      <c r="M303" t="s">
        <v>7165</v>
      </c>
      <c r="N303" t="s">
        <v>7165</v>
      </c>
      <c r="O303" s="1" t="s">
        <v>183</v>
      </c>
      <c r="P303" t="s">
        <v>183</v>
      </c>
      <c r="Q303" s="1" t="s">
        <v>3090</v>
      </c>
      <c r="R303" s="1" t="s">
        <v>185</v>
      </c>
      <c r="S303" s="1" t="s">
        <v>3876</v>
      </c>
      <c r="T303" s="1">
        <v>33</v>
      </c>
      <c r="U303" s="1">
        <v>169887</v>
      </c>
      <c r="V303" s="1" t="s">
        <v>3776</v>
      </c>
      <c r="W303" s="1">
        <v>15072446</v>
      </c>
      <c r="X303" t="s">
        <v>3877</v>
      </c>
      <c r="Y303" t="s">
        <v>3878</v>
      </c>
      <c r="AA303" t="s">
        <v>68</v>
      </c>
      <c r="AB303" t="s">
        <v>3879</v>
      </c>
      <c r="AC303" t="s">
        <v>3880</v>
      </c>
      <c r="AD303" t="s">
        <v>3881</v>
      </c>
      <c r="AE303" t="s">
        <v>3882</v>
      </c>
      <c r="AF303" t="s">
        <v>73</v>
      </c>
      <c r="AG303" t="s">
        <v>3883</v>
      </c>
      <c r="AI303" t="s">
        <v>76</v>
      </c>
      <c r="AJ303" t="s">
        <v>77</v>
      </c>
      <c r="AK303" t="s">
        <v>3884</v>
      </c>
      <c r="AL303" t="s">
        <v>156</v>
      </c>
      <c r="AM303" t="s">
        <v>531</v>
      </c>
      <c r="AN303" t="s">
        <v>532</v>
      </c>
      <c r="AO303" t="s">
        <v>533</v>
      </c>
      <c r="AP303" t="s">
        <v>83</v>
      </c>
      <c r="AR303">
        <v>100394</v>
      </c>
      <c r="AS303">
        <v>5552306</v>
      </c>
      <c r="AT303">
        <v>298</v>
      </c>
      <c r="AU303" t="s">
        <v>84</v>
      </c>
      <c r="AV303">
        <v>562</v>
      </c>
      <c r="AW303" t="s">
        <v>85</v>
      </c>
      <c r="AX303" t="s">
        <v>86</v>
      </c>
      <c r="AY303">
        <v>562</v>
      </c>
      <c r="AZ303" t="s">
        <v>3885</v>
      </c>
      <c r="BA303" t="s">
        <v>88</v>
      </c>
    </row>
    <row r="304" spans="1:53" hidden="1" x14ac:dyDescent="0.2">
      <c r="A304" t="s">
        <v>3886</v>
      </c>
      <c r="B304" t="s">
        <v>3886</v>
      </c>
      <c r="C304" t="s">
        <v>3874</v>
      </c>
      <c r="D304" t="s">
        <v>3887</v>
      </c>
      <c r="E304" t="s">
        <v>3887</v>
      </c>
      <c r="G304" t="s">
        <v>56</v>
      </c>
      <c r="H304" t="s">
        <v>57</v>
      </c>
      <c r="I304" t="s">
        <v>93</v>
      </c>
      <c r="J304">
        <v>0</v>
      </c>
      <c r="K304" t="s">
        <v>406</v>
      </c>
      <c r="L304" t="s">
        <v>389</v>
      </c>
      <c r="M304" t="s">
        <v>7165</v>
      </c>
      <c r="N304" t="s">
        <v>7165</v>
      </c>
      <c r="O304" s="1" t="s">
        <v>3194</v>
      </c>
      <c r="P304" t="s">
        <v>2815</v>
      </c>
      <c r="Q304" s="1" t="s">
        <v>166</v>
      </c>
      <c r="R304" s="1" t="s">
        <v>167</v>
      </c>
      <c r="S304" s="1" t="s">
        <v>168</v>
      </c>
      <c r="T304" s="1">
        <v>1817</v>
      </c>
      <c r="U304" s="1">
        <v>61940</v>
      </c>
      <c r="V304" s="1" t="s">
        <v>3888</v>
      </c>
      <c r="W304" s="1">
        <v>15024563</v>
      </c>
      <c r="X304" t="s">
        <v>3889</v>
      </c>
      <c r="Y304" t="s">
        <v>3890</v>
      </c>
      <c r="AA304" t="s">
        <v>68</v>
      </c>
      <c r="AB304" t="s">
        <v>3891</v>
      </c>
      <c r="AC304" t="s">
        <v>3892</v>
      </c>
      <c r="AD304" t="s">
        <v>3893</v>
      </c>
      <c r="AE304" t="s">
        <v>3894</v>
      </c>
      <c r="AF304" t="s">
        <v>73</v>
      </c>
      <c r="AG304" t="s">
        <v>3895</v>
      </c>
      <c r="AH304" t="s">
        <v>3896</v>
      </c>
      <c r="AI304" t="s">
        <v>76</v>
      </c>
      <c r="AJ304" t="s">
        <v>77</v>
      </c>
      <c r="AK304" t="s">
        <v>3897</v>
      </c>
      <c r="AL304" t="s">
        <v>107</v>
      </c>
      <c r="AM304" t="s">
        <v>3898</v>
      </c>
      <c r="AN304" t="s">
        <v>158</v>
      </c>
      <c r="AO304" t="s">
        <v>159</v>
      </c>
      <c r="AP304" t="s">
        <v>83</v>
      </c>
      <c r="AR304">
        <v>82220</v>
      </c>
      <c r="AS304">
        <v>5226878</v>
      </c>
      <c r="AT304">
        <v>220</v>
      </c>
      <c r="AU304" t="s">
        <v>84</v>
      </c>
      <c r="AV304">
        <v>562</v>
      </c>
      <c r="AW304" t="s">
        <v>85</v>
      </c>
      <c r="AX304" t="s">
        <v>86</v>
      </c>
      <c r="AY304">
        <v>562</v>
      </c>
      <c r="AZ304" t="s">
        <v>3899</v>
      </c>
      <c r="BA304" t="s">
        <v>88</v>
      </c>
    </row>
    <row r="305" spans="1:57" hidden="1" x14ac:dyDescent="0.2">
      <c r="A305" t="s">
        <v>3900</v>
      </c>
      <c r="B305" t="s">
        <v>3900</v>
      </c>
      <c r="C305" t="s">
        <v>3901</v>
      </c>
      <c r="D305" t="s">
        <v>3902</v>
      </c>
      <c r="E305" t="s">
        <v>3902</v>
      </c>
      <c r="G305" t="s">
        <v>56</v>
      </c>
      <c r="H305" t="s">
        <v>57</v>
      </c>
      <c r="I305" t="s">
        <v>93</v>
      </c>
      <c r="J305">
        <v>0</v>
      </c>
      <c r="K305" t="s">
        <v>140</v>
      </c>
      <c r="L305" t="s">
        <v>141</v>
      </c>
      <c r="M305" t="s">
        <v>7165</v>
      </c>
      <c r="N305" t="s">
        <v>7165</v>
      </c>
      <c r="O305" s="1" t="s">
        <v>3903</v>
      </c>
      <c r="P305" t="s">
        <v>3903</v>
      </c>
      <c r="Q305" s="1" t="s">
        <v>166</v>
      </c>
      <c r="R305" s="1" t="s">
        <v>250</v>
      </c>
      <c r="S305" s="1" t="s">
        <v>251</v>
      </c>
      <c r="T305" s="1">
        <v>101</v>
      </c>
      <c r="U305" s="1">
        <v>1589</v>
      </c>
      <c r="V305" s="1" t="s">
        <v>3904</v>
      </c>
      <c r="W305" s="1">
        <v>14969510</v>
      </c>
      <c r="X305" t="s">
        <v>3905</v>
      </c>
      <c r="Y305" t="s">
        <v>3906</v>
      </c>
      <c r="AA305" t="s">
        <v>68</v>
      </c>
      <c r="AB305" t="s">
        <v>3907</v>
      </c>
      <c r="AC305" t="s">
        <v>3908</v>
      </c>
      <c r="AD305" t="s">
        <v>3909</v>
      </c>
      <c r="AE305" t="s">
        <v>3285</v>
      </c>
      <c r="AF305" t="s">
        <v>73</v>
      </c>
      <c r="AG305" t="s">
        <v>3910</v>
      </c>
      <c r="AH305" t="s">
        <v>3911</v>
      </c>
      <c r="AI305" t="s">
        <v>76</v>
      </c>
      <c r="AJ305" t="s">
        <v>77</v>
      </c>
      <c r="AK305" t="s">
        <v>3912</v>
      </c>
      <c r="AL305" t="s">
        <v>3115</v>
      </c>
      <c r="AM305" t="s">
        <v>3913</v>
      </c>
      <c r="AN305" t="s">
        <v>158</v>
      </c>
      <c r="AO305" t="s">
        <v>159</v>
      </c>
      <c r="AP305" t="s">
        <v>83</v>
      </c>
      <c r="AR305">
        <v>157492</v>
      </c>
      <c r="AS305">
        <v>5086549</v>
      </c>
      <c r="AT305">
        <v>120</v>
      </c>
      <c r="AU305" t="s">
        <v>84</v>
      </c>
      <c r="AV305">
        <v>562</v>
      </c>
      <c r="AW305" t="s">
        <v>85</v>
      </c>
      <c r="AX305" t="s">
        <v>86</v>
      </c>
      <c r="AY305">
        <v>562</v>
      </c>
      <c r="AZ305" t="s">
        <v>3914</v>
      </c>
      <c r="BA305" t="s">
        <v>88</v>
      </c>
    </row>
    <row r="306" spans="1:57" hidden="1" x14ac:dyDescent="0.2">
      <c r="A306" t="s">
        <v>3915</v>
      </c>
      <c r="B306" t="s">
        <v>3915</v>
      </c>
      <c r="C306" t="s">
        <v>3916</v>
      </c>
      <c r="D306" t="s">
        <v>3917</v>
      </c>
      <c r="E306" t="s">
        <v>3917</v>
      </c>
      <c r="F306" t="s">
        <v>2035</v>
      </c>
      <c r="G306" t="s">
        <v>56</v>
      </c>
      <c r="H306" t="s">
        <v>57</v>
      </c>
      <c r="I306" t="s">
        <v>93</v>
      </c>
      <c r="J306">
        <v>0</v>
      </c>
      <c r="K306" t="s">
        <v>406</v>
      </c>
      <c r="L306" t="s">
        <v>389</v>
      </c>
      <c r="M306" t="s">
        <v>7165</v>
      </c>
      <c r="N306" t="s">
        <v>7165</v>
      </c>
      <c r="O306" s="1" t="s">
        <v>3918</v>
      </c>
      <c r="P306" t="s">
        <v>3918</v>
      </c>
      <c r="Q306" s="1" t="s">
        <v>144</v>
      </c>
      <c r="R306" s="1" t="s">
        <v>3649</v>
      </c>
      <c r="S306" s="1" t="s">
        <v>3919</v>
      </c>
      <c r="T306" s="1">
        <v>2101</v>
      </c>
      <c r="U306" s="1">
        <v>29895</v>
      </c>
      <c r="V306" s="1" t="s">
        <v>3920</v>
      </c>
      <c r="W306" s="1">
        <v>14908038</v>
      </c>
      <c r="X306" t="s">
        <v>3921</v>
      </c>
      <c r="Y306" t="s">
        <v>3922</v>
      </c>
      <c r="AA306" t="s">
        <v>68</v>
      </c>
      <c r="AB306" t="s">
        <v>3923</v>
      </c>
      <c r="AC306" t="s">
        <v>3924</v>
      </c>
      <c r="AD306" t="s">
        <v>3925</v>
      </c>
      <c r="AE306" t="s">
        <v>3894</v>
      </c>
      <c r="AF306" t="s">
        <v>73</v>
      </c>
      <c r="AG306" t="s">
        <v>3926</v>
      </c>
      <c r="AH306" t="s">
        <v>3927</v>
      </c>
      <c r="AI306" t="s">
        <v>76</v>
      </c>
      <c r="AJ306" t="s">
        <v>77</v>
      </c>
      <c r="AK306" t="s">
        <v>3928</v>
      </c>
      <c r="AL306" t="s">
        <v>107</v>
      </c>
      <c r="AM306" t="s">
        <v>3929</v>
      </c>
      <c r="AN306" t="s">
        <v>158</v>
      </c>
      <c r="AO306" t="s">
        <v>159</v>
      </c>
      <c r="AP306" t="s">
        <v>83</v>
      </c>
      <c r="AR306">
        <v>282758</v>
      </c>
      <c r="AS306">
        <v>5113784</v>
      </c>
      <c r="AT306">
        <v>82</v>
      </c>
      <c r="AU306" t="s">
        <v>84</v>
      </c>
      <c r="AV306">
        <v>562</v>
      </c>
      <c r="AW306" t="s">
        <v>85</v>
      </c>
      <c r="AX306" t="s">
        <v>86</v>
      </c>
      <c r="AY306">
        <v>562</v>
      </c>
      <c r="AZ306" t="s">
        <v>3930</v>
      </c>
      <c r="BA306" t="s">
        <v>88</v>
      </c>
    </row>
    <row r="307" spans="1:57" hidden="1" x14ac:dyDescent="0.2">
      <c r="A307" t="s">
        <v>3931</v>
      </c>
      <c r="B307" t="s">
        <v>3931</v>
      </c>
      <c r="C307" t="s">
        <v>3932</v>
      </c>
      <c r="D307" t="s">
        <v>3933</v>
      </c>
      <c r="E307" t="s">
        <v>3933</v>
      </c>
      <c r="G307" t="s">
        <v>56</v>
      </c>
      <c r="H307" t="s">
        <v>57</v>
      </c>
      <c r="I307" t="s">
        <v>93</v>
      </c>
      <c r="J307">
        <v>0</v>
      </c>
      <c r="K307" t="s">
        <v>406</v>
      </c>
      <c r="L307" t="s">
        <v>389</v>
      </c>
      <c r="M307" t="s">
        <v>7165</v>
      </c>
      <c r="N307" t="s">
        <v>7165</v>
      </c>
      <c r="O307" s="1" t="s">
        <v>208</v>
      </c>
      <c r="P307" t="s">
        <v>208</v>
      </c>
      <c r="Q307" s="1" t="s">
        <v>3677</v>
      </c>
      <c r="R307" s="1" t="s">
        <v>3649</v>
      </c>
      <c r="S307" s="1" t="s">
        <v>3934</v>
      </c>
      <c r="T307" s="1">
        <v>675</v>
      </c>
      <c r="U307" s="1">
        <v>14960</v>
      </c>
      <c r="V307" s="1" t="s">
        <v>235</v>
      </c>
      <c r="W307" s="1">
        <v>14908038</v>
      </c>
      <c r="X307" t="s">
        <v>3935</v>
      </c>
      <c r="Y307" t="s">
        <v>3936</v>
      </c>
      <c r="AA307" t="s">
        <v>68</v>
      </c>
      <c r="AB307" t="s">
        <v>3937</v>
      </c>
      <c r="AC307" t="s">
        <v>3938</v>
      </c>
      <c r="AD307" t="s">
        <v>3939</v>
      </c>
      <c r="AE307" t="s">
        <v>3235</v>
      </c>
      <c r="AF307" t="s">
        <v>73</v>
      </c>
      <c r="AG307" t="s">
        <v>3940</v>
      </c>
      <c r="AH307" t="s">
        <v>75</v>
      </c>
      <c r="AI307" t="s">
        <v>76</v>
      </c>
      <c r="AJ307" t="s">
        <v>77</v>
      </c>
      <c r="AK307" t="s">
        <v>3941</v>
      </c>
      <c r="AL307" t="s">
        <v>156</v>
      </c>
      <c r="AM307" t="s">
        <v>80</v>
      </c>
      <c r="AN307" t="s">
        <v>158</v>
      </c>
      <c r="AO307" t="s">
        <v>159</v>
      </c>
      <c r="AP307" t="s">
        <v>83</v>
      </c>
      <c r="AR307">
        <v>135641</v>
      </c>
      <c r="AS307">
        <v>5317112</v>
      </c>
      <c r="AT307">
        <v>148</v>
      </c>
      <c r="AU307" t="s">
        <v>84</v>
      </c>
      <c r="AV307">
        <v>562</v>
      </c>
      <c r="AW307" t="s">
        <v>85</v>
      </c>
      <c r="AX307" t="s">
        <v>86</v>
      </c>
      <c r="AY307">
        <v>562</v>
      </c>
      <c r="AZ307" t="s">
        <v>3942</v>
      </c>
      <c r="BA307" t="s">
        <v>88</v>
      </c>
    </row>
    <row r="308" spans="1:57" hidden="1" x14ac:dyDescent="0.2">
      <c r="A308" t="s">
        <v>3943</v>
      </c>
      <c r="B308" t="s">
        <v>3943</v>
      </c>
      <c r="C308" t="s">
        <v>3944</v>
      </c>
      <c r="D308" t="s">
        <v>3945</v>
      </c>
      <c r="E308" t="s">
        <v>3945</v>
      </c>
      <c r="G308" t="s">
        <v>56</v>
      </c>
      <c r="H308" t="s">
        <v>57</v>
      </c>
      <c r="I308" t="s">
        <v>93</v>
      </c>
      <c r="J308">
        <v>0</v>
      </c>
      <c r="K308" t="s">
        <v>447</v>
      </c>
      <c r="L308" t="s">
        <v>389</v>
      </c>
      <c r="M308" t="s">
        <v>7165</v>
      </c>
      <c r="N308" t="s">
        <v>7165</v>
      </c>
      <c r="O308" s="1" t="s">
        <v>448</v>
      </c>
      <c r="P308" t="s">
        <v>448</v>
      </c>
      <c r="Q308" s="1" t="s">
        <v>126</v>
      </c>
      <c r="R308" s="1" t="s">
        <v>434</v>
      </c>
      <c r="S308" s="1" t="s">
        <v>451</v>
      </c>
      <c r="T308" s="1">
        <v>25</v>
      </c>
      <c r="U308" s="1">
        <v>138293</v>
      </c>
      <c r="V308" s="1" t="s">
        <v>3946</v>
      </c>
      <c r="W308" s="1">
        <v>14908038</v>
      </c>
      <c r="X308" t="s">
        <v>3947</v>
      </c>
      <c r="Y308" t="s">
        <v>3948</v>
      </c>
      <c r="AA308" t="s">
        <v>68</v>
      </c>
      <c r="AB308" t="s">
        <v>3949</v>
      </c>
      <c r="AC308" t="s">
        <v>3950</v>
      </c>
      <c r="AD308" t="s">
        <v>3951</v>
      </c>
      <c r="AE308" t="s">
        <v>3952</v>
      </c>
      <c r="AF308" t="s">
        <v>73</v>
      </c>
      <c r="AG308" t="s">
        <v>3953</v>
      </c>
      <c r="AH308" t="s">
        <v>75</v>
      </c>
      <c r="AI308" t="s">
        <v>76</v>
      </c>
      <c r="AJ308" t="s">
        <v>77</v>
      </c>
      <c r="AK308" t="s">
        <v>3954</v>
      </c>
      <c r="AL308" t="s">
        <v>156</v>
      </c>
      <c r="AM308" t="s">
        <v>80</v>
      </c>
      <c r="AN308" t="s">
        <v>158</v>
      </c>
      <c r="AO308" t="s">
        <v>159</v>
      </c>
      <c r="AP308" t="s">
        <v>83</v>
      </c>
      <c r="AR308">
        <v>103028</v>
      </c>
      <c r="AS308">
        <v>5742006</v>
      </c>
      <c r="AT308">
        <v>210</v>
      </c>
      <c r="AU308" t="s">
        <v>84</v>
      </c>
      <c r="AV308">
        <v>562</v>
      </c>
      <c r="AW308" t="s">
        <v>85</v>
      </c>
      <c r="AX308" t="s">
        <v>86</v>
      </c>
      <c r="AY308">
        <v>562</v>
      </c>
      <c r="AZ308" t="s">
        <v>3955</v>
      </c>
      <c r="BA308" t="s">
        <v>88</v>
      </c>
    </row>
    <row r="309" spans="1:57" hidden="1" x14ac:dyDescent="0.2">
      <c r="A309" t="s">
        <v>3956</v>
      </c>
      <c r="B309" t="s">
        <v>3956</v>
      </c>
      <c r="C309" t="s">
        <v>3957</v>
      </c>
      <c r="D309" t="s">
        <v>3958</v>
      </c>
      <c r="E309" t="s">
        <v>3958</v>
      </c>
      <c r="G309" t="s">
        <v>56</v>
      </c>
      <c r="H309" t="s">
        <v>57</v>
      </c>
      <c r="I309" t="s">
        <v>93</v>
      </c>
      <c r="J309">
        <v>0</v>
      </c>
      <c r="K309" t="s">
        <v>406</v>
      </c>
      <c r="L309" t="s">
        <v>389</v>
      </c>
      <c r="M309" t="s">
        <v>7165</v>
      </c>
      <c r="N309" t="s">
        <v>7165</v>
      </c>
      <c r="O309" s="1" t="s">
        <v>142</v>
      </c>
      <c r="P309" t="s">
        <v>142</v>
      </c>
      <c r="Q309" s="1" t="s">
        <v>144</v>
      </c>
      <c r="R309" s="8" t="s">
        <v>313</v>
      </c>
      <c r="S309" s="1" t="s">
        <v>3959</v>
      </c>
      <c r="T309" s="1">
        <v>332</v>
      </c>
      <c r="U309" s="1">
        <v>168868</v>
      </c>
      <c r="V309" s="1" t="s">
        <v>3960</v>
      </c>
      <c r="W309" s="1">
        <v>15011179</v>
      </c>
      <c r="X309" t="s">
        <v>3961</v>
      </c>
      <c r="Y309" t="s">
        <v>3962</v>
      </c>
      <c r="AA309" t="s">
        <v>68</v>
      </c>
      <c r="AB309" t="s">
        <v>3963</v>
      </c>
      <c r="AC309" t="s">
        <v>3964</v>
      </c>
      <c r="AD309" t="s">
        <v>3965</v>
      </c>
      <c r="AE309" t="s">
        <v>3454</v>
      </c>
      <c r="AF309" t="s">
        <v>73</v>
      </c>
      <c r="AG309" t="s">
        <v>3966</v>
      </c>
      <c r="AH309" t="s">
        <v>3967</v>
      </c>
      <c r="AI309" t="s">
        <v>76</v>
      </c>
      <c r="AJ309" t="s">
        <v>77</v>
      </c>
      <c r="AK309" t="s">
        <v>3968</v>
      </c>
      <c r="AL309" t="s">
        <v>156</v>
      </c>
      <c r="AM309" t="s">
        <v>3969</v>
      </c>
      <c r="AN309" t="s">
        <v>532</v>
      </c>
      <c r="AO309" t="s">
        <v>533</v>
      </c>
      <c r="AP309" t="s">
        <v>83</v>
      </c>
      <c r="AR309">
        <v>134745</v>
      </c>
      <c r="AS309">
        <v>5431144</v>
      </c>
      <c r="AT309">
        <v>211</v>
      </c>
      <c r="AU309" t="s">
        <v>84</v>
      </c>
      <c r="AV309">
        <v>562</v>
      </c>
      <c r="AW309" t="s">
        <v>85</v>
      </c>
      <c r="AX309" t="s">
        <v>86</v>
      </c>
      <c r="AY309">
        <v>562</v>
      </c>
      <c r="AZ309" t="s">
        <v>3970</v>
      </c>
      <c r="BA309" t="s">
        <v>88</v>
      </c>
    </row>
    <row r="310" spans="1:57" hidden="1" x14ac:dyDescent="0.2">
      <c r="A310" t="s">
        <v>3971</v>
      </c>
      <c r="B310" t="s">
        <v>3971</v>
      </c>
      <c r="C310" t="s">
        <v>3972</v>
      </c>
      <c r="D310" t="s">
        <v>3973</v>
      </c>
      <c r="E310" t="s">
        <v>3973</v>
      </c>
      <c r="G310" t="s">
        <v>56</v>
      </c>
      <c r="H310" t="s">
        <v>57</v>
      </c>
      <c r="I310" t="s">
        <v>93</v>
      </c>
      <c r="J310">
        <v>0</v>
      </c>
      <c r="K310" t="s">
        <v>447</v>
      </c>
      <c r="L310" t="s">
        <v>389</v>
      </c>
      <c r="M310" t="s">
        <v>7165</v>
      </c>
      <c r="N310" t="s">
        <v>7165</v>
      </c>
      <c r="O310" s="1" t="s">
        <v>448</v>
      </c>
      <c r="P310" t="s">
        <v>448</v>
      </c>
      <c r="Q310" s="1" t="s">
        <v>3090</v>
      </c>
      <c r="R310" s="1" t="s">
        <v>434</v>
      </c>
      <c r="S310" s="1" t="s">
        <v>3974</v>
      </c>
      <c r="T310" s="1">
        <v>25</v>
      </c>
      <c r="U310" s="1">
        <v>30074</v>
      </c>
      <c r="V310" s="1" t="s">
        <v>3975</v>
      </c>
      <c r="W310" s="1">
        <v>15016600</v>
      </c>
      <c r="X310" t="s">
        <v>3976</v>
      </c>
      <c r="Y310" t="s">
        <v>3977</v>
      </c>
      <c r="AA310" t="s">
        <v>68</v>
      </c>
      <c r="AB310" t="s">
        <v>3978</v>
      </c>
      <c r="AC310" t="s">
        <v>3979</v>
      </c>
      <c r="AD310" t="s">
        <v>3980</v>
      </c>
      <c r="AE310" t="s">
        <v>3425</v>
      </c>
      <c r="AF310" t="s">
        <v>73</v>
      </c>
      <c r="AG310" t="s">
        <v>3981</v>
      </c>
      <c r="AH310" t="s">
        <v>3896</v>
      </c>
      <c r="AI310" t="s">
        <v>76</v>
      </c>
      <c r="AJ310" t="s">
        <v>77</v>
      </c>
      <c r="AK310" t="s">
        <v>3982</v>
      </c>
      <c r="AL310" t="s">
        <v>156</v>
      </c>
      <c r="AM310" t="s">
        <v>3898</v>
      </c>
      <c r="AN310" t="s">
        <v>158</v>
      </c>
      <c r="AO310" t="s">
        <v>159</v>
      </c>
      <c r="AP310" t="s">
        <v>83</v>
      </c>
      <c r="AR310">
        <v>61052</v>
      </c>
      <c r="AS310">
        <v>5818806</v>
      </c>
      <c r="AT310">
        <v>323</v>
      </c>
      <c r="AU310" t="s">
        <v>84</v>
      </c>
      <c r="AV310">
        <v>562</v>
      </c>
      <c r="AW310" t="s">
        <v>85</v>
      </c>
      <c r="AX310" t="s">
        <v>86</v>
      </c>
      <c r="AY310">
        <v>562</v>
      </c>
      <c r="AZ310" t="s">
        <v>3983</v>
      </c>
      <c r="BA310" t="s">
        <v>88</v>
      </c>
    </row>
    <row r="311" spans="1:57" hidden="1" x14ac:dyDescent="0.2">
      <c r="A311" t="s">
        <v>3984</v>
      </c>
      <c r="B311" t="s">
        <v>3984</v>
      </c>
      <c r="C311" t="s">
        <v>3985</v>
      </c>
      <c r="D311" t="s">
        <v>3986</v>
      </c>
      <c r="E311" t="s">
        <v>3986</v>
      </c>
      <c r="G311" t="s">
        <v>56</v>
      </c>
      <c r="H311" t="s">
        <v>57</v>
      </c>
      <c r="I311" t="s">
        <v>58</v>
      </c>
      <c r="J311" t="s">
        <v>3987</v>
      </c>
      <c r="K311" t="s">
        <v>140</v>
      </c>
      <c r="L311" t="s">
        <v>141</v>
      </c>
      <c r="M311" t="s">
        <v>7165</v>
      </c>
      <c r="N311" t="s">
        <v>7165</v>
      </c>
      <c r="O311" s="1" t="s">
        <v>3988</v>
      </c>
      <c r="P311" t="s">
        <v>3988</v>
      </c>
      <c r="Q311" s="1" t="s">
        <v>3530</v>
      </c>
      <c r="R311" s="1" t="s">
        <v>250</v>
      </c>
      <c r="S311" s="1" t="s">
        <v>3989</v>
      </c>
      <c r="T311" s="1">
        <v>342</v>
      </c>
      <c r="U311" s="1">
        <v>171939</v>
      </c>
      <c r="V311" s="1" t="s">
        <v>3990</v>
      </c>
      <c r="W311" s="1">
        <v>15263651</v>
      </c>
      <c r="X311" t="s">
        <v>3991</v>
      </c>
      <c r="Y311" t="s">
        <v>3992</v>
      </c>
      <c r="AA311" t="s">
        <v>68</v>
      </c>
      <c r="AB311" t="s">
        <v>3993</v>
      </c>
      <c r="AC311" t="s">
        <v>3994</v>
      </c>
      <c r="AD311" t="s">
        <v>3995</v>
      </c>
      <c r="AE311" t="s">
        <v>3996</v>
      </c>
      <c r="AF311" t="s">
        <v>73</v>
      </c>
      <c r="AG311" t="s">
        <v>3997</v>
      </c>
      <c r="AH311" t="s">
        <v>3998</v>
      </c>
      <c r="AI311" t="s">
        <v>76</v>
      </c>
      <c r="AJ311" t="s">
        <v>77</v>
      </c>
      <c r="AK311" t="s">
        <v>3999</v>
      </c>
      <c r="AL311" t="s">
        <v>364</v>
      </c>
      <c r="AM311" t="s">
        <v>4000</v>
      </c>
      <c r="AN311" t="s">
        <v>158</v>
      </c>
      <c r="AO311" t="s">
        <v>159</v>
      </c>
      <c r="AP311" t="s">
        <v>83</v>
      </c>
      <c r="AR311">
        <v>61424</v>
      </c>
      <c r="AS311">
        <v>5236274</v>
      </c>
      <c r="AT311">
        <v>277</v>
      </c>
      <c r="AU311" t="s">
        <v>84</v>
      </c>
      <c r="AV311">
        <v>562</v>
      </c>
      <c r="AW311" t="s">
        <v>85</v>
      </c>
      <c r="AX311" t="s">
        <v>86</v>
      </c>
      <c r="AY311">
        <v>562</v>
      </c>
      <c r="AZ311" t="s">
        <v>4001</v>
      </c>
      <c r="BA311" t="s">
        <v>88</v>
      </c>
    </row>
    <row r="312" spans="1:57" hidden="1" x14ac:dyDescent="0.2">
      <c r="A312" t="s">
        <v>4002</v>
      </c>
      <c r="B312" t="s">
        <v>4003</v>
      </c>
      <c r="C312" t="s">
        <v>4004</v>
      </c>
      <c r="D312" t="s">
        <v>4005</v>
      </c>
      <c r="E312" t="s">
        <v>4005</v>
      </c>
      <c r="G312" t="s">
        <v>56</v>
      </c>
      <c r="H312" t="s">
        <v>57</v>
      </c>
      <c r="I312" t="s">
        <v>58</v>
      </c>
      <c r="J312" t="e">
        <v>#N/A</v>
      </c>
      <c r="K312" t="s">
        <v>3305</v>
      </c>
      <c r="L312" t="s">
        <v>3305</v>
      </c>
      <c r="M312" t="s">
        <v>7165</v>
      </c>
      <c r="N312" t="s">
        <v>7165</v>
      </c>
      <c r="O312" s="1" t="s">
        <v>603</v>
      </c>
      <c r="P312" t="s">
        <v>649</v>
      </c>
      <c r="Q312" s="1" t="s">
        <v>674</v>
      </c>
      <c r="R312" s="1" t="s">
        <v>64</v>
      </c>
      <c r="S312" s="1" t="s">
        <v>675</v>
      </c>
      <c r="T312" s="1">
        <v>11</v>
      </c>
      <c r="U312" s="1">
        <v>2124</v>
      </c>
      <c r="V312" s="1" t="s">
        <v>651</v>
      </c>
      <c r="W312" s="1">
        <v>10634302</v>
      </c>
      <c r="X312" t="s">
        <v>4006</v>
      </c>
      <c r="Y312" t="s">
        <v>4007</v>
      </c>
      <c r="AA312" t="s">
        <v>68</v>
      </c>
      <c r="AB312" t="s">
        <v>4008</v>
      </c>
      <c r="AC312" t="s">
        <v>4009</v>
      </c>
      <c r="AD312" t="s">
        <v>4010</v>
      </c>
      <c r="AE312" t="s">
        <v>4011</v>
      </c>
      <c r="AF312" t="s">
        <v>73</v>
      </c>
      <c r="AG312" t="s">
        <v>4012</v>
      </c>
      <c r="AH312" t="s">
        <v>75</v>
      </c>
      <c r="AI312" t="s">
        <v>76</v>
      </c>
      <c r="AJ312" t="s">
        <v>77</v>
      </c>
      <c r="AK312" t="s">
        <v>4013</v>
      </c>
      <c r="AL312" t="s">
        <v>615</v>
      </c>
      <c r="AM312" t="s">
        <v>616</v>
      </c>
      <c r="AN312" t="s">
        <v>81</v>
      </c>
      <c r="AO312" t="s">
        <v>82</v>
      </c>
      <c r="AP312" t="s">
        <v>83</v>
      </c>
      <c r="AQ312">
        <v>2018</v>
      </c>
      <c r="AR312">
        <v>50540</v>
      </c>
      <c r="AS312">
        <v>5301022</v>
      </c>
      <c r="AT312">
        <v>296</v>
      </c>
      <c r="AU312" t="s">
        <v>84</v>
      </c>
      <c r="AV312">
        <v>562</v>
      </c>
      <c r="AW312" t="s">
        <v>85</v>
      </c>
      <c r="AX312" t="s">
        <v>86</v>
      </c>
      <c r="AY312">
        <v>562</v>
      </c>
      <c r="AZ312" t="s">
        <v>4014</v>
      </c>
      <c r="BA312" t="s">
        <v>88</v>
      </c>
      <c r="BC312" t="s">
        <v>841</v>
      </c>
      <c r="BD312">
        <v>0</v>
      </c>
      <c r="BE312">
        <v>1</v>
      </c>
    </row>
    <row r="313" spans="1:57" hidden="1" x14ac:dyDescent="0.2">
      <c r="A313" t="s">
        <v>4015</v>
      </c>
      <c r="B313" t="s">
        <v>4015</v>
      </c>
      <c r="C313" t="s">
        <v>4016</v>
      </c>
      <c r="D313" t="s">
        <v>4017</v>
      </c>
      <c r="E313" t="s">
        <v>4017</v>
      </c>
      <c r="G313" t="s">
        <v>56</v>
      </c>
      <c r="H313" t="s">
        <v>57</v>
      </c>
      <c r="I313" t="s">
        <v>93</v>
      </c>
      <c r="J313">
        <v>0</v>
      </c>
      <c r="K313" t="s">
        <v>447</v>
      </c>
      <c r="L313" t="s">
        <v>389</v>
      </c>
      <c r="M313" t="s">
        <v>7165</v>
      </c>
      <c r="N313" t="s">
        <v>7165</v>
      </c>
      <c r="O313" s="1" t="s">
        <v>448</v>
      </c>
      <c r="P313" t="s">
        <v>448</v>
      </c>
      <c r="Q313" s="1" t="s">
        <v>3090</v>
      </c>
      <c r="R313" s="1" t="s">
        <v>434</v>
      </c>
      <c r="S313" s="1" t="s">
        <v>451</v>
      </c>
      <c r="T313" s="1">
        <v>25</v>
      </c>
      <c r="U313" s="1">
        <v>30074</v>
      </c>
      <c r="V313" s="1" t="s">
        <v>3196</v>
      </c>
      <c r="W313" s="1">
        <v>15263764</v>
      </c>
      <c r="X313" t="s">
        <v>4018</v>
      </c>
      <c r="Y313" t="s">
        <v>4019</v>
      </c>
      <c r="AA313" t="s">
        <v>68</v>
      </c>
      <c r="AB313" t="s">
        <v>4020</v>
      </c>
      <c r="AC313" t="s">
        <v>4021</v>
      </c>
      <c r="AD313" t="s">
        <v>4022</v>
      </c>
      <c r="AE313" t="s">
        <v>3952</v>
      </c>
      <c r="AF313" t="s">
        <v>73</v>
      </c>
      <c r="AG313" t="s">
        <v>4023</v>
      </c>
      <c r="AH313" t="s">
        <v>3252</v>
      </c>
      <c r="AI313" t="s">
        <v>76</v>
      </c>
      <c r="AJ313" t="s">
        <v>77</v>
      </c>
      <c r="AK313" t="s">
        <v>3387</v>
      </c>
      <c r="AL313" t="s">
        <v>156</v>
      </c>
      <c r="AM313" t="s">
        <v>3254</v>
      </c>
      <c r="AN313" t="s">
        <v>158</v>
      </c>
      <c r="AO313" t="s">
        <v>159</v>
      </c>
      <c r="AP313" t="s">
        <v>83</v>
      </c>
      <c r="AR313">
        <v>140939</v>
      </c>
      <c r="AS313">
        <v>5543766</v>
      </c>
      <c r="AT313">
        <v>210</v>
      </c>
      <c r="AU313" t="s">
        <v>84</v>
      </c>
      <c r="AV313">
        <v>562</v>
      </c>
      <c r="AW313" t="s">
        <v>85</v>
      </c>
      <c r="AX313" t="s">
        <v>86</v>
      </c>
      <c r="AY313">
        <v>562</v>
      </c>
      <c r="AZ313" t="s">
        <v>4024</v>
      </c>
      <c r="BA313" t="s">
        <v>88</v>
      </c>
    </row>
    <row r="314" spans="1:57" hidden="1" x14ac:dyDescent="0.2">
      <c r="A314" t="s">
        <v>4025</v>
      </c>
      <c r="B314" t="s">
        <v>4025</v>
      </c>
      <c r="C314" t="s">
        <v>4026</v>
      </c>
      <c r="D314" t="s">
        <v>4027</v>
      </c>
      <c r="E314" t="s">
        <v>4027</v>
      </c>
      <c r="G314" t="s">
        <v>56</v>
      </c>
      <c r="H314" t="s">
        <v>57</v>
      </c>
      <c r="I314" t="s">
        <v>93</v>
      </c>
      <c r="J314">
        <v>0</v>
      </c>
      <c r="K314" t="s">
        <v>406</v>
      </c>
      <c r="L314" t="s">
        <v>389</v>
      </c>
      <c r="M314" t="s">
        <v>7165</v>
      </c>
      <c r="N314" t="s">
        <v>7165</v>
      </c>
      <c r="O314" s="1" t="s">
        <v>448</v>
      </c>
      <c r="P314" t="s">
        <v>448</v>
      </c>
      <c r="Q314" s="1" t="s">
        <v>126</v>
      </c>
      <c r="R314" s="1" t="s">
        <v>434</v>
      </c>
      <c r="S314" s="1" t="s">
        <v>451</v>
      </c>
      <c r="T314" s="1">
        <v>811</v>
      </c>
      <c r="U314" s="1">
        <v>38655</v>
      </c>
      <c r="V314" s="1" t="s">
        <v>3196</v>
      </c>
      <c r="W314" s="1">
        <v>15263764</v>
      </c>
      <c r="X314" t="s">
        <v>4028</v>
      </c>
      <c r="Y314" t="s">
        <v>4029</v>
      </c>
      <c r="AA314" t="s">
        <v>68</v>
      </c>
      <c r="AB314" t="s">
        <v>4030</v>
      </c>
      <c r="AC314" t="s">
        <v>4031</v>
      </c>
      <c r="AD314" t="s">
        <v>4032</v>
      </c>
      <c r="AE314" t="s">
        <v>3672</v>
      </c>
      <c r="AF314" t="s">
        <v>73</v>
      </c>
      <c r="AG314" t="s">
        <v>4033</v>
      </c>
      <c r="AI314" t="s">
        <v>76</v>
      </c>
      <c r="AJ314" t="s">
        <v>77</v>
      </c>
      <c r="AK314" t="s">
        <v>4034</v>
      </c>
      <c r="AL314" t="s">
        <v>156</v>
      </c>
      <c r="AM314" t="s">
        <v>531</v>
      </c>
      <c r="AN314" t="s">
        <v>532</v>
      </c>
      <c r="AO314" t="s">
        <v>533</v>
      </c>
      <c r="AP314" t="s">
        <v>83</v>
      </c>
      <c r="AR314">
        <v>94435</v>
      </c>
      <c r="AS314">
        <v>5387050</v>
      </c>
      <c r="AT314">
        <v>190</v>
      </c>
      <c r="AU314" t="s">
        <v>84</v>
      </c>
      <c r="AV314">
        <v>562</v>
      </c>
      <c r="AW314" t="s">
        <v>85</v>
      </c>
      <c r="AX314" t="s">
        <v>86</v>
      </c>
      <c r="AY314">
        <v>562</v>
      </c>
      <c r="AZ314" t="s">
        <v>4035</v>
      </c>
      <c r="BA314" t="s">
        <v>88</v>
      </c>
    </row>
    <row r="315" spans="1:57" hidden="1" x14ac:dyDescent="0.2">
      <c r="A315" t="s">
        <v>4036</v>
      </c>
      <c r="B315" t="s">
        <v>4036</v>
      </c>
      <c r="C315" t="s">
        <v>4026</v>
      </c>
      <c r="D315" t="s">
        <v>4037</v>
      </c>
      <c r="E315" t="s">
        <v>4037</v>
      </c>
      <c r="G315" t="s">
        <v>56</v>
      </c>
      <c r="H315" t="s">
        <v>57</v>
      </c>
      <c r="I315" t="s">
        <v>58</v>
      </c>
      <c r="J315" t="s">
        <v>4038</v>
      </c>
      <c r="K315" t="s">
        <v>3584</v>
      </c>
      <c r="L315" t="s">
        <v>3584</v>
      </c>
      <c r="M315" t="s">
        <v>7165</v>
      </c>
      <c r="N315" t="s">
        <v>7172</v>
      </c>
      <c r="O315" s="1" t="s">
        <v>4039</v>
      </c>
      <c r="P315" t="s">
        <v>4039</v>
      </c>
      <c r="Q315" s="1" t="s">
        <v>144</v>
      </c>
      <c r="R315" s="1" t="s">
        <v>355</v>
      </c>
      <c r="S315" s="1" t="s">
        <v>356</v>
      </c>
      <c r="T315" s="1">
        <v>1294</v>
      </c>
      <c r="U315" s="1">
        <v>64900</v>
      </c>
      <c r="V315" s="1" t="s">
        <v>3265</v>
      </c>
      <c r="W315" s="1">
        <v>15263764</v>
      </c>
      <c r="X315" t="s">
        <v>4040</v>
      </c>
      <c r="Y315" t="s">
        <v>4041</v>
      </c>
      <c r="AA315" t="s">
        <v>68</v>
      </c>
      <c r="AB315" t="s">
        <v>4042</v>
      </c>
      <c r="AC315" t="s">
        <v>4043</v>
      </c>
      <c r="AD315" t="s">
        <v>4044</v>
      </c>
      <c r="AE315" t="s">
        <v>3439</v>
      </c>
      <c r="AF315" t="s">
        <v>73</v>
      </c>
      <c r="AG315" t="s">
        <v>4045</v>
      </c>
      <c r="AH315" t="s">
        <v>3402</v>
      </c>
      <c r="AI315" t="s">
        <v>76</v>
      </c>
      <c r="AJ315" t="s">
        <v>77</v>
      </c>
      <c r="AK315" t="s">
        <v>4046</v>
      </c>
      <c r="AL315" t="s">
        <v>364</v>
      </c>
      <c r="AM315" t="s">
        <v>3404</v>
      </c>
      <c r="AN315" t="s">
        <v>158</v>
      </c>
      <c r="AO315" t="s">
        <v>159</v>
      </c>
      <c r="AP315" t="s">
        <v>83</v>
      </c>
      <c r="AQ315">
        <v>2021</v>
      </c>
      <c r="AR315">
        <v>118172</v>
      </c>
      <c r="AS315">
        <v>5068957</v>
      </c>
      <c r="AT315">
        <v>139</v>
      </c>
      <c r="AU315" t="s">
        <v>84</v>
      </c>
      <c r="AV315">
        <v>562</v>
      </c>
      <c r="AW315" t="s">
        <v>85</v>
      </c>
      <c r="AX315" t="s">
        <v>86</v>
      </c>
      <c r="AY315">
        <v>562</v>
      </c>
      <c r="AZ315" t="s">
        <v>4047</v>
      </c>
      <c r="BA315" t="s">
        <v>88</v>
      </c>
    </row>
    <row r="316" spans="1:57" hidden="1" x14ac:dyDescent="0.2">
      <c r="A316" t="s">
        <v>4048</v>
      </c>
      <c r="B316" t="s">
        <v>4048</v>
      </c>
      <c r="C316" t="s">
        <v>4049</v>
      </c>
      <c r="D316" t="s">
        <v>4050</v>
      </c>
      <c r="E316" t="s">
        <v>4050</v>
      </c>
      <c r="G316" t="s">
        <v>56</v>
      </c>
      <c r="H316" t="s">
        <v>57</v>
      </c>
      <c r="I316" t="s">
        <v>93</v>
      </c>
      <c r="J316">
        <v>0</v>
      </c>
      <c r="K316" t="s">
        <v>406</v>
      </c>
      <c r="L316" t="s">
        <v>389</v>
      </c>
      <c r="M316" t="s">
        <v>7165</v>
      </c>
      <c r="N316" t="s">
        <v>7172</v>
      </c>
      <c r="O316" s="1" t="s">
        <v>3702</v>
      </c>
      <c r="P316" t="s">
        <v>3703</v>
      </c>
      <c r="Q316" s="1" t="s">
        <v>166</v>
      </c>
      <c r="R316" s="1" t="s">
        <v>167</v>
      </c>
      <c r="S316" s="1" t="s">
        <v>168</v>
      </c>
      <c r="T316" s="1">
        <v>8356</v>
      </c>
      <c r="U316" s="1">
        <v>168636</v>
      </c>
      <c r="V316" s="1" t="s">
        <v>3093</v>
      </c>
      <c r="W316" s="1">
        <v>15286592</v>
      </c>
      <c r="X316" t="s">
        <v>4051</v>
      </c>
      <c r="Y316" t="s">
        <v>4052</v>
      </c>
      <c r="AA316" t="s">
        <v>68</v>
      </c>
      <c r="AB316" t="s">
        <v>4053</v>
      </c>
      <c r="AC316" t="s">
        <v>4054</v>
      </c>
      <c r="AD316" t="s">
        <v>4055</v>
      </c>
      <c r="AE316" t="s">
        <v>4056</v>
      </c>
      <c r="AF316" t="s">
        <v>73</v>
      </c>
      <c r="AG316" t="s">
        <v>4057</v>
      </c>
      <c r="AH316" t="s">
        <v>75</v>
      </c>
      <c r="AI316" t="s">
        <v>76</v>
      </c>
      <c r="AJ316" t="s">
        <v>77</v>
      </c>
      <c r="AK316" t="s">
        <v>4058</v>
      </c>
      <c r="AL316" t="s">
        <v>107</v>
      </c>
      <c r="AM316" t="s">
        <v>401</v>
      </c>
      <c r="AN316" t="s">
        <v>158</v>
      </c>
      <c r="AO316" t="s">
        <v>159</v>
      </c>
      <c r="AP316" t="s">
        <v>83</v>
      </c>
      <c r="AR316">
        <v>36889</v>
      </c>
      <c r="AS316">
        <v>4971553</v>
      </c>
      <c r="AT316">
        <v>434</v>
      </c>
      <c r="AU316" t="s">
        <v>84</v>
      </c>
      <c r="AV316">
        <v>562</v>
      </c>
      <c r="AW316" t="s">
        <v>85</v>
      </c>
      <c r="AX316" t="s">
        <v>86</v>
      </c>
      <c r="AY316">
        <v>562</v>
      </c>
      <c r="AZ316" t="s">
        <v>4059</v>
      </c>
      <c r="BA316" t="s">
        <v>88</v>
      </c>
      <c r="BC316" t="s">
        <v>427</v>
      </c>
      <c r="BD316">
        <v>39</v>
      </c>
    </row>
    <row r="317" spans="1:57" hidden="1" x14ac:dyDescent="0.2">
      <c r="A317" t="s">
        <v>4060</v>
      </c>
      <c r="B317" t="s">
        <v>4061</v>
      </c>
      <c r="C317" t="s">
        <v>4062</v>
      </c>
      <c r="D317" t="s">
        <v>4063</v>
      </c>
      <c r="E317" t="s">
        <v>4063</v>
      </c>
      <c r="G317" t="s">
        <v>56</v>
      </c>
      <c r="H317" t="s">
        <v>57</v>
      </c>
      <c r="I317" t="s">
        <v>58</v>
      </c>
      <c r="J317" t="e">
        <v>#N/A</v>
      </c>
      <c r="K317" t="s">
        <v>2663</v>
      </c>
      <c r="L317" t="s">
        <v>2663</v>
      </c>
      <c r="M317" t="s">
        <v>7165</v>
      </c>
      <c r="N317" t="str">
        <f t="shared" ref="N317:N323" si="1">M317</f>
        <v>Meat</v>
      </c>
      <c r="O317" s="1" t="s">
        <v>603</v>
      </c>
      <c r="P317" t="s">
        <v>649</v>
      </c>
      <c r="Q317" s="1" t="s">
        <v>875</v>
      </c>
      <c r="R317" s="1" t="s">
        <v>64</v>
      </c>
      <c r="S317" s="1" t="s">
        <v>675</v>
      </c>
      <c r="T317" s="1">
        <v>7021</v>
      </c>
      <c r="U317" s="1">
        <v>2124</v>
      </c>
      <c r="V317" s="1" t="s">
        <v>169</v>
      </c>
      <c r="W317" s="1">
        <v>10664297</v>
      </c>
      <c r="X317" t="s">
        <v>4064</v>
      </c>
      <c r="Y317" t="s">
        <v>4065</v>
      </c>
      <c r="AA317" t="s">
        <v>68</v>
      </c>
      <c r="AB317" t="s">
        <v>4066</v>
      </c>
      <c r="AC317" t="s">
        <v>4067</v>
      </c>
      <c r="AD317" t="s">
        <v>4068</v>
      </c>
      <c r="AE317" t="s">
        <v>4069</v>
      </c>
      <c r="AF317" t="s">
        <v>73</v>
      </c>
      <c r="AG317" t="s">
        <v>4070</v>
      </c>
      <c r="AH317" t="s">
        <v>75</v>
      </c>
      <c r="AI317" t="s">
        <v>76</v>
      </c>
      <c r="AJ317" t="s">
        <v>77</v>
      </c>
      <c r="AK317" t="s">
        <v>1032</v>
      </c>
      <c r="AL317" t="s">
        <v>615</v>
      </c>
      <c r="AM317" t="s">
        <v>616</v>
      </c>
      <c r="AN317" t="s">
        <v>81</v>
      </c>
      <c r="AO317" t="s">
        <v>82</v>
      </c>
      <c r="AP317" t="s">
        <v>83</v>
      </c>
      <c r="AQ317">
        <v>2018</v>
      </c>
      <c r="AR317">
        <v>78036</v>
      </c>
      <c r="AS317">
        <v>5314512</v>
      </c>
      <c r="AT317">
        <v>236</v>
      </c>
      <c r="AU317" t="s">
        <v>84</v>
      </c>
      <c r="AV317">
        <v>562</v>
      </c>
      <c r="AW317" t="s">
        <v>85</v>
      </c>
      <c r="AX317" t="s">
        <v>86</v>
      </c>
      <c r="AY317">
        <v>562</v>
      </c>
      <c r="AZ317" t="s">
        <v>4071</v>
      </c>
      <c r="BA317" t="s">
        <v>88</v>
      </c>
      <c r="BC317" t="s">
        <v>841</v>
      </c>
      <c r="BD317">
        <v>0</v>
      </c>
      <c r="BE317">
        <v>0</v>
      </c>
    </row>
    <row r="318" spans="1:57" hidden="1" x14ac:dyDescent="0.2">
      <c r="A318" t="s">
        <v>4072</v>
      </c>
      <c r="B318" t="s">
        <v>4073</v>
      </c>
      <c r="C318" t="s">
        <v>4074</v>
      </c>
      <c r="D318" t="s">
        <v>4075</v>
      </c>
      <c r="E318" t="s">
        <v>4075</v>
      </c>
      <c r="G318" t="s">
        <v>56</v>
      </c>
      <c r="H318" t="s">
        <v>57</v>
      </c>
      <c r="I318" t="s">
        <v>58</v>
      </c>
      <c r="J318" t="e">
        <v>#N/A</v>
      </c>
      <c r="K318" t="s">
        <v>2663</v>
      </c>
      <c r="L318" t="s">
        <v>2663</v>
      </c>
      <c r="M318" t="s">
        <v>7165</v>
      </c>
      <c r="N318" t="str">
        <f t="shared" si="1"/>
        <v>Meat</v>
      </c>
      <c r="O318" s="1" t="s">
        <v>603</v>
      </c>
      <c r="P318" t="s">
        <v>649</v>
      </c>
      <c r="Q318" s="1" t="s">
        <v>875</v>
      </c>
      <c r="R318" s="1" t="s">
        <v>64</v>
      </c>
      <c r="S318" s="1" t="s">
        <v>675</v>
      </c>
      <c r="T318" s="1">
        <v>11</v>
      </c>
      <c r="U318" s="1">
        <v>2124</v>
      </c>
      <c r="V318" s="1" t="s">
        <v>169</v>
      </c>
      <c r="W318" s="1">
        <v>10664297</v>
      </c>
      <c r="X318" t="s">
        <v>4076</v>
      </c>
      <c r="Y318" t="s">
        <v>4077</v>
      </c>
      <c r="AA318" t="s">
        <v>68</v>
      </c>
      <c r="AB318" t="s">
        <v>4078</v>
      </c>
      <c r="AC318" t="s">
        <v>4079</v>
      </c>
      <c r="AD318" t="s">
        <v>4080</v>
      </c>
      <c r="AE318" t="s">
        <v>2905</v>
      </c>
      <c r="AF318" t="s">
        <v>73</v>
      </c>
      <c r="AG318" t="s">
        <v>4081</v>
      </c>
      <c r="AH318" t="s">
        <v>75</v>
      </c>
      <c r="AI318" t="s">
        <v>76</v>
      </c>
      <c r="AJ318" t="s">
        <v>77</v>
      </c>
      <c r="AK318" t="s">
        <v>1032</v>
      </c>
      <c r="AL318" t="s">
        <v>615</v>
      </c>
      <c r="AM318" t="s">
        <v>616</v>
      </c>
      <c r="AN318" t="s">
        <v>81</v>
      </c>
      <c r="AO318" t="s">
        <v>82</v>
      </c>
      <c r="AP318" t="s">
        <v>83</v>
      </c>
      <c r="AQ318">
        <v>2018</v>
      </c>
      <c r="AR318">
        <v>68339</v>
      </c>
      <c r="AS318">
        <v>5277017</v>
      </c>
      <c r="AT318">
        <v>289</v>
      </c>
      <c r="AU318" t="s">
        <v>84</v>
      </c>
      <c r="AV318">
        <v>562</v>
      </c>
      <c r="AW318" t="s">
        <v>85</v>
      </c>
      <c r="AX318" t="s">
        <v>86</v>
      </c>
      <c r="AY318">
        <v>562</v>
      </c>
      <c r="AZ318" t="s">
        <v>4082</v>
      </c>
      <c r="BA318" t="s">
        <v>88</v>
      </c>
      <c r="BC318" t="s">
        <v>841</v>
      </c>
      <c r="BD318">
        <v>0</v>
      </c>
      <c r="BE318">
        <v>1</v>
      </c>
    </row>
    <row r="319" spans="1:57" hidden="1" x14ac:dyDescent="0.2">
      <c r="A319" t="s">
        <v>4083</v>
      </c>
      <c r="B319" t="s">
        <v>4083</v>
      </c>
      <c r="C319" t="s">
        <v>4084</v>
      </c>
      <c r="D319" t="s">
        <v>4085</v>
      </c>
      <c r="E319" t="s">
        <v>4085</v>
      </c>
      <c r="G319" t="s">
        <v>56</v>
      </c>
      <c r="H319" t="s">
        <v>57</v>
      </c>
      <c r="I319" t="s">
        <v>93</v>
      </c>
      <c r="J319">
        <v>0</v>
      </c>
      <c r="K319" t="s">
        <v>140</v>
      </c>
      <c r="L319" t="s">
        <v>141</v>
      </c>
      <c r="M319" t="s">
        <v>7165</v>
      </c>
      <c r="N319" t="str">
        <f t="shared" si="1"/>
        <v>Meat</v>
      </c>
      <c r="O319" s="1" t="s">
        <v>268</v>
      </c>
      <c r="P319" t="s">
        <v>3585</v>
      </c>
      <c r="Q319" s="1" t="s">
        <v>144</v>
      </c>
      <c r="R319" s="1" t="s">
        <v>270</v>
      </c>
      <c r="S319" s="1" t="s">
        <v>271</v>
      </c>
      <c r="T319" s="1">
        <v>677</v>
      </c>
      <c r="U319" s="1">
        <v>30630</v>
      </c>
      <c r="V319" s="1" t="s">
        <v>4086</v>
      </c>
      <c r="W319" s="1">
        <v>15286436</v>
      </c>
      <c r="X319" t="s">
        <v>4087</v>
      </c>
      <c r="Y319" t="s">
        <v>4088</v>
      </c>
      <c r="AA319" t="s">
        <v>68</v>
      </c>
      <c r="AB319" t="s">
        <v>4089</v>
      </c>
      <c r="AC319" t="s">
        <v>4090</v>
      </c>
      <c r="AD319" t="s">
        <v>4091</v>
      </c>
      <c r="AE319" t="s">
        <v>3218</v>
      </c>
      <c r="AF319" t="s">
        <v>73</v>
      </c>
      <c r="AG319" t="s">
        <v>4092</v>
      </c>
      <c r="AH319" t="s">
        <v>4093</v>
      </c>
      <c r="AI319" t="s">
        <v>76</v>
      </c>
      <c r="AJ319" t="s">
        <v>77</v>
      </c>
      <c r="AK319" t="s">
        <v>4094</v>
      </c>
      <c r="AL319" t="s">
        <v>3511</v>
      </c>
      <c r="AM319" t="s">
        <v>4095</v>
      </c>
      <c r="AN319" t="s">
        <v>158</v>
      </c>
      <c r="AO319" t="s">
        <v>159</v>
      </c>
      <c r="AP319" t="s">
        <v>83</v>
      </c>
      <c r="AR319">
        <v>43789</v>
      </c>
      <c r="AS319">
        <v>5281504</v>
      </c>
      <c r="AT319">
        <v>430</v>
      </c>
      <c r="AU319" t="s">
        <v>84</v>
      </c>
      <c r="AV319">
        <v>562</v>
      </c>
      <c r="AW319" t="s">
        <v>85</v>
      </c>
      <c r="AX319" t="s">
        <v>86</v>
      </c>
      <c r="AY319">
        <v>562</v>
      </c>
      <c r="AZ319" t="s">
        <v>4096</v>
      </c>
      <c r="BA319" t="s">
        <v>88</v>
      </c>
      <c r="BC319" t="s">
        <v>283</v>
      </c>
      <c r="BD319">
        <v>17</v>
      </c>
    </row>
    <row r="320" spans="1:57" hidden="1" x14ac:dyDescent="0.2">
      <c r="A320" t="s">
        <v>4097</v>
      </c>
      <c r="B320" t="s">
        <v>4098</v>
      </c>
      <c r="C320" t="s">
        <v>4099</v>
      </c>
      <c r="D320" t="s">
        <v>4100</v>
      </c>
      <c r="E320" t="s">
        <v>4100</v>
      </c>
      <c r="G320" t="s">
        <v>56</v>
      </c>
      <c r="H320" t="s">
        <v>57</v>
      </c>
      <c r="I320" t="s">
        <v>58</v>
      </c>
      <c r="J320" t="e">
        <v>#N/A</v>
      </c>
      <c r="K320" t="s">
        <v>2663</v>
      </c>
      <c r="L320" t="s">
        <v>2663</v>
      </c>
      <c r="M320" t="s">
        <v>7165</v>
      </c>
      <c r="N320" t="str">
        <f t="shared" si="1"/>
        <v>Meat</v>
      </c>
      <c r="O320" s="1" t="s">
        <v>603</v>
      </c>
      <c r="P320" t="s">
        <v>169</v>
      </c>
      <c r="Q320" s="1" t="s">
        <v>875</v>
      </c>
      <c r="R320" s="1" t="s">
        <v>64</v>
      </c>
      <c r="S320" s="1" t="s">
        <v>675</v>
      </c>
      <c r="T320" s="1">
        <v>11</v>
      </c>
      <c r="U320" s="1">
        <v>2124</v>
      </c>
      <c r="V320" s="1" t="s">
        <v>169</v>
      </c>
      <c r="W320" s="1">
        <v>10664297</v>
      </c>
      <c r="X320" t="s">
        <v>4101</v>
      </c>
      <c r="Y320" t="s">
        <v>4102</v>
      </c>
      <c r="AA320" t="s">
        <v>68</v>
      </c>
      <c r="AB320" t="s">
        <v>4103</v>
      </c>
      <c r="AC320" t="s">
        <v>4104</v>
      </c>
      <c r="AD320" t="s">
        <v>4105</v>
      </c>
      <c r="AE320" t="s">
        <v>4106</v>
      </c>
      <c r="AF320" t="s">
        <v>73</v>
      </c>
      <c r="AG320" t="s">
        <v>4107</v>
      </c>
      <c r="AH320" t="s">
        <v>75</v>
      </c>
      <c r="AI320" t="s">
        <v>76</v>
      </c>
      <c r="AJ320" t="s">
        <v>77</v>
      </c>
      <c r="AK320" t="s">
        <v>4108</v>
      </c>
      <c r="AL320" t="s">
        <v>615</v>
      </c>
      <c r="AM320" t="s">
        <v>616</v>
      </c>
      <c r="AN320" t="s">
        <v>81</v>
      </c>
      <c r="AO320" t="s">
        <v>82</v>
      </c>
      <c r="AP320" t="s">
        <v>83</v>
      </c>
      <c r="AQ320">
        <v>2018</v>
      </c>
      <c r="AR320">
        <v>114032</v>
      </c>
      <c r="AS320">
        <v>5279921</v>
      </c>
      <c r="AT320">
        <v>261</v>
      </c>
      <c r="AU320" t="s">
        <v>84</v>
      </c>
      <c r="AV320">
        <v>562</v>
      </c>
      <c r="AW320" t="s">
        <v>85</v>
      </c>
      <c r="AX320" t="s">
        <v>86</v>
      </c>
      <c r="AY320">
        <v>562</v>
      </c>
      <c r="AZ320" t="s">
        <v>4109</v>
      </c>
      <c r="BA320" t="s">
        <v>88</v>
      </c>
      <c r="BC320" t="s">
        <v>841</v>
      </c>
      <c r="BD320">
        <v>0</v>
      </c>
      <c r="BE320">
        <v>1</v>
      </c>
    </row>
    <row r="321" spans="1:57" hidden="1" x14ac:dyDescent="0.2">
      <c r="A321" t="s">
        <v>4110</v>
      </c>
      <c r="B321" t="s">
        <v>4110</v>
      </c>
      <c r="C321" t="s">
        <v>4111</v>
      </c>
      <c r="D321" t="s">
        <v>4112</v>
      </c>
      <c r="E321" t="s">
        <v>4112</v>
      </c>
      <c r="G321" t="s">
        <v>56</v>
      </c>
      <c r="H321" t="s">
        <v>57</v>
      </c>
      <c r="I321" t="s">
        <v>93</v>
      </c>
      <c r="J321">
        <v>0</v>
      </c>
      <c r="K321" t="s">
        <v>140</v>
      </c>
      <c r="L321" t="s">
        <v>141</v>
      </c>
      <c r="M321" t="s">
        <v>7165</v>
      </c>
      <c r="N321" t="str">
        <f t="shared" si="1"/>
        <v>Meat</v>
      </c>
      <c r="O321" s="1" t="s">
        <v>3165</v>
      </c>
      <c r="P321" t="s">
        <v>3379</v>
      </c>
      <c r="Q321" s="1" t="s">
        <v>144</v>
      </c>
      <c r="R321" s="1" t="s">
        <v>313</v>
      </c>
      <c r="S321" s="1" t="s">
        <v>4113</v>
      </c>
      <c r="T321" s="1">
        <v>332</v>
      </c>
      <c r="U321" s="1">
        <v>44442</v>
      </c>
      <c r="V321" s="1" t="s">
        <v>3542</v>
      </c>
      <c r="W321" s="1">
        <v>15286436</v>
      </c>
      <c r="X321" t="s">
        <v>4114</v>
      </c>
      <c r="Y321" t="s">
        <v>4115</v>
      </c>
      <c r="AA321" t="s">
        <v>68</v>
      </c>
      <c r="AB321" t="s">
        <v>4116</v>
      </c>
      <c r="AC321" t="s">
        <v>4117</v>
      </c>
      <c r="AD321" t="s">
        <v>4118</v>
      </c>
      <c r="AE321" t="s">
        <v>3484</v>
      </c>
      <c r="AF321" t="s">
        <v>73</v>
      </c>
      <c r="AG321" t="s">
        <v>4119</v>
      </c>
      <c r="AH321" t="s">
        <v>75</v>
      </c>
      <c r="AI321" t="s">
        <v>76</v>
      </c>
      <c r="AJ321" t="s">
        <v>77</v>
      </c>
      <c r="AK321" t="s">
        <v>4120</v>
      </c>
      <c r="AL321" t="s">
        <v>3511</v>
      </c>
      <c r="AM321" t="s">
        <v>80</v>
      </c>
      <c r="AN321" t="s">
        <v>158</v>
      </c>
      <c r="AO321" t="s">
        <v>159</v>
      </c>
      <c r="AP321" t="s">
        <v>83</v>
      </c>
      <c r="AR321">
        <v>43260</v>
      </c>
      <c r="AS321">
        <v>5158072</v>
      </c>
      <c r="AT321">
        <v>455</v>
      </c>
      <c r="AU321" t="s">
        <v>84</v>
      </c>
      <c r="AV321">
        <v>562</v>
      </c>
      <c r="AW321" t="s">
        <v>85</v>
      </c>
      <c r="AX321" t="s">
        <v>86</v>
      </c>
      <c r="AY321">
        <v>562</v>
      </c>
      <c r="AZ321" t="s">
        <v>4121</v>
      </c>
      <c r="BA321" t="s">
        <v>88</v>
      </c>
    </row>
    <row r="322" spans="1:57" hidden="1" x14ac:dyDescent="0.2">
      <c r="A322" t="s">
        <v>4122</v>
      </c>
      <c r="B322" t="s">
        <v>4123</v>
      </c>
      <c r="C322" t="s">
        <v>4124</v>
      </c>
      <c r="D322" t="s">
        <v>4125</v>
      </c>
      <c r="E322" t="s">
        <v>4125</v>
      </c>
      <c r="G322" t="s">
        <v>56</v>
      </c>
      <c r="H322" t="s">
        <v>57</v>
      </c>
      <c r="I322" t="s">
        <v>58</v>
      </c>
      <c r="J322" t="e">
        <v>#N/A</v>
      </c>
      <c r="K322" t="s">
        <v>2663</v>
      </c>
      <c r="L322" t="s">
        <v>2663</v>
      </c>
      <c r="M322" t="s">
        <v>7165</v>
      </c>
      <c r="N322" t="str">
        <f t="shared" si="1"/>
        <v>Meat</v>
      </c>
      <c r="O322" s="1" t="s">
        <v>603</v>
      </c>
      <c r="P322" t="s">
        <v>649</v>
      </c>
      <c r="Q322" s="1" t="s">
        <v>875</v>
      </c>
      <c r="R322" s="1" t="s">
        <v>64</v>
      </c>
      <c r="S322" s="1" t="s">
        <v>675</v>
      </c>
      <c r="T322" s="1">
        <v>11</v>
      </c>
      <c r="U322" s="1">
        <v>2124</v>
      </c>
      <c r="V322" s="1" t="s">
        <v>169</v>
      </c>
      <c r="W322" s="1">
        <v>10664297</v>
      </c>
      <c r="X322" t="s">
        <v>4126</v>
      </c>
      <c r="Y322" t="s">
        <v>4127</v>
      </c>
      <c r="AA322" t="s">
        <v>68</v>
      </c>
      <c r="AB322" t="s">
        <v>4128</v>
      </c>
      <c r="AC322" t="s">
        <v>4129</v>
      </c>
      <c r="AD322" t="s">
        <v>4130</v>
      </c>
      <c r="AE322" t="s">
        <v>4131</v>
      </c>
      <c r="AF322" t="s">
        <v>73</v>
      </c>
      <c r="AG322" t="s">
        <v>4132</v>
      </c>
      <c r="AH322" t="s">
        <v>75</v>
      </c>
      <c r="AI322" t="s">
        <v>76</v>
      </c>
      <c r="AJ322" t="s">
        <v>77</v>
      </c>
      <c r="AK322" t="s">
        <v>4133</v>
      </c>
      <c r="AL322" t="s">
        <v>615</v>
      </c>
      <c r="AM322" t="s">
        <v>616</v>
      </c>
      <c r="AN322" t="s">
        <v>81</v>
      </c>
      <c r="AO322" t="s">
        <v>82</v>
      </c>
      <c r="AP322" t="s">
        <v>83</v>
      </c>
      <c r="AQ322">
        <v>2018</v>
      </c>
      <c r="AR322">
        <v>67473</v>
      </c>
      <c r="AS322">
        <v>5268511</v>
      </c>
      <c r="AT322">
        <v>309</v>
      </c>
      <c r="AU322" t="s">
        <v>84</v>
      </c>
      <c r="AV322">
        <v>562</v>
      </c>
      <c r="AW322" t="s">
        <v>85</v>
      </c>
      <c r="AX322" t="s">
        <v>86</v>
      </c>
      <c r="AY322">
        <v>562</v>
      </c>
      <c r="AZ322" t="s">
        <v>4134</v>
      </c>
      <c r="BA322" t="s">
        <v>88</v>
      </c>
      <c r="BC322" t="s">
        <v>841</v>
      </c>
      <c r="BD322">
        <v>1</v>
      </c>
      <c r="BE322">
        <v>2</v>
      </c>
    </row>
    <row r="323" spans="1:57" hidden="1" x14ac:dyDescent="0.2">
      <c r="A323" t="s">
        <v>4135</v>
      </c>
      <c r="B323" t="s">
        <v>4136</v>
      </c>
      <c r="C323" t="s">
        <v>4137</v>
      </c>
      <c r="D323" t="s">
        <v>4138</v>
      </c>
      <c r="E323" t="s">
        <v>4138</v>
      </c>
      <c r="G323" t="s">
        <v>56</v>
      </c>
      <c r="H323" t="s">
        <v>57</v>
      </c>
      <c r="I323" t="s">
        <v>58</v>
      </c>
      <c r="J323" t="e">
        <v>#N/A</v>
      </c>
      <c r="K323" t="s">
        <v>2663</v>
      </c>
      <c r="L323" t="s">
        <v>2663</v>
      </c>
      <c r="M323" t="s">
        <v>7165</v>
      </c>
      <c r="N323" t="str">
        <f t="shared" si="1"/>
        <v>Meat</v>
      </c>
      <c r="O323" s="1" t="s">
        <v>603</v>
      </c>
      <c r="P323" t="s">
        <v>649</v>
      </c>
      <c r="Q323" s="1" t="s">
        <v>875</v>
      </c>
      <c r="R323" s="1" t="s">
        <v>64</v>
      </c>
      <c r="S323" s="1" t="s">
        <v>675</v>
      </c>
      <c r="T323" s="1">
        <v>11</v>
      </c>
      <c r="U323" s="1">
        <v>2124</v>
      </c>
      <c r="V323" s="1" t="s">
        <v>169</v>
      </c>
      <c r="W323" s="1">
        <v>10664297</v>
      </c>
      <c r="X323" t="s">
        <v>4139</v>
      </c>
      <c r="Y323" t="s">
        <v>4140</v>
      </c>
      <c r="AA323" t="s">
        <v>68</v>
      </c>
      <c r="AB323" t="s">
        <v>4141</v>
      </c>
      <c r="AC323" t="s">
        <v>4142</v>
      </c>
      <c r="AD323" t="s">
        <v>4143</v>
      </c>
      <c r="AE323" t="s">
        <v>4131</v>
      </c>
      <c r="AF323" t="s">
        <v>73</v>
      </c>
      <c r="AG323" t="s">
        <v>4144</v>
      </c>
      <c r="AH323" t="s">
        <v>75</v>
      </c>
      <c r="AI323" t="s">
        <v>76</v>
      </c>
      <c r="AJ323" t="s">
        <v>77</v>
      </c>
      <c r="AK323" t="s">
        <v>4108</v>
      </c>
      <c r="AL323" t="s">
        <v>615</v>
      </c>
      <c r="AM323" t="s">
        <v>616</v>
      </c>
      <c r="AN323" t="s">
        <v>81</v>
      </c>
      <c r="AO323" t="s">
        <v>82</v>
      </c>
      <c r="AP323" t="s">
        <v>83</v>
      </c>
      <c r="AQ323">
        <v>2018</v>
      </c>
      <c r="AR323">
        <v>104756</v>
      </c>
      <c r="AS323">
        <v>5291294</v>
      </c>
      <c r="AT323">
        <v>252</v>
      </c>
      <c r="AU323" t="s">
        <v>84</v>
      </c>
      <c r="AV323">
        <v>562</v>
      </c>
      <c r="AW323" t="s">
        <v>85</v>
      </c>
      <c r="AX323" t="s">
        <v>86</v>
      </c>
      <c r="AY323">
        <v>562</v>
      </c>
      <c r="AZ323" t="s">
        <v>4145</v>
      </c>
      <c r="BA323" t="s">
        <v>88</v>
      </c>
      <c r="BC323" t="s">
        <v>841</v>
      </c>
      <c r="BD323">
        <v>0</v>
      </c>
      <c r="BE323">
        <v>1</v>
      </c>
    </row>
    <row r="324" spans="1:57" hidden="1" x14ac:dyDescent="0.2">
      <c r="A324" t="s">
        <v>4146</v>
      </c>
      <c r="B324" t="s">
        <v>4146</v>
      </c>
      <c r="C324" t="s">
        <v>4147</v>
      </c>
      <c r="D324" t="s">
        <v>4148</v>
      </c>
      <c r="E324" t="s">
        <v>4148</v>
      </c>
      <c r="G324" t="s">
        <v>56</v>
      </c>
      <c r="H324" t="s">
        <v>57</v>
      </c>
      <c r="I324" t="s">
        <v>93</v>
      </c>
      <c r="J324">
        <v>0</v>
      </c>
      <c r="K324" t="s">
        <v>406</v>
      </c>
      <c r="L324" t="s">
        <v>389</v>
      </c>
      <c r="M324" t="s">
        <v>7165</v>
      </c>
      <c r="N324" t="s">
        <v>7172</v>
      </c>
      <c r="O324" s="1" t="s">
        <v>183</v>
      </c>
      <c r="P324" t="s">
        <v>4149</v>
      </c>
      <c r="Q324" s="1" t="s">
        <v>126</v>
      </c>
      <c r="R324" s="1" t="s">
        <v>185</v>
      </c>
      <c r="S324" s="1" t="s">
        <v>4150</v>
      </c>
      <c r="T324" s="1">
        <v>33</v>
      </c>
      <c r="U324" s="1">
        <v>1587</v>
      </c>
      <c r="V324" s="1" t="s">
        <v>169</v>
      </c>
      <c r="W324" s="1">
        <v>15286592</v>
      </c>
      <c r="X324" t="s">
        <v>4151</v>
      </c>
      <c r="Y324" t="s">
        <v>4152</v>
      </c>
      <c r="AA324" t="s">
        <v>68</v>
      </c>
      <c r="AB324" t="s">
        <v>4153</v>
      </c>
      <c r="AC324" t="s">
        <v>4154</v>
      </c>
      <c r="AD324" t="s">
        <v>4155</v>
      </c>
      <c r="AE324" t="s">
        <v>3758</v>
      </c>
      <c r="AF324" t="s">
        <v>73</v>
      </c>
      <c r="AG324" t="s">
        <v>4156</v>
      </c>
      <c r="AH324" t="s">
        <v>75</v>
      </c>
      <c r="AI324" t="s">
        <v>76</v>
      </c>
      <c r="AJ324" t="s">
        <v>77</v>
      </c>
      <c r="AK324" t="s">
        <v>4157</v>
      </c>
      <c r="AL324" t="s">
        <v>546</v>
      </c>
      <c r="AM324" t="s">
        <v>80</v>
      </c>
      <c r="AN324" t="s">
        <v>158</v>
      </c>
      <c r="AO324" t="s">
        <v>159</v>
      </c>
      <c r="AP324" t="s">
        <v>83</v>
      </c>
      <c r="AR324">
        <v>35063</v>
      </c>
      <c r="AS324">
        <v>5278372</v>
      </c>
      <c r="AT324">
        <v>554</v>
      </c>
      <c r="AU324" t="s">
        <v>84</v>
      </c>
      <c r="AV324">
        <v>562</v>
      </c>
      <c r="AW324" t="s">
        <v>85</v>
      </c>
      <c r="AX324" t="s">
        <v>86</v>
      </c>
      <c r="AY324">
        <v>562</v>
      </c>
      <c r="AZ324" t="s">
        <v>4158</v>
      </c>
      <c r="BA324" t="s">
        <v>88</v>
      </c>
    </row>
    <row r="325" spans="1:57" hidden="1" x14ac:dyDescent="0.2">
      <c r="A325" t="s">
        <v>4159</v>
      </c>
      <c r="B325" t="s">
        <v>4160</v>
      </c>
      <c r="C325" t="s">
        <v>4161</v>
      </c>
      <c r="D325" t="s">
        <v>4162</v>
      </c>
      <c r="E325" t="s">
        <v>4162</v>
      </c>
      <c r="G325" t="s">
        <v>56</v>
      </c>
      <c r="H325" t="s">
        <v>57</v>
      </c>
      <c r="I325" t="s">
        <v>58</v>
      </c>
      <c r="J325" t="e">
        <v>#N/A</v>
      </c>
      <c r="K325" t="s">
        <v>2663</v>
      </c>
      <c r="L325" t="s">
        <v>2663</v>
      </c>
      <c r="M325" t="s">
        <v>7165</v>
      </c>
      <c r="N325" t="str">
        <f t="shared" ref="N325:N327" si="2">M325</f>
        <v>Meat</v>
      </c>
      <c r="O325" s="1" t="s">
        <v>603</v>
      </c>
      <c r="P325" t="s">
        <v>649</v>
      </c>
      <c r="Q325" s="1" t="s">
        <v>875</v>
      </c>
      <c r="R325" s="1" t="s">
        <v>64</v>
      </c>
      <c r="S325" s="1" t="s">
        <v>675</v>
      </c>
      <c r="T325" s="1">
        <v>11</v>
      </c>
      <c r="U325" s="1">
        <v>2124</v>
      </c>
      <c r="V325" s="1" t="s">
        <v>169</v>
      </c>
      <c r="W325" s="1">
        <v>10664297</v>
      </c>
      <c r="X325" t="s">
        <v>4163</v>
      </c>
      <c r="Y325" t="s">
        <v>4164</v>
      </c>
      <c r="AA325" t="s">
        <v>68</v>
      </c>
      <c r="AB325" t="s">
        <v>4165</v>
      </c>
      <c r="AC325" t="s">
        <v>4166</v>
      </c>
      <c r="AD325" t="s">
        <v>4167</v>
      </c>
      <c r="AE325" t="s">
        <v>2858</v>
      </c>
      <c r="AF325" t="s">
        <v>73</v>
      </c>
      <c r="AG325" t="s">
        <v>4168</v>
      </c>
      <c r="AH325" t="s">
        <v>75</v>
      </c>
      <c r="AI325" t="s">
        <v>76</v>
      </c>
      <c r="AJ325" t="s">
        <v>77</v>
      </c>
      <c r="AK325" t="s">
        <v>792</v>
      </c>
      <c r="AL325" t="s">
        <v>615</v>
      </c>
      <c r="AM325" t="s">
        <v>616</v>
      </c>
      <c r="AN325" t="s">
        <v>81</v>
      </c>
      <c r="AO325" t="s">
        <v>82</v>
      </c>
      <c r="AP325" t="s">
        <v>83</v>
      </c>
      <c r="AQ325">
        <v>2018</v>
      </c>
      <c r="AR325">
        <v>116980</v>
      </c>
      <c r="AS325">
        <v>5327247</v>
      </c>
      <c r="AT325">
        <v>181</v>
      </c>
      <c r="AU325" t="s">
        <v>84</v>
      </c>
      <c r="AV325">
        <v>562</v>
      </c>
      <c r="AW325" t="s">
        <v>85</v>
      </c>
      <c r="AX325" t="s">
        <v>86</v>
      </c>
      <c r="AY325">
        <v>562</v>
      </c>
      <c r="AZ325" t="s">
        <v>4169</v>
      </c>
      <c r="BA325" t="s">
        <v>88</v>
      </c>
      <c r="BC325" t="s">
        <v>841</v>
      </c>
      <c r="BD325">
        <v>0</v>
      </c>
      <c r="BE325">
        <v>1</v>
      </c>
    </row>
    <row r="326" spans="1:57" hidden="1" x14ac:dyDescent="0.2">
      <c r="A326" t="s">
        <v>4170</v>
      </c>
      <c r="B326" t="s">
        <v>4171</v>
      </c>
      <c r="C326" t="s">
        <v>4172</v>
      </c>
      <c r="D326" t="s">
        <v>4173</v>
      </c>
      <c r="E326" t="s">
        <v>4173</v>
      </c>
      <c r="G326" t="s">
        <v>56</v>
      </c>
      <c r="H326" t="s">
        <v>57</v>
      </c>
      <c r="I326" t="s">
        <v>58</v>
      </c>
      <c r="J326" t="e">
        <v>#N/A</v>
      </c>
      <c r="K326" t="s">
        <v>2663</v>
      </c>
      <c r="L326" t="s">
        <v>2663</v>
      </c>
      <c r="M326" t="s">
        <v>7165</v>
      </c>
      <c r="N326" t="str">
        <f t="shared" si="2"/>
        <v>Meat</v>
      </c>
      <c r="O326" s="1" t="s">
        <v>603</v>
      </c>
      <c r="P326" t="s">
        <v>649</v>
      </c>
      <c r="Q326" s="1" t="s">
        <v>875</v>
      </c>
      <c r="R326" s="1" t="s">
        <v>64</v>
      </c>
      <c r="S326" s="1" t="s">
        <v>675</v>
      </c>
      <c r="T326" s="1">
        <v>11</v>
      </c>
      <c r="U326" s="1">
        <v>2124</v>
      </c>
      <c r="V326" s="1" t="s">
        <v>169</v>
      </c>
      <c r="W326" s="1">
        <v>10664297</v>
      </c>
      <c r="X326" t="s">
        <v>4174</v>
      </c>
      <c r="Y326" t="s">
        <v>4175</v>
      </c>
      <c r="AA326" t="s">
        <v>68</v>
      </c>
      <c r="AB326" t="s">
        <v>4176</v>
      </c>
      <c r="AC326" t="s">
        <v>4177</v>
      </c>
      <c r="AD326" t="s">
        <v>4178</v>
      </c>
      <c r="AE326" t="s">
        <v>2858</v>
      </c>
      <c r="AF326" t="s">
        <v>73</v>
      </c>
      <c r="AG326" t="s">
        <v>4179</v>
      </c>
      <c r="AH326" t="s">
        <v>75</v>
      </c>
      <c r="AI326" t="s">
        <v>76</v>
      </c>
      <c r="AJ326" t="s">
        <v>77</v>
      </c>
      <c r="AK326" t="s">
        <v>4180</v>
      </c>
      <c r="AL326" t="s">
        <v>615</v>
      </c>
      <c r="AM326" t="s">
        <v>616</v>
      </c>
      <c r="AN326" t="s">
        <v>81</v>
      </c>
      <c r="AO326" t="s">
        <v>82</v>
      </c>
      <c r="AP326" t="s">
        <v>83</v>
      </c>
      <c r="AQ326">
        <v>2018</v>
      </c>
      <c r="AR326">
        <v>90799</v>
      </c>
      <c r="AS326">
        <v>5295366</v>
      </c>
      <c r="AT326">
        <v>269</v>
      </c>
      <c r="AU326" t="s">
        <v>84</v>
      </c>
      <c r="AV326">
        <v>562</v>
      </c>
      <c r="AW326" t="s">
        <v>85</v>
      </c>
      <c r="AX326" t="s">
        <v>86</v>
      </c>
      <c r="AY326">
        <v>562</v>
      </c>
      <c r="AZ326" t="s">
        <v>4181</v>
      </c>
      <c r="BA326" t="s">
        <v>88</v>
      </c>
      <c r="BC326" t="s">
        <v>841</v>
      </c>
      <c r="BD326">
        <v>0</v>
      </c>
      <c r="BE326">
        <v>0</v>
      </c>
    </row>
    <row r="327" spans="1:57" hidden="1" x14ac:dyDescent="0.2">
      <c r="A327" t="s">
        <v>4182</v>
      </c>
      <c r="B327" t="s">
        <v>4182</v>
      </c>
      <c r="C327" t="s">
        <v>4183</v>
      </c>
      <c r="D327" t="s">
        <v>4184</v>
      </c>
      <c r="E327" t="s">
        <v>4184</v>
      </c>
      <c r="G327" t="s">
        <v>56</v>
      </c>
      <c r="H327" t="s">
        <v>57</v>
      </c>
      <c r="I327" t="s">
        <v>93</v>
      </c>
      <c r="J327">
        <v>0</v>
      </c>
      <c r="K327" t="s">
        <v>140</v>
      </c>
      <c r="L327" t="s">
        <v>141</v>
      </c>
      <c r="M327" t="s">
        <v>7165</v>
      </c>
      <c r="N327" t="str">
        <f t="shared" si="2"/>
        <v>Meat</v>
      </c>
      <c r="O327" s="1" t="s">
        <v>3647</v>
      </c>
      <c r="P327" t="s">
        <v>3648</v>
      </c>
      <c r="Q327" s="1" t="s">
        <v>144</v>
      </c>
      <c r="R327" s="1" t="s">
        <v>4185</v>
      </c>
      <c r="S327" s="1" t="s">
        <v>4186</v>
      </c>
      <c r="T327" s="1">
        <v>515</v>
      </c>
      <c r="U327" s="1">
        <v>15599</v>
      </c>
      <c r="V327" s="1" t="s">
        <v>4187</v>
      </c>
      <c r="W327" s="1">
        <v>15363373</v>
      </c>
      <c r="X327" t="s">
        <v>4188</v>
      </c>
      <c r="Y327" t="s">
        <v>4189</v>
      </c>
      <c r="AA327" t="s">
        <v>68</v>
      </c>
      <c r="AB327" t="s">
        <v>4190</v>
      </c>
      <c r="AC327" t="s">
        <v>4191</v>
      </c>
      <c r="AD327" t="s">
        <v>4192</v>
      </c>
      <c r="AE327" t="s">
        <v>4193</v>
      </c>
      <c r="AF327" t="s">
        <v>73</v>
      </c>
      <c r="AG327" t="s">
        <v>4194</v>
      </c>
      <c r="AH327" t="s">
        <v>4195</v>
      </c>
      <c r="AI327" t="s">
        <v>76</v>
      </c>
      <c r="AJ327" t="s">
        <v>77</v>
      </c>
      <c r="AK327" t="s">
        <v>4196</v>
      </c>
      <c r="AL327" t="s">
        <v>4197</v>
      </c>
      <c r="AM327" t="s">
        <v>4198</v>
      </c>
      <c r="AN327" t="s">
        <v>532</v>
      </c>
      <c r="AO327" t="s">
        <v>533</v>
      </c>
      <c r="AP327" t="s">
        <v>83</v>
      </c>
      <c r="AR327">
        <v>31735</v>
      </c>
      <c r="AS327">
        <v>4962528</v>
      </c>
      <c r="AT327">
        <v>377</v>
      </c>
      <c r="AU327" t="s">
        <v>84</v>
      </c>
      <c r="AV327">
        <v>562</v>
      </c>
      <c r="AW327" t="s">
        <v>85</v>
      </c>
      <c r="AX327" t="s">
        <v>86</v>
      </c>
      <c r="AY327">
        <v>562</v>
      </c>
      <c r="AZ327" t="s">
        <v>4199</v>
      </c>
      <c r="BA327" t="s">
        <v>88</v>
      </c>
    </row>
    <row r="328" spans="1:57" hidden="1" x14ac:dyDescent="0.2">
      <c r="A328" t="s">
        <v>4200</v>
      </c>
      <c r="B328" t="s">
        <v>4200</v>
      </c>
      <c r="C328" t="s">
        <v>4201</v>
      </c>
      <c r="D328" t="s">
        <v>4202</v>
      </c>
      <c r="E328" t="s">
        <v>4202</v>
      </c>
      <c r="G328" t="s">
        <v>56</v>
      </c>
      <c r="H328" t="s">
        <v>57</v>
      </c>
      <c r="I328" t="s">
        <v>93</v>
      </c>
      <c r="J328">
        <v>0</v>
      </c>
      <c r="K328" t="s">
        <v>406</v>
      </c>
      <c r="L328" t="s">
        <v>389</v>
      </c>
      <c r="M328" t="s">
        <v>7165</v>
      </c>
      <c r="N328" t="s">
        <v>7172</v>
      </c>
      <c r="O328" s="1" t="s">
        <v>390</v>
      </c>
      <c r="P328" t="s">
        <v>390</v>
      </c>
      <c r="Q328" s="1" t="s">
        <v>166</v>
      </c>
      <c r="R328" s="1" t="s">
        <v>167</v>
      </c>
      <c r="S328" s="1" t="s">
        <v>168</v>
      </c>
      <c r="T328" s="1">
        <v>8356</v>
      </c>
      <c r="U328" s="1">
        <v>84725</v>
      </c>
      <c r="V328" s="1" t="s">
        <v>3093</v>
      </c>
      <c r="W328" s="1" t="s">
        <v>170</v>
      </c>
      <c r="X328" t="s">
        <v>4203</v>
      </c>
      <c r="Y328" t="s">
        <v>4204</v>
      </c>
      <c r="AA328" t="s">
        <v>68</v>
      </c>
      <c r="AB328" t="s">
        <v>4205</v>
      </c>
      <c r="AC328" t="s">
        <v>4206</v>
      </c>
      <c r="AD328" t="s">
        <v>4207</v>
      </c>
      <c r="AE328" t="s">
        <v>3112</v>
      </c>
      <c r="AF328" t="s">
        <v>73</v>
      </c>
      <c r="AG328" t="s">
        <v>4208</v>
      </c>
      <c r="AH328" t="s">
        <v>75</v>
      </c>
      <c r="AI328" t="s">
        <v>76</v>
      </c>
      <c r="AJ328" t="s">
        <v>77</v>
      </c>
      <c r="AK328" t="s">
        <v>3842</v>
      </c>
      <c r="AL328" t="s">
        <v>107</v>
      </c>
      <c r="AM328" t="s">
        <v>401</v>
      </c>
      <c r="AN328" t="s">
        <v>158</v>
      </c>
      <c r="AO328" t="s">
        <v>159</v>
      </c>
      <c r="AP328" t="s">
        <v>83</v>
      </c>
      <c r="AR328">
        <v>102057</v>
      </c>
      <c r="AS328">
        <v>4970375</v>
      </c>
      <c r="AT328">
        <v>219</v>
      </c>
      <c r="AU328" t="s">
        <v>84</v>
      </c>
      <c r="AV328">
        <v>562</v>
      </c>
      <c r="AW328" t="s">
        <v>85</v>
      </c>
      <c r="AX328" t="s">
        <v>86</v>
      </c>
      <c r="AY328">
        <v>562</v>
      </c>
      <c r="AZ328" t="s">
        <v>4209</v>
      </c>
      <c r="BA328" t="s">
        <v>88</v>
      </c>
    </row>
    <row r="329" spans="1:57" x14ac:dyDescent="0.2">
      <c r="A329" t="s">
        <v>4210</v>
      </c>
      <c r="B329" t="s">
        <v>4210</v>
      </c>
      <c r="C329" t="s">
        <v>4211</v>
      </c>
      <c r="D329" t="s">
        <v>4212</v>
      </c>
      <c r="E329" t="s">
        <v>4212</v>
      </c>
      <c r="G329" t="s">
        <v>56</v>
      </c>
      <c r="H329" t="s">
        <v>57</v>
      </c>
      <c r="I329" t="s">
        <v>93</v>
      </c>
      <c r="J329">
        <v>0</v>
      </c>
      <c r="K329" t="s">
        <v>602</v>
      </c>
      <c r="M329" t="s">
        <v>7162</v>
      </c>
      <c r="N329" t="str">
        <f t="shared" ref="N329:N392" si="3">M329</f>
        <v>Other</v>
      </c>
      <c r="O329" s="1" t="s">
        <v>4213</v>
      </c>
      <c r="P329" t="s">
        <v>4214</v>
      </c>
      <c r="Q329" s="1" t="s">
        <v>126</v>
      </c>
      <c r="R329" s="1" t="s">
        <v>434</v>
      </c>
      <c r="S329" s="1" t="s">
        <v>4215</v>
      </c>
      <c r="T329" s="1">
        <v>446</v>
      </c>
      <c r="U329" s="1">
        <v>35112</v>
      </c>
      <c r="V329" s="1"/>
      <c r="W329" s="1"/>
      <c r="X329" t="s">
        <v>4216</v>
      </c>
      <c r="Y329" t="s">
        <v>4217</v>
      </c>
      <c r="AA329" t="s">
        <v>3579</v>
      </c>
      <c r="AC329" t="s">
        <v>4218</v>
      </c>
    </row>
    <row r="330" spans="1:57" x14ac:dyDescent="0.2">
      <c r="A330" t="s">
        <v>4219</v>
      </c>
      <c r="B330" t="s">
        <v>4219</v>
      </c>
      <c r="C330" t="s">
        <v>4220</v>
      </c>
      <c r="D330" t="s">
        <v>4221</v>
      </c>
      <c r="E330" t="s">
        <v>4221</v>
      </c>
      <c r="G330" t="s">
        <v>56</v>
      </c>
      <c r="H330" t="s">
        <v>4222</v>
      </c>
      <c r="I330" t="s">
        <v>93</v>
      </c>
      <c r="J330">
        <v>0</v>
      </c>
      <c r="K330" t="s">
        <v>602</v>
      </c>
      <c r="M330" t="s">
        <v>7162</v>
      </c>
      <c r="N330" t="str">
        <f t="shared" si="3"/>
        <v>Other</v>
      </c>
      <c r="O330" s="1" t="s">
        <v>4223</v>
      </c>
      <c r="P330" t="s">
        <v>4224</v>
      </c>
      <c r="Q330" s="1" t="s">
        <v>4225</v>
      </c>
      <c r="R330" s="1" t="s">
        <v>4226</v>
      </c>
      <c r="S330" s="1" t="s">
        <v>4227</v>
      </c>
      <c r="T330" s="1">
        <v>722</v>
      </c>
      <c r="U330" s="1">
        <v>2145</v>
      </c>
      <c r="V330" s="1"/>
      <c r="W330" s="1"/>
      <c r="X330" t="s">
        <v>4228</v>
      </c>
      <c r="Y330" t="s">
        <v>4229</v>
      </c>
      <c r="AA330" t="s">
        <v>3579</v>
      </c>
      <c r="AC330" t="s">
        <v>4230</v>
      </c>
    </row>
    <row r="331" spans="1:57" hidden="1" x14ac:dyDescent="0.2">
      <c r="A331" t="s">
        <v>4231</v>
      </c>
      <c r="B331" t="s">
        <v>4232</v>
      </c>
      <c r="C331" t="s">
        <v>4233</v>
      </c>
      <c r="D331" t="s">
        <v>4234</v>
      </c>
      <c r="E331" t="s">
        <v>4234</v>
      </c>
      <c r="G331" t="s">
        <v>56</v>
      </c>
      <c r="H331" t="s">
        <v>57</v>
      </c>
      <c r="I331" t="s">
        <v>58</v>
      </c>
      <c r="J331" t="e">
        <v>#N/A</v>
      </c>
      <c r="K331" t="s">
        <v>2663</v>
      </c>
      <c r="L331" t="s">
        <v>2663</v>
      </c>
      <c r="M331" t="s">
        <v>7165</v>
      </c>
      <c r="N331" t="str">
        <f t="shared" si="3"/>
        <v>Meat</v>
      </c>
      <c r="O331" s="1" t="s">
        <v>603</v>
      </c>
      <c r="P331" t="s">
        <v>649</v>
      </c>
      <c r="Q331" s="1" t="s">
        <v>875</v>
      </c>
      <c r="R331" s="1" t="s">
        <v>64</v>
      </c>
      <c r="S331" s="1" t="s">
        <v>675</v>
      </c>
      <c r="T331" s="1">
        <v>11</v>
      </c>
      <c r="U331" s="1">
        <v>2124</v>
      </c>
      <c r="V331" s="1" t="s">
        <v>169</v>
      </c>
      <c r="W331" s="1">
        <v>10664297</v>
      </c>
      <c r="X331" t="s">
        <v>4235</v>
      </c>
      <c r="Y331" t="s">
        <v>4236</v>
      </c>
      <c r="AA331" t="s">
        <v>68</v>
      </c>
      <c r="AB331" t="s">
        <v>4237</v>
      </c>
      <c r="AC331" t="s">
        <v>4238</v>
      </c>
      <c r="AD331" t="s">
        <v>4239</v>
      </c>
      <c r="AE331" t="s">
        <v>2858</v>
      </c>
      <c r="AF331" t="s">
        <v>73</v>
      </c>
      <c r="AG331" t="s">
        <v>4240</v>
      </c>
      <c r="AH331" t="s">
        <v>75</v>
      </c>
      <c r="AI331" t="s">
        <v>76</v>
      </c>
      <c r="AJ331" t="s">
        <v>77</v>
      </c>
      <c r="AK331" t="s">
        <v>780</v>
      </c>
      <c r="AL331" t="s">
        <v>615</v>
      </c>
      <c r="AM331" t="s">
        <v>616</v>
      </c>
      <c r="AN331" t="s">
        <v>81</v>
      </c>
      <c r="AO331" t="s">
        <v>82</v>
      </c>
      <c r="AP331" t="s">
        <v>83</v>
      </c>
      <c r="AQ331">
        <v>2018</v>
      </c>
      <c r="AR331">
        <v>99554</v>
      </c>
      <c r="AS331">
        <v>5317957</v>
      </c>
      <c r="AT331">
        <v>206</v>
      </c>
      <c r="AU331" t="s">
        <v>84</v>
      </c>
      <c r="AV331">
        <v>562</v>
      </c>
      <c r="AW331" t="s">
        <v>85</v>
      </c>
      <c r="AX331" t="s">
        <v>86</v>
      </c>
      <c r="AY331">
        <v>562</v>
      </c>
      <c r="AZ331" t="s">
        <v>4241</v>
      </c>
      <c r="BA331" t="s">
        <v>88</v>
      </c>
      <c r="BC331" t="s">
        <v>841</v>
      </c>
      <c r="BD331">
        <v>1</v>
      </c>
      <c r="BE331">
        <v>2</v>
      </c>
    </row>
    <row r="332" spans="1:57" hidden="1" x14ac:dyDescent="0.2">
      <c r="A332" t="s">
        <v>4242</v>
      </c>
      <c r="B332" t="s">
        <v>4243</v>
      </c>
      <c r="C332" t="s">
        <v>4244</v>
      </c>
      <c r="D332" t="s">
        <v>4245</v>
      </c>
      <c r="E332" t="s">
        <v>4245</v>
      </c>
      <c r="G332" t="s">
        <v>56</v>
      </c>
      <c r="H332" t="s">
        <v>57</v>
      </c>
      <c r="I332" t="s">
        <v>58</v>
      </c>
      <c r="J332" t="e">
        <v>#N/A</v>
      </c>
      <c r="K332" t="s">
        <v>2663</v>
      </c>
      <c r="L332" t="s">
        <v>2663</v>
      </c>
      <c r="M332" t="s">
        <v>7165</v>
      </c>
      <c r="N332" t="str">
        <f t="shared" si="3"/>
        <v>Meat</v>
      </c>
      <c r="O332" s="1" t="s">
        <v>603</v>
      </c>
      <c r="P332" t="s">
        <v>649</v>
      </c>
      <c r="Q332" s="1" t="s">
        <v>875</v>
      </c>
      <c r="R332" s="1" t="s">
        <v>64</v>
      </c>
      <c r="S332" s="1" t="s">
        <v>675</v>
      </c>
      <c r="T332" s="1">
        <v>11</v>
      </c>
      <c r="U332" s="1">
        <v>2124</v>
      </c>
      <c r="V332" s="1" t="s">
        <v>169</v>
      </c>
      <c r="W332" s="1">
        <v>10664297</v>
      </c>
      <c r="X332" t="s">
        <v>4246</v>
      </c>
      <c r="Y332" t="s">
        <v>4247</v>
      </c>
      <c r="AA332" t="s">
        <v>68</v>
      </c>
      <c r="AB332" t="s">
        <v>4248</v>
      </c>
      <c r="AC332" t="s">
        <v>4249</v>
      </c>
      <c r="AD332" t="s">
        <v>4250</v>
      </c>
      <c r="AE332" t="s">
        <v>3311</v>
      </c>
      <c r="AF332" t="s">
        <v>73</v>
      </c>
      <c r="AG332" t="s">
        <v>4251</v>
      </c>
      <c r="AH332" t="s">
        <v>75</v>
      </c>
      <c r="AI332" t="s">
        <v>76</v>
      </c>
      <c r="AJ332" t="s">
        <v>77</v>
      </c>
      <c r="AK332" t="s">
        <v>4252</v>
      </c>
      <c r="AL332" t="s">
        <v>615</v>
      </c>
      <c r="AM332" t="s">
        <v>616</v>
      </c>
      <c r="AN332" t="s">
        <v>81</v>
      </c>
      <c r="AO332" t="s">
        <v>82</v>
      </c>
      <c r="AP332" t="s">
        <v>83</v>
      </c>
      <c r="AQ332">
        <v>2018</v>
      </c>
      <c r="AR332">
        <v>131553</v>
      </c>
      <c r="AS332">
        <v>5267854</v>
      </c>
      <c r="AT332">
        <v>239</v>
      </c>
      <c r="AU332" t="s">
        <v>84</v>
      </c>
      <c r="AV332">
        <v>562</v>
      </c>
      <c r="AW332" t="s">
        <v>85</v>
      </c>
      <c r="AX332" t="s">
        <v>86</v>
      </c>
      <c r="AY332">
        <v>562</v>
      </c>
      <c r="AZ332" t="s">
        <v>4253</v>
      </c>
      <c r="BA332" t="s">
        <v>88</v>
      </c>
      <c r="BC332" t="s">
        <v>841</v>
      </c>
      <c r="BD332">
        <v>0</v>
      </c>
      <c r="BE332">
        <v>1</v>
      </c>
    </row>
    <row r="333" spans="1:57" hidden="1" x14ac:dyDescent="0.2">
      <c r="A333" t="s">
        <v>4254</v>
      </c>
      <c r="B333" t="s">
        <v>4255</v>
      </c>
      <c r="C333" t="s">
        <v>4256</v>
      </c>
      <c r="D333" t="s">
        <v>4257</v>
      </c>
      <c r="E333" t="s">
        <v>4257</v>
      </c>
      <c r="G333" t="s">
        <v>56</v>
      </c>
      <c r="H333" t="s">
        <v>57</v>
      </c>
      <c r="I333" t="s">
        <v>58</v>
      </c>
      <c r="J333" t="e">
        <v>#N/A</v>
      </c>
      <c r="K333" t="s">
        <v>140</v>
      </c>
      <c r="L333" t="s">
        <v>4258</v>
      </c>
      <c r="M333" t="s">
        <v>7165</v>
      </c>
      <c r="N333" t="str">
        <f t="shared" si="3"/>
        <v>Meat</v>
      </c>
      <c r="O333" s="1" t="s">
        <v>603</v>
      </c>
      <c r="P333" t="s">
        <v>649</v>
      </c>
      <c r="Q333" s="1" t="s">
        <v>4259</v>
      </c>
      <c r="R333" s="1" t="s">
        <v>4260</v>
      </c>
      <c r="S333" s="1" t="s">
        <v>4261</v>
      </c>
      <c r="T333" s="1">
        <v>11</v>
      </c>
      <c r="U333" s="1">
        <v>29913</v>
      </c>
      <c r="V333" s="1" t="s">
        <v>169</v>
      </c>
      <c r="W333" s="1">
        <v>10838521</v>
      </c>
      <c r="X333" t="s">
        <v>4262</v>
      </c>
      <c r="Y333" t="s">
        <v>4263</v>
      </c>
      <c r="AA333" t="s">
        <v>68</v>
      </c>
      <c r="AB333" t="s">
        <v>4264</v>
      </c>
      <c r="AC333" t="s">
        <v>4265</v>
      </c>
      <c r="AD333" t="s">
        <v>4266</v>
      </c>
      <c r="AE333" t="s">
        <v>192</v>
      </c>
      <c r="AF333" t="s">
        <v>73</v>
      </c>
      <c r="AG333" t="s">
        <v>4267</v>
      </c>
      <c r="AH333" t="s">
        <v>75</v>
      </c>
      <c r="AI333" t="s">
        <v>76</v>
      </c>
      <c r="AJ333" t="s">
        <v>77</v>
      </c>
      <c r="AK333" t="s">
        <v>4268</v>
      </c>
      <c r="AL333" t="s">
        <v>615</v>
      </c>
      <c r="AM333" t="s">
        <v>616</v>
      </c>
      <c r="AN333" t="s">
        <v>81</v>
      </c>
      <c r="AO333" t="s">
        <v>82</v>
      </c>
      <c r="AP333" t="s">
        <v>83</v>
      </c>
      <c r="AQ333">
        <v>2018</v>
      </c>
      <c r="AR333">
        <v>86078</v>
      </c>
      <c r="AS333">
        <v>5400922</v>
      </c>
      <c r="AT333">
        <v>279</v>
      </c>
      <c r="AU333" t="s">
        <v>84</v>
      </c>
      <c r="AV333">
        <v>562</v>
      </c>
      <c r="AW333" t="s">
        <v>85</v>
      </c>
      <c r="AX333" t="s">
        <v>86</v>
      </c>
      <c r="AY333">
        <v>562</v>
      </c>
      <c r="AZ333" t="s">
        <v>4269</v>
      </c>
      <c r="BA333" t="s">
        <v>88</v>
      </c>
    </row>
    <row r="334" spans="1:57" hidden="1" x14ac:dyDescent="0.2">
      <c r="A334" t="s">
        <v>4270</v>
      </c>
      <c r="B334" t="s">
        <v>4271</v>
      </c>
      <c r="C334" t="s">
        <v>4272</v>
      </c>
      <c r="D334" t="s">
        <v>4273</v>
      </c>
      <c r="E334" t="s">
        <v>4273</v>
      </c>
      <c r="G334" t="s">
        <v>56</v>
      </c>
      <c r="H334" t="s">
        <v>57</v>
      </c>
      <c r="I334" t="s">
        <v>58</v>
      </c>
      <c r="J334" t="e">
        <v>#N/A</v>
      </c>
      <c r="K334" t="s">
        <v>4274</v>
      </c>
      <c r="L334" t="s">
        <v>4274</v>
      </c>
      <c r="M334" t="s">
        <v>7167</v>
      </c>
      <c r="N334" t="str">
        <f t="shared" si="3"/>
        <v>Dairy</v>
      </c>
      <c r="O334" s="1" t="s">
        <v>603</v>
      </c>
      <c r="P334" t="s">
        <v>649</v>
      </c>
      <c r="Q334" s="1" t="s">
        <v>674</v>
      </c>
      <c r="R334" s="1" t="s">
        <v>64</v>
      </c>
      <c r="S334" s="1" t="s">
        <v>675</v>
      </c>
      <c r="T334" s="1">
        <v>11</v>
      </c>
      <c r="U334" s="1">
        <v>2124</v>
      </c>
      <c r="V334" s="1" t="s">
        <v>651</v>
      </c>
      <c r="W334" s="1">
        <v>11213338</v>
      </c>
      <c r="X334" t="s">
        <v>4275</v>
      </c>
      <c r="Y334" t="s">
        <v>4276</v>
      </c>
      <c r="AA334" t="s">
        <v>68</v>
      </c>
      <c r="AB334" t="s">
        <v>4277</v>
      </c>
      <c r="AC334" t="s">
        <v>4278</v>
      </c>
      <c r="AD334" t="s">
        <v>4279</v>
      </c>
      <c r="AE334" t="s">
        <v>580</v>
      </c>
      <c r="AF334" t="s">
        <v>73</v>
      </c>
      <c r="AG334" t="s">
        <v>4280</v>
      </c>
      <c r="AH334" t="s">
        <v>75</v>
      </c>
      <c r="AI334" t="s">
        <v>76</v>
      </c>
      <c r="AJ334" t="s">
        <v>77</v>
      </c>
      <c r="AK334" t="s">
        <v>682</v>
      </c>
      <c r="AL334" t="s">
        <v>615</v>
      </c>
      <c r="AM334" t="s">
        <v>616</v>
      </c>
      <c r="AN334" t="s">
        <v>81</v>
      </c>
      <c r="AO334" t="s">
        <v>82</v>
      </c>
      <c r="AP334" t="s">
        <v>83</v>
      </c>
      <c r="AQ334">
        <v>2018</v>
      </c>
      <c r="AR334">
        <v>87712</v>
      </c>
      <c r="AS334">
        <v>5288057</v>
      </c>
      <c r="AT334">
        <v>266</v>
      </c>
      <c r="AU334" t="s">
        <v>84</v>
      </c>
      <c r="AV334">
        <v>562</v>
      </c>
      <c r="AW334" t="s">
        <v>85</v>
      </c>
      <c r="AX334" t="s">
        <v>86</v>
      </c>
      <c r="AY334">
        <v>562</v>
      </c>
      <c r="AZ334" t="s">
        <v>4281</v>
      </c>
      <c r="BA334" t="s">
        <v>88</v>
      </c>
      <c r="BC334" t="s">
        <v>841</v>
      </c>
      <c r="BD334">
        <v>1</v>
      </c>
      <c r="BE334">
        <v>1</v>
      </c>
    </row>
    <row r="335" spans="1:57" x14ac:dyDescent="0.2">
      <c r="A335" t="s">
        <v>4282</v>
      </c>
      <c r="B335" t="s">
        <v>4282</v>
      </c>
      <c r="C335" t="s">
        <v>4283</v>
      </c>
      <c r="D335" t="s">
        <v>4284</v>
      </c>
      <c r="E335" t="s">
        <v>4284</v>
      </c>
      <c r="G335" t="s">
        <v>56</v>
      </c>
      <c r="H335" t="s">
        <v>57</v>
      </c>
      <c r="I335" t="s">
        <v>93</v>
      </c>
      <c r="J335">
        <v>0</v>
      </c>
      <c r="K335" t="s">
        <v>602</v>
      </c>
      <c r="M335" t="s">
        <v>7162</v>
      </c>
      <c r="N335" t="str">
        <f t="shared" si="3"/>
        <v>Other</v>
      </c>
      <c r="O335" s="1" t="s">
        <v>4285</v>
      </c>
      <c r="P335" t="s">
        <v>4286</v>
      </c>
      <c r="Q335" s="1" t="s">
        <v>144</v>
      </c>
      <c r="R335" s="1" t="s">
        <v>313</v>
      </c>
      <c r="S335" s="1" t="s">
        <v>4287</v>
      </c>
      <c r="T335" s="1">
        <v>442</v>
      </c>
      <c r="U335" s="1">
        <v>15262</v>
      </c>
      <c r="V335" s="1"/>
      <c r="W335" s="1"/>
      <c r="X335" t="s">
        <v>4288</v>
      </c>
      <c r="Y335" t="s">
        <v>4289</v>
      </c>
      <c r="AA335" t="s">
        <v>3579</v>
      </c>
      <c r="AC335" t="s">
        <v>4290</v>
      </c>
    </row>
    <row r="336" spans="1:57" hidden="1" x14ac:dyDescent="0.2">
      <c r="A336" t="s">
        <v>4291</v>
      </c>
      <c r="B336" t="s">
        <v>4292</v>
      </c>
      <c r="C336" t="s">
        <v>4272</v>
      </c>
      <c r="D336" t="s">
        <v>4293</v>
      </c>
      <c r="E336" t="s">
        <v>4293</v>
      </c>
      <c r="G336" t="s">
        <v>56</v>
      </c>
      <c r="H336" t="s">
        <v>57</v>
      </c>
      <c r="I336" t="s">
        <v>58</v>
      </c>
      <c r="J336" t="e">
        <v>#N/A</v>
      </c>
      <c r="K336" t="s">
        <v>4274</v>
      </c>
      <c r="L336" t="s">
        <v>4274</v>
      </c>
      <c r="M336" t="s">
        <v>7167</v>
      </c>
      <c r="N336" t="str">
        <f t="shared" si="3"/>
        <v>Dairy</v>
      </c>
      <c r="O336" s="1" t="s">
        <v>603</v>
      </c>
      <c r="P336" t="s">
        <v>649</v>
      </c>
      <c r="Q336" s="1" t="s">
        <v>674</v>
      </c>
      <c r="R336" s="1" t="s">
        <v>64</v>
      </c>
      <c r="S336" s="1" t="s">
        <v>675</v>
      </c>
      <c r="T336" s="1">
        <v>11</v>
      </c>
      <c r="U336" s="1">
        <v>2124</v>
      </c>
      <c r="V336" s="1" t="s">
        <v>651</v>
      </c>
      <c r="W336" s="1" t="s">
        <v>4294</v>
      </c>
      <c r="X336" t="s">
        <v>4295</v>
      </c>
      <c r="Y336" t="s">
        <v>4296</v>
      </c>
      <c r="AA336" t="s">
        <v>68</v>
      </c>
      <c r="AB336" t="s">
        <v>4297</v>
      </c>
      <c r="AC336" t="s">
        <v>4298</v>
      </c>
      <c r="AD336" t="s">
        <v>4299</v>
      </c>
      <c r="AE336" t="s">
        <v>4300</v>
      </c>
      <c r="AF336" t="s">
        <v>73</v>
      </c>
      <c r="AG336" t="s">
        <v>4301</v>
      </c>
      <c r="AH336" t="s">
        <v>75</v>
      </c>
      <c r="AI336" t="s">
        <v>76</v>
      </c>
      <c r="AJ336" t="s">
        <v>77</v>
      </c>
      <c r="AK336" t="s">
        <v>4302</v>
      </c>
      <c r="AL336" t="s">
        <v>615</v>
      </c>
      <c r="AM336" t="s">
        <v>616</v>
      </c>
      <c r="AN336" t="s">
        <v>81</v>
      </c>
      <c r="AO336" t="s">
        <v>82</v>
      </c>
      <c r="AP336" t="s">
        <v>83</v>
      </c>
      <c r="AQ336">
        <v>2018</v>
      </c>
      <c r="AR336">
        <v>80454</v>
      </c>
      <c r="AS336">
        <v>5287118</v>
      </c>
      <c r="AT336">
        <v>263</v>
      </c>
      <c r="AU336" t="s">
        <v>84</v>
      </c>
      <c r="AV336">
        <v>562</v>
      </c>
      <c r="AW336" t="s">
        <v>85</v>
      </c>
      <c r="AX336" t="s">
        <v>86</v>
      </c>
      <c r="AY336">
        <v>562</v>
      </c>
      <c r="AZ336" t="s">
        <v>4303</v>
      </c>
      <c r="BA336" t="s">
        <v>88</v>
      </c>
      <c r="BC336" t="s">
        <v>841</v>
      </c>
      <c r="BD336">
        <v>2</v>
      </c>
      <c r="BE336">
        <v>2</v>
      </c>
    </row>
    <row r="337" spans="1:57" x14ac:dyDescent="0.2">
      <c r="A337" t="s">
        <v>4304</v>
      </c>
      <c r="B337" t="s">
        <v>4304</v>
      </c>
      <c r="C337" t="s">
        <v>4305</v>
      </c>
      <c r="D337" t="s">
        <v>4306</v>
      </c>
      <c r="E337" s="9" t="s">
        <v>4307</v>
      </c>
      <c r="G337" t="s">
        <v>56</v>
      </c>
      <c r="H337" t="s">
        <v>57</v>
      </c>
      <c r="I337" t="s">
        <v>58</v>
      </c>
      <c r="J337" t="s">
        <v>3228</v>
      </c>
      <c r="K337" t="s">
        <v>602</v>
      </c>
      <c r="M337" t="s">
        <v>7162</v>
      </c>
      <c r="N337" t="str">
        <f t="shared" si="3"/>
        <v>Other</v>
      </c>
      <c r="O337" s="1" t="s">
        <v>142</v>
      </c>
      <c r="P337" t="s">
        <v>143</v>
      </c>
      <c r="Q337" s="1" t="s">
        <v>144</v>
      </c>
      <c r="R337" s="1" t="s">
        <v>4308</v>
      </c>
      <c r="S337" s="1" t="s">
        <v>4309</v>
      </c>
      <c r="T337" s="1">
        <v>332</v>
      </c>
      <c r="U337" s="1">
        <v>35092</v>
      </c>
      <c r="V337" s="1"/>
      <c r="W337" s="1"/>
      <c r="X337" t="s">
        <v>4310</v>
      </c>
      <c r="Y337" t="s">
        <v>4311</v>
      </c>
      <c r="AA337" t="s">
        <v>3579</v>
      </c>
      <c r="AC337" t="s">
        <v>4312</v>
      </c>
    </row>
    <row r="338" spans="1:57" x14ac:dyDescent="0.2">
      <c r="A338" t="s">
        <v>4313</v>
      </c>
      <c r="B338" t="s">
        <v>4313</v>
      </c>
      <c r="C338" t="s">
        <v>4314</v>
      </c>
      <c r="D338" t="s">
        <v>4315</v>
      </c>
      <c r="E338" t="s">
        <v>4315</v>
      </c>
      <c r="G338" t="s">
        <v>56</v>
      </c>
      <c r="H338" t="s">
        <v>57</v>
      </c>
      <c r="I338" t="s">
        <v>93</v>
      </c>
      <c r="J338">
        <v>0</v>
      </c>
      <c r="K338" t="s">
        <v>602</v>
      </c>
      <c r="M338" t="s">
        <v>7162</v>
      </c>
      <c r="N338" t="str">
        <f t="shared" si="3"/>
        <v>Other</v>
      </c>
      <c r="O338" s="1" t="s">
        <v>4316</v>
      </c>
      <c r="P338" t="s">
        <v>4317</v>
      </c>
      <c r="Q338" s="1" t="s">
        <v>144</v>
      </c>
      <c r="R338" s="1" t="s">
        <v>4318</v>
      </c>
      <c r="S338" s="1" t="s">
        <v>4319</v>
      </c>
      <c r="T338" s="1">
        <v>1</v>
      </c>
      <c r="U338" s="1">
        <v>1793</v>
      </c>
      <c r="V338" s="1"/>
      <c r="W338" s="1"/>
      <c r="X338" t="s">
        <v>4320</v>
      </c>
      <c r="Y338" t="s">
        <v>4321</v>
      </c>
      <c r="AA338" t="s">
        <v>3579</v>
      </c>
      <c r="AC338" t="s">
        <v>4322</v>
      </c>
    </row>
    <row r="339" spans="1:57" x14ac:dyDescent="0.2">
      <c r="A339" t="s">
        <v>4323</v>
      </c>
      <c r="B339" t="s">
        <v>4323</v>
      </c>
      <c r="C339" t="s">
        <v>4324</v>
      </c>
      <c r="D339" t="s">
        <v>4325</v>
      </c>
      <c r="E339" t="s">
        <v>4325</v>
      </c>
      <c r="G339" t="s">
        <v>56</v>
      </c>
      <c r="H339" t="s">
        <v>57</v>
      </c>
      <c r="I339" t="s">
        <v>93</v>
      </c>
      <c r="J339">
        <v>0</v>
      </c>
      <c r="K339" t="s">
        <v>602</v>
      </c>
      <c r="M339" t="s">
        <v>7162</v>
      </c>
      <c r="N339" t="str">
        <f t="shared" si="3"/>
        <v>Other</v>
      </c>
      <c r="O339" s="1" t="s">
        <v>4326</v>
      </c>
      <c r="P339" t="s">
        <v>4327</v>
      </c>
      <c r="Q339" s="1" t="s">
        <v>166</v>
      </c>
      <c r="R339" s="1" t="s">
        <v>4328</v>
      </c>
      <c r="S339" s="1" t="s">
        <v>4329</v>
      </c>
      <c r="T339" s="1">
        <v>1892</v>
      </c>
      <c r="U339" s="1">
        <v>35113</v>
      </c>
      <c r="V339" s="1"/>
      <c r="W339" s="1"/>
      <c r="X339" t="s">
        <v>4330</v>
      </c>
      <c r="Y339" t="s">
        <v>4331</v>
      </c>
      <c r="AA339" t="s">
        <v>3579</v>
      </c>
      <c r="AC339" t="s">
        <v>4332</v>
      </c>
    </row>
    <row r="340" spans="1:57" x14ac:dyDescent="0.2">
      <c r="A340" t="s">
        <v>4333</v>
      </c>
      <c r="B340" t="s">
        <v>4333</v>
      </c>
      <c r="C340" t="s">
        <v>4334</v>
      </c>
      <c r="D340" t="s">
        <v>4335</v>
      </c>
      <c r="E340" t="s">
        <v>4335</v>
      </c>
      <c r="G340" t="s">
        <v>56</v>
      </c>
      <c r="H340" t="s">
        <v>57</v>
      </c>
      <c r="I340" t="s">
        <v>58</v>
      </c>
      <c r="J340" t="s">
        <v>4336</v>
      </c>
      <c r="K340" t="s">
        <v>602</v>
      </c>
      <c r="M340" t="s">
        <v>7162</v>
      </c>
      <c r="N340" t="str">
        <f t="shared" si="3"/>
        <v>Other</v>
      </c>
      <c r="O340" s="1" t="s">
        <v>4337</v>
      </c>
      <c r="P340" t="s">
        <v>4338</v>
      </c>
      <c r="Q340" s="1" t="s">
        <v>126</v>
      </c>
      <c r="R340" s="1" t="s">
        <v>4339</v>
      </c>
      <c r="S340" s="1" t="s">
        <v>4340</v>
      </c>
      <c r="T340" s="1">
        <v>7657</v>
      </c>
      <c r="U340" s="1">
        <v>1629</v>
      </c>
      <c r="V340" s="1"/>
      <c r="W340" s="1"/>
      <c r="X340" t="s">
        <v>4341</v>
      </c>
      <c r="Y340" t="s">
        <v>4342</v>
      </c>
      <c r="AA340" t="s">
        <v>3579</v>
      </c>
      <c r="AC340" t="s">
        <v>4343</v>
      </c>
    </row>
    <row r="341" spans="1:57" x14ac:dyDescent="0.2">
      <c r="A341" t="s">
        <v>4344</v>
      </c>
      <c r="B341" t="s">
        <v>4344</v>
      </c>
      <c r="C341" t="s">
        <v>4345</v>
      </c>
      <c r="D341" t="s">
        <v>4346</v>
      </c>
      <c r="E341" t="s">
        <v>4346</v>
      </c>
      <c r="G341" t="s">
        <v>56</v>
      </c>
      <c r="H341" t="s">
        <v>57</v>
      </c>
      <c r="I341" t="s">
        <v>58</v>
      </c>
      <c r="J341" t="s">
        <v>4347</v>
      </c>
      <c r="K341" t="s">
        <v>602</v>
      </c>
      <c r="M341" t="s">
        <v>7162</v>
      </c>
      <c r="N341" t="str">
        <f t="shared" si="3"/>
        <v>Other</v>
      </c>
      <c r="O341" s="1" t="s">
        <v>4348</v>
      </c>
      <c r="P341" t="s">
        <v>4349</v>
      </c>
      <c r="Q341" s="1" t="s">
        <v>4350</v>
      </c>
      <c r="R341" s="1" t="s">
        <v>127</v>
      </c>
      <c r="S341" s="1" t="s">
        <v>4351</v>
      </c>
      <c r="T341" s="1">
        <v>2103</v>
      </c>
      <c r="U341" s="1">
        <v>29698</v>
      </c>
      <c r="V341" s="1"/>
      <c r="W341" s="1"/>
      <c r="X341" t="s">
        <v>4352</v>
      </c>
      <c r="Y341" t="s">
        <v>4353</v>
      </c>
      <c r="AA341" t="s">
        <v>3579</v>
      </c>
      <c r="AC341" t="s">
        <v>4354</v>
      </c>
    </row>
    <row r="342" spans="1:57" x14ac:dyDescent="0.2">
      <c r="A342" t="s">
        <v>4355</v>
      </c>
      <c r="B342" t="s">
        <v>4355</v>
      </c>
      <c r="C342" t="s">
        <v>4356</v>
      </c>
      <c r="D342" t="s">
        <v>4357</v>
      </c>
      <c r="E342" t="s">
        <v>4357</v>
      </c>
      <c r="G342" t="s">
        <v>56</v>
      </c>
      <c r="H342" t="s">
        <v>57</v>
      </c>
      <c r="I342" t="s">
        <v>93</v>
      </c>
      <c r="J342">
        <v>0</v>
      </c>
      <c r="K342" t="s">
        <v>602</v>
      </c>
      <c r="M342" t="s">
        <v>7162</v>
      </c>
      <c r="N342" t="str">
        <f t="shared" si="3"/>
        <v>Other</v>
      </c>
      <c r="O342" s="1" t="s">
        <v>353</v>
      </c>
      <c r="P342" t="s">
        <v>354</v>
      </c>
      <c r="Q342" s="1" t="s">
        <v>144</v>
      </c>
      <c r="R342" s="1" t="s">
        <v>3649</v>
      </c>
      <c r="S342" s="1" t="s">
        <v>3650</v>
      </c>
      <c r="T342" s="1">
        <v>677</v>
      </c>
      <c r="U342" s="1">
        <v>15267</v>
      </c>
      <c r="V342" s="1"/>
      <c r="W342" s="1"/>
      <c r="X342" t="s">
        <v>4358</v>
      </c>
      <c r="Y342" t="s">
        <v>4359</v>
      </c>
      <c r="AA342" t="s">
        <v>3579</v>
      </c>
      <c r="AC342" t="s">
        <v>4360</v>
      </c>
    </row>
    <row r="343" spans="1:57" x14ac:dyDescent="0.2">
      <c r="A343" t="s">
        <v>4361</v>
      </c>
      <c r="B343" t="s">
        <v>4361</v>
      </c>
      <c r="C343" t="s">
        <v>4362</v>
      </c>
      <c r="D343" t="s">
        <v>4363</v>
      </c>
      <c r="E343" t="s">
        <v>4363</v>
      </c>
      <c r="G343" t="s">
        <v>56</v>
      </c>
      <c r="H343" t="s">
        <v>57</v>
      </c>
      <c r="I343" t="s">
        <v>93</v>
      </c>
      <c r="J343">
        <v>0</v>
      </c>
      <c r="K343" t="s">
        <v>602</v>
      </c>
      <c r="M343" t="s">
        <v>7162</v>
      </c>
      <c r="N343" t="str">
        <f t="shared" si="3"/>
        <v>Other</v>
      </c>
      <c r="O343" s="1" t="s">
        <v>4364</v>
      </c>
      <c r="P343" t="s">
        <v>4365</v>
      </c>
      <c r="Q343" s="1" t="s">
        <v>144</v>
      </c>
      <c r="R343" s="1" t="s">
        <v>3649</v>
      </c>
      <c r="S343" s="1" t="s">
        <v>3678</v>
      </c>
      <c r="T343" s="1">
        <v>10</v>
      </c>
      <c r="U343" s="1">
        <v>15264</v>
      </c>
      <c r="V343" s="1"/>
      <c r="W343" s="1"/>
      <c r="X343" t="s">
        <v>4366</v>
      </c>
      <c r="Y343" t="s">
        <v>4367</v>
      </c>
      <c r="AA343" t="s">
        <v>3579</v>
      </c>
      <c r="AC343" t="s">
        <v>4368</v>
      </c>
    </row>
    <row r="344" spans="1:57" x14ac:dyDescent="0.2">
      <c r="A344" t="s">
        <v>4369</v>
      </c>
      <c r="B344" t="s">
        <v>4369</v>
      </c>
      <c r="C344" t="s">
        <v>4370</v>
      </c>
      <c r="D344" t="s">
        <v>4371</v>
      </c>
      <c r="E344" t="s">
        <v>4371</v>
      </c>
      <c r="G344" t="s">
        <v>56</v>
      </c>
      <c r="H344" t="s">
        <v>57</v>
      </c>
      <c r="I344" t="s">
        <v>93</v>
      </c>
      <c r="J344">
        <v>0</v>
      </c>
      <c r="K344" t="s">
        <v>602</v>
      </c>
      <c r="M344" t="s">
        <v>7162</v>
      </c>
      <c r="N344" t="str">
        <f t="shared" si="3"/>
        <v>Other</v>
      </c>
      <c r="O344" s="1" t="s">
        <v>4372</v>
      </c>
      <c r="P344" t="s">
        <v>4373</v>
      </c>
      <c r="Q344" s="1" t="s">
        <v>4374</v>
      </c>
      <c r="R344" s="1" t="s">
        <v>313</v>
      </c>
      <c r="S344" s="1" t="s">
        <v>314</v>
      </c>
      <c r="T344" s="1">
        <v>69</v>
      </c>
      <c r="U344" s="1">
        <v>15263</v>
      </c>
      <c r="V344" s="1"/>
      <c r="W344" s="1"/>
      <c r="X344" t="s">
        <v>4375</v>
      </c>
      <c r="Y344" t="s">
        <v>4376</v>
      </c>
      <c r="AA344" t="s">
        <v>3579</v>
      </c>
      <c r="AC344" t="s">
        <v>4377</v>
      </c>
    </row>
    <row r="345" spans="1:57" x14ac:dyDescent="0.2">
      <c r="A345" t="s">
        <v>4378</v>
      </c>
      <c r="B345" t="s">
        <v>4378</v>
      </c>
      <c r="C345" t="s">
        <v>4379</v>
      </c>
      <c r="D345" t="s">
        <v>4380</v>
      </c>
      <c r="E345" t="s">
        <v>4380</v>
      </c>
      <c r="G345" t="s">
        <v>56</v>
      </c>
      <c r="H345" t="s">
        <v>57</v>
      </c>
      <c r="I345" t="s">
        <v>93</v>
      </c>
      <c r="J345">
        <v>0</v>
      </c>
      <c r="K345" t="s">
        <v>602</v>
      </c>
      <c r="M345" t="s">
        <v>7162</v>
      </c>
      <c r="N345" t="str">
        <f t="shared" si="3"/>
        <v>Other</v>
      </c>
      <c r="O345" s="1" t="s">
        <v>4381</v>
      </c>
      <c r="P345" t="s">
        <v>4382</v>
      </c>
      <c r="Q345" s="1" t="s">
        <v>144</v>
      </c>
      <c r="R345" s="1" t="s">
        <v>3476</v>
      </c>
      <c r="S345" s="1" t="s">
        <v>3477</v>
      </c>
      <c r="T345" s="1">
        <v>2715</v>
      </c>
      <c r="U345" s="1">
        <v>15261</v>
      </c>
      <c r="V345" s="1"/>
      <c r="W345" s="1"/>
      <c r="X345" t="s">
        <v>4383</v>
      </c>
      <c r="Y345" t="s">
        <v>4384</v>
      </c>
      <c r="AA345" t="s">
        <v>3579</v>
      </c>
      <c r="AC345" t="s">
        <v>4385</v>
      </c>
    </row>
    <row r="346" spans="1:57" hidden="1" x14ac:dyDescent="0.2">
      <c r="A346" t="s">
        <v>4386</v>
      </c>
      <c r="B346" t="s">
        <v>4386</v>
      </c>
      <c r="C346" t="s">
        <v>4387</v>
      </c>
      <c r="D346" t="s">
        <v>4388</v>
      </c>
      <c r="E346" t="s">
        <v>4388</v>
      </c>
      <c r="G346" t="s">
        <v>56</v>
      </c>
      <c r="H346" t="s">
        <v>57</v>
      </c>
      <c r="I346" t="s">
        <v>58</v>
      </c>
      <c r="J346" t="e">
        <v>#N/A</v>
      </c>
      <c r="K346" t="s">
        <v>140</v>
      </c>
      <c r="L346" t="s">
        <v>4389</v>
      </c>
      <c r="M346" t="s">
        <v>7165</v>
      </c>
      <c r="N346" t="str">
        <f t="shared" si="3"/>
        <v>Meat</v>
      </c>
      <c r="O346" s="1" t="s">
        <v>603</v>
      </c>
      <c r="P346" t="s">
        <v>603</v>
      </c>
      <c r="Q346" s="1" t="s">
        <v>650</v>
      </c>
      <c r="R346" s="1" t="s">
        <v>127</v>
      </c>
      <c r="S346" s="1" t="s">
        <v>606</v>
      </c>
      <c r="T346" s="1">
        <v>11</v>
      </c>
      <c r="U346" s="1">
        <v>2124</v>
      </c>
      <c r="V346" s="1" t="s">
        <v>651</v>
      </c>
      <c r="W346" s="1">
        <v>12735244</v>
      </c>
      <c r="X346" t="s">
        <v>4390</v>
      </c>
      <c r="Y346" t="s">
        <v>4391</v>
      </c>
      <c r="AA346" t="s">
        <v>68</v>
      </c>
      <c r="AB346" t="s">
        <v>4392</v>
      </c>
      <c r="AC346" t="s">
        <v>4393</v>
      </c>
      <c r="AD346" t="s">
        <v>4394</v>
      </c>
      <c r="AE346" t="s">
        <v>3271</v>
      </c>
      <c r="AF346" t="s">
        <v>73</v>
      </c>
      <c r="AG346" t="s">
        <v>4395</v>
      </c>
      <c r="AH346" t="s">
        <v>75</v>
      </c>
      <c r="AI346" t="s">
        <v>76</v>
      </c>
      <c r="AJ346" t="s">
        <v>77</v>
      </c>
      <c r="AK346" t="s">
        <v>4396</v>
      </c>
      <c r="AL346" t="s">
        <v>615</v>
      </c>
      <c r="AM346" t="s">
        <v>616</v>
      </c>
      <c r="AN346" t="s">
        <v>158</v>
      </c>
      <c r="AO346" t="s">
        <v>159</v>
      </c>
      <c r="AP346" t="s">
        <v>83</v>
      </c>
      <c r="AR346">
        <v>98874</v>
      </c>
      <c r="AS346">
        <v>5458780</v>
      </c>
      <c r="AT346">
        <v>397</v>
      </c>
      <c r="AU346" t="s">
        <v>84</v>
      </c>
      <c r="AV346">
        <v>562</v>
      </c>
      <c r="AW346" t="s">
        <v>85</v>
      </c>
      <c r="AX346" t="s">
        <v>86</v>
      </c>
      <c r="AY346">
        <v>562</v>
      </c>
      <c r="AZ346" t="s">
        <v>4397</v>
      </c>
      <c r="BA346" t="s">
        <v>88</v>
      </c>
      <c r="BC346" t="s">
        <v>659</v>
      </c>
      <c r="BD346">
        <v>8</v>
      </c>
      <c r="BE346">
        <v>17</v>
      </c>
    </row>
    <row r="347" spans="1:57" hidden="1" x14ac:dyDescent="0.2">
      <c r="A347" t="s">
        <v>4398</v>
      </c>
      <c r="B347" t="s">
        <v>4398</v>
      </c>
      <c r="C347" t="s">
        <v>4399</v>
      </c>
      <c r="D347" t="s">
        <v>4400</v>
      </c>
      <c r="E347" t="s">
        <v>4400</v>
      </c>
      <c r="G347" t="s">
        <v>56</v>
      </c>
      <c r="H347" t="s">
        <v>57</v>
      </c>
      <c r="I347" t="s">
        <v>58</v>
      </c>
      <c r="J347" t="e">
        <v>#N/A</v>
      </c>
      <c r="K347" t="s">
        <v>2641</v>
      </c>
      <c r="L347" t="s">
        <v>700</v>
      </c>
      <c r="M347" t="s">
        <v>7165</v>
      </c>
      <c r="N347" t="str">
        <f t="shared" si="3"/>
        <v>Meat</v>
      </c>
      <c r="O347" s="1" t="s">
        <v>603</v>
      </c>
      <c r="P347" t="s">
        <v>603</v>
      </c>
      <c r="Q347" s="1" t="s">
        <v>650</v>
      </c>
      <c r="R347" s="1" t="s">
        <v>127</v>
      </c>
      <c r="S347" s="1" t="s">
        <v>606</v>
      </c>
      <c r="T347" s="1">
        <v>11</v>
      </c>
      <c r="U347" s="1">
        <v>2124</v>
      </c>
      <c r="V347" s="1" t="s">
        <v>651</v>
      </c>
      <c r="W347" s="1">
        <v>14005329</v>
      </c>
      <c r="X347" t="s">
        <v>4401</v>
      </c>
      <c r="Y347" t="s">
        <v>4402</v>
      </c>
      <c r="AA347" t="s">
        <v>68</v>
      </c>
      <c r="AB347" t="s">
        <v>4403</v>
      </c>
      <c r="AC347" t="s">
        <v>4404</v>
      </c>
      <c r="AD347" t="s">
        <v>4405</v>
      </c>
      <c r="AE347" t="s">
        <v>4406</v>
      </c>
      <c r="AF347" t="s">
        <v>73</v>
      </c>
      <c r="AG347" t="s">
        <v>4407</v>
      </c>
      <c r="AH347" t="s">
        <v>75</v>
      </c>
      <c r="AI347" t="s">
        <v>76</v>
      </c>
      <c r="AJ347" t="s">
        <v>77</v>
      </c>
      <c r="AK347" t="s">
        <v>4408</v>
      </c>
      <c r="AL347" t="s">
        <v>4409</v>
      </c>
      <c r="AM347" t="s">
        <v>616</v>
      </c>
      <c r="AN347" t="s">
        <v>158</v>
      </c>
      <c r="AO347" t="s">
        <v>159</v>
      </c>
      <c r="AP347" t="s">
        <v>83</v>
      </c>
      <c r="AR347">
        <v>86032</v>
      </c>
      <c r="AS347">
        <v>5391129</v>
      </c>
      <c r="AT347">
        <v>208</v>
      </c>
      <c r="AU347" t="s">
        <v>84</v>
      </c>
      <c r="AV347">
        <v>562</v>
      </c>
      <c r="AW347" t="s">
        <v>85</v>
      </c>
      <c r="AX347" t="s">
        <v>86</v>
      </c>
      <c r="AY347">
        <v>562</v>
      </c>
      <c r="AZ347" t="s">
        <v>4410</v>
      </c>
      <c r="BA347" t="s">
        <v>88</v>
      </c>
      <c r="BC347" t="s">
        <v>659</v>
      </c>
      <c r="BD347">
        <v>8</v>
      </c>
      <c r="BE347">
        <v>17</v>
      </c>
    </row>
    <row r="348" spans="1:57" hidden="1" x14ac:dyDescent="0.2">
      <c r="A348" t="s">
        <v>4411</v>
      </c>
      <c r="B348" t="s">
        <v>4411</v>
      </c>
      <c r="C348" t="s">
        <v>4399</v>
      </c>
      <c r="D348" t="s">
        <v>4412</v>
      </c>
      <c r="E348" t="s">
        <v>4412</v>
      </c>
      <c r="G348" t="s">
        <v>56</v>
      </c>
      <c r="H348" t="s">
        <v>57</v>
      </c>
      <c r="I348" t="s">
        <v>58</v>
      </c>
      <c r="J348" t="e">
        <v>#N/A</v>
      </c>
      <c r="K348" t="s">
        <v>2641</v>
      </c>
      <c r="L348" t="s">
        <v>700</v>
      </c>
      <c r="M348" t="s">
        <v>7165</v>
      </c>
      <c r="N348" t="str">
        <f t="shared" si="3"/>
        <v>Meat</v>
      </c>
      <c r="O348" s="1" t="s">
        <v>603</v>
      </c>
      <c r="P348" t="s">
        <v>603</v>
      </c>
      <c r="Q348" s="1" t="s">
        <v>674</v>
      </c>
      <c r="R348" s="1" t="s">
        <v>64</v>
      </c>
      <c r="S348" s="1" t="s">
        <v>713</v>
      </c>
      <c r="T348" s="1">
        <v>11</v>
      </c>
      <c r="U348" s="1">
        <v>29984</v>
      </c>
      <c r="V348" s="1" t="s">
        <v>4413</v>
      </c>
      <c r="W348" s="1">
        <v>14005329</v>
      </c>
      <c r="X348" t="s">
        <v>4414</v>
      </c>
      <c r="Y348" t="s">
        <v>4415</v>
      </c>
      <c r="AA348" t="s">
        <v>68</v>
      </c>
      <c r="AB348" t="s">
        <v>4416</v>
      </c>
      <c r="AC348" t="s">
        <v>4417</v>
      </c>
      <c r="AD348" t="s">
        <v>4418</v>
      </c>
      <c r="AE348" t="s">
        <v>3357</v>
      </c>
      <c r="AF348" t="s">
        <v>73</v>
      </c>
      <c r="AG348" t="s">
        <v>4419</v>
      </c>
      <c r="AH348" t="s">
        <v>4420</v>
      </c>
      <c r="AI348" t="s">
        <v>76</v>
      </c>
      <c r="AJ348" t="s">
        <v>77</v>
      </c>
      <c r="AK348" t="s">
        <v>1472</v>
      </c>
      <c r="AL348" t="s">
        <v>615</v>
      </c>
      <c r="AM348" t="s">
        <v>4421</v>
      </c>
      <c r="AN348" t="s">
        <v>532</v>
      </c>
      <c r="AO348" t="s">
        <v>533</v>
      </c>
      <c r="AP348" t="s">
        <v>83</v>
      </c>
      <c r="AR348">
        <v>148117</v>
      </c>
      <c r="AS348">
        <v>5426665</v>
      </c>
      <c r="AT348">
        <v>185</v>
      </c>
      <c r="AU348" t="s">
        <v>84</v>
      </c>
      <c r="AV348">
        <v>562</v>
      </c>
      <c r="AW348" t="s">
        <v>85</v>
      </c>
      <c r="AX348" t="s">
        <v>86</v>
      </c>
      <c r="AY348">
        <v>562</v>
      </c>
      <c r="AZ348" t="s">
        <v>4422</v>
      </c>
      <c r="BA348" t="s">
        <v>88</v>
      </c>
      <c r="BC348" t="s">
        <v>4423</v>
      </c>
      <c r="BD348">
        <v>19</v>
      </c>
      <c r="BE348">
        <v>22</v>
      </c>
    </row>
    <row r="349" spans="1:57" hidden="1" x14ac:dyDescent="0.2">
      <c r="A349" t="s">
        <v>4424</v>
      </c>
      <c r="B349" t="s">
        <v>4424</v>
      </c>
      <c r="C349" t="s">
        <v>4425</v>
      </c>
      <c r="D349" t="s">
        <v>4426</v>
      </c>
      <c r="E349" t="s">
        <v>4426</v>
      </c>
      <c r="G349" t="s">
        <v>56</v>
      </c>
      <c r="H349" t="s">
        <v>57</v>
      </c>
      <c r="I349" t="s">
        <v>58</v>
      </c>
      <c r="J349" t="e">
        <v>#N/A</v>
      </c>
      <c r="K349" t="s">
        <v>2459</v>
      </c>
      <c r="L349" t="s">
        <v>648</v>
      </c>
      <c r="M349" t="s">
        <v>7165</v>
      </c>
      <c r="N349" t="str">
        <f t="shared" si="3"/>
        <v>Meat</v>
      </c>
      <c r="O349" s="1" t="s">
        <v>603</v>
      </c>
      <c r="P349" t="s">
        <v>603</v>
      </c>
      <c r="Q349" s="1" t="s">
        <v>674</v>
      </c>
      <c r="R349" s="1" t="s">
        <v>64</v>
      </c>
      <c r="S349" s="1" t="s">
        <v>713</v>
      </c>
      <c r="T349" s="1">
        <v>11</v>
      </c>
      <c r="U349" s="1">
        <v>29984</v>
      </c>
      <c r="V349" s="1" t="s">
        <v>4427</v>
      </c>
      <c r="W349" s="1">
        <v>14270822</v>
      </c>
      <c r="X349" t="s">
        <v>4428</v>
      </c>
      <c r="Y349" t="s">
        <v>4429</v>
      </c>
      <c r="AA349" t="s">
        <v>68</v>
      </c>
      <c r="AB349" t="s">
        <v>4430</v>
      </c>
      <c r="AC349" t="s">
        <v>4431</v>
      </c>
      <c r="AD349" t="s">
        <v>4432</v>
      </c>
      <c r="AE349" t="s">
        <v>3720</v>
      </c>
      <c r="AF349" t="s">
        <v>73</v>
      </c>
      <c r="AG349" t="s">
        <v>4433</v>
      </c>
      <c r="AH349" t="s">
        <v>4420</v>
      </c>
      <c r="AI349" t="s">
        <v>76</v>
      </c>
      <c r="AJ349" t="s">
        <v>77</v>
      </c>
      <c r="AK349" t="s">
        <v>2635</v>
      </c>
      <c r="AL349" t="s">
        <v>615</v>
      </c>
      <c r="AM349" t="s">
        <v>4421</v>
      </c>
      <c r="AN349" t="s">
        <v>532</v>
      </c>
      <c r="AO349" t="s">
        <v>533</v>
      </c>
      <c r="AP349" t="s">
        <v>83</v>
      </c>
      <c r="AR349">
        <v>142634</v>
      </c>
      <c r="AS349">
        <v>5418364</v>
      </c>
      <c r="AT349">
        <v>226</v>
      </c>
      <c r="AU349" t="s">
        <v>84</v>
      </c>
      <c r="AV349">
        <v>562</v>
      </c>
      <c r="AW349" t="s">
        <v>85</v>
      </c>
      <c r="AX349" t="s">
        <v>86</v>
      </c>
      <c r="AY349">
        <v>562</v>
      </c>
      <c r="AZ349" t="s">
        <v>4434</v>
      </c>
      <c r="BA349" t="s">
        <v>88</v>
      </c>
      <c r="BC349" t="s">
        <v>4423</v>
      </c>
      <c r="BD349">
        <v>19</v>
      </c>
      <c r="BE349">
        <v>17</v>
      </c>
    </row>
    <row r="350" spans="1:57" x14ac:dyDescent="0.2">
      <c r="A350" t="s">
        <v>4435</v>
      </c>
      <c r="B350" t="s">
        <v>4435</v>
      </c>
      <c r="C350" t="s">
        <v>4436</v>
      </c>
      <c r="D350" t="s">
        <v>4437</v>
      </c>
      <c r="E350" t="s">
        <v>4437</v>
      </c>
      <c r="G350" t="s">
        <v>56</v>
      </c>
      <c r="H350" t="s">
        <v>57</v>
      </c>
      <c r="I350" t="s">
        <v>58</v>
      </c>
      <c r="J350" t="e">
        <v>#N/A</v>
      </c>
      <c r="K350" t="s">
        <v>602</v>
      </c>
      <c r="M350" t="s">
        <v>7162</v>
      </c>
      <c r="N350" t="str">
        <f t="shared" si="3"/>
        <v>Other</v>
      </c>
      <c r="O350" s="1" t="s">
        <v>603</v>
      </c>
      <c r="P350" t="s">
        <v>649</v>
      </c>
      <c r="Q350" s="1" t="s">
        <v>605</v>
      </c>
      <c r="R350" s="1" t="s">
        <v>127</v>
      </c>
      <c r="S350" s="1" t="s">
        <v>606</v>
      </c>
      <c r="T350" s="1">
        <v>11</v>
      </c>
      <c r="U350" s="1">
        <v>2124</v>
      </c>
      <c r="V350" s="1"/>
      <c r="W350" s="1"/>
      <c r="X350" t="s">
        <v>4438</v>
      </c>
      <c r="Y350" t="s">
        <v>4439</v>
      </c>
      <c r="AA350" t="s">
        <v>3579</v>
      </c>
      <c r="AC350" t="s">
        <v>4440</v>
      </c>
    </row>
    <row r="351" spans="1:57" x14ac:dyDescent="0.2">
      <c r="A351" t="s">
        <v>4441</v>
      </c>
      <c r="B351" t="s">
        <v>4441</v>
      </c>
      <c r="C351" t="s">
        <v>4442</v>
      </c>
      <c r="D351" t="s">
        <v>4443</v>
      </c>
      <c r="E351" t="s">
        <v>4443</v>
      </c>
      <c r="G351" t="s">
        <v>56</v>
      </c>
      <c r="H351" t="s">
        <v>57</v>
      </c>
      <c r="I351" t="s">
        <v>93</v>
      </c>
      <c r="J351">
        <v>0</v>
      </c>
      <c r="K351" t="s">
        <v>602</v>
      </c>
      <c r="M351" t="s">
        <v>7162</v>
      </c>
      <c r="N351" t="str">
        <f t="shared" si="3"/>
        <v>Other</v>
      </c>
      <c r="O351" s="1" t="s">
        <v>3134</v>
      </c>
      <c r="P351" t="s">
        <v>4444</v>
      </c>
      <c r="Q351" s="1" t="s">
        <v>373</v>
      </c>
      <c r="R351" s="1" t="s">
        <v>4328</v>
      </c>
      <c r="S351" s="1" t="s">
        <v>4445</v>
      </c>
      <c r="T351" s="1">
        <v>3233</v>
      </c>
      <c r="U351" s="1">
        <v>15266</v>
      </c>
      <c r="V351" s="1"/>
      <c r="W351" s="1"/>
      <c r="X351" t="s">
        <v>4446</v>
      </c>
      <c r="Y351" t="s">
        <v>4447</v>
      </c>
      <c r="AA351" t="s">
        <v>3579</v>
      </c>
      <c r="AC351" t="s">
        <v>4448</v>
      </c>
    </row>
    <row r="352" spans="1:57" x14ac:dyDescent="0.2">
      <c r="A352" t="s">
        <v>4449</v>
      </c>
      <c r="B352" t="s">
        <v>4449</v>
      </c>
      <c r="C352" t="s">
        <v>4450</v>
      </c>
      <c r="D352" t="s">
        <v>4451</v>
      </c>
      <c r="E352" t="s">
        <v>4451</v>
      </c>
      <c r="G352" t="s">
        <v>56</v>
      </c>
      <c r="H352" t="s">
        <v>57</v>
      </c>
      <c r="I352" t="s">
        <v>93</v>
      </c>
      <c r="J352">
        <v>0</v>
      </c>
      <c r="K352" t="s">
        <v>602</v>
      </c>
      <c r="M352" t="s">
        <v>7162</v>
      </c>
      <c r="N352" t="str">
        <f t="shared" si="3"/>
        <v>Other</v>
      </c>
      <c r="O352" s="1" t="s">
        <v>448</v>
      </c>
      <c r="P352" t="s">
        <v>3244</v>
      </c>
      <c r="Q352" s="1" t="s">
        <v>4452</v>
      </c>
      <c r="R352" s="1" t="s">
        <v>4226</v>
      </c>
      <c r="S352" s="1" t="s">
        <v>4453</v>
      </c>
      <c r="T352" s="1">
        <v>20</v>
      </c>
      <c r="U352" s="1">
        <v>15619</v>
      </c>
      <c r="V352" s="1"/>
      <c r="W352" s="1"/>
      <c r="X352" t="s">
        <v>4454</v>
      </c>
      <c r="Y352" t="s">
        <v>4455</v>
      </c>
      <c r="AA352" t="s">
        <v>3579</v>
      </c>
      <c r="AC352" t="s">
        <v>4456</v>
      </c>
    </row>
    <row r="353" spans="1:29" x14ac:dyDescent="0.2">
      <c r="A353" t="s">
        <v>4457</v>
      </c>
      <c r="B353" t="s">
        <v>4457</v>
      </c>
      <c r="C353" t="s">
        <v>4458</v>
      </c>
      <c r="D353" t="s">
        <v>4459</v>
      </c>
      <c r="E353" t="s">
        <v>4459</v>
      </c>
      <c r="G353" t="s">
        <v>56</v>
      </c>
      <c r="H353" t="s">
        <v>57</v>
      </c>
      <c r="I353" t="s">
        <v>93</v>
      </c>
      <c r="J353">
        <v>0</v>
      </c>
      <c r="K353" t="s">
        <v>602</v>
      </c>
      <c r="M353" t="s">
        <v>7162</v>
      </c>
      <c r="N353" t="str">
        <f t="shared" si="3"/>
        <v>Other</v>
      </c>
      <c r="O353" s="1" t="s">
        <v>4460</v>
      </c>
      <c r="P353" t="s">
        <v>4461</v>
      </c>
      <c r="Q353" s="1" t="s">
        <v>4462</v>
      </c>
      <c r="R353" s="1" t="s">
        <v>434</v>
      </c>
      <c r="S353" s="1" t="s">
        <v>468</v>
      </c>
      <c r="T353" s="1">
        <v>13</v>
      </c>
      <c r="U353" s="1">
        <v>15613</v>
      </c>
      <c r="V353" s="1"/>
      <c r="W353" s="1"/>
      <c r="X353" t="s">
        <v>4463</v>
      </c>
      <c r="Y353" t="s">
        <v>4464</v>
      </c>
      <c r="AA353" t="s">
        <v>3579</v>
      </c>
      <c r="AC353" t="s">
        <v>4465</v>
      </c>
    </row>
    <row r="354" spans="1:29" x14ac:dyDescent="0.2">
      <c r="A354" t="s">
        <v>4466</v>
      </c>
      <c r="B354" t="s">
        <v>4466</v>
      </c>
      <c r="C354" t="s">
        <v>4467</v>
      </c>
      <c r="D354" t="s">
        <v>4468</v>
      </c>
      <c r="E354" t="s">
        <v>4468</v>
      </c>
      <c r="G354" t="s">
        <v>56</v>
      </c>
      <c r="H354" t="s">
        <v>57</v>
      </c>
      <c r="I354" t="s">
        <v>93</v>
      </c>
      <c r="J354">
        <v>0</v>
      </c>
      <c r="K354" t="s">
        <v>602</v>
      </c>
      <c r="M354" t="s">
        <v>7162</v>
      </c>
      <c r="N354" t="str">
        <f t="shared" si="3"/>
        <v>Other</v>
      </c>
      <c r="O354" s="1" t="s">
        <v>4316</v>
      </c>
      <c r="P354" t="s">
        <v>4317</v>
      </c>
      <c r="Q354" s="1" t="s">
        <v>4469</v>
      </c>
      <c r="R354" s="1" t="s">
        <v>4318</v>
      </c>
      <c r="S354" s="1" t="s">
        <v>4319</v>
      </c>
      <c r="T354" s="1">
        <v>1</v>
      </c>
      <c r="U354" s="1">
        <v>1793</v>
      </c>
      <c r="V354" s="1"/>
      <c r="W354" s="1"/>
      <c r="X354" t="s">
        <v>4470</v>
      </c>
      <c r="Y354" t="s">
        <v>4471</v>
      </c>
      <c r="AA354" t="s">
        <v>3579</v>
      </c>
      <c r="AC354" t="s">
        <v>4472</v>
      </c>
    </row>
    <row r="355" spans="1:29" x14ac:dyDescent="0.2">
      <c r="A355" t="s">
        <v>4473</v>
      </c>
      <c r="B355" t="s">
        <v>4473</v>
      </c>
      <c r="C355" t="s">
        <v>4474</v>
      </c>
      <c r="D355" t="s">
        <v>4475</v>
      </c>
      <c r="E355" s="9" t="s">
        <v>4476</v>
      </c>
      <c r="G355" t="s">
        <v>56</v>
      </c>
      <c r="H355" t="s">
        <v>57</v>
      </c>
      <c r="I355" t="s">
        <v>93</v>
      </c>
      <c r="J355">
        <v>0</v>
      </c>
      <c r="K355" t="s">
        <v>602</v>
      </c>
      <c r="M355" t="s">
        <v>7162</v>
      </c>
      <c r="N355" t="str">
        <f t="shared" si="3"/>
        <v>Other</v>
      </c>
      <c r="O355" s="1" t="s">
        <v>4477</v>
      </c>
      <c r="P355" t="s">
        <v>4478</v>
      </c>
      <c r="Q355" s="1" t="s">
        <v>144</v>
      </c>
      <c r="R355" s="1" t="s">
        <v>313</v>
      </c>
      <c r="S355" s="1" t="s">
        <v>314</v>
      </c>
      <c r="T355" s="1">
        <v>2914</v>
      </c>
      <c r="U355" s="1">
        <v>15101</v>
      </c>
      <c r="V355" s="1"/>
      <c r="W355" s="1"/>
      <c r="X355" t="s">
        <v>4479</v>
      </c>
      <c r="Y355" t="s">
        <v>4480</v>
      </c>
      <c r="AA355" t="s">
        <v>3579</v>
      </c>
      <c r="AC355" t="s">
        <v>4481</v>
      </c>
    </row>
    <row r="356" spans="1:29" x14ac:dyDescent="0.2">
      <c r="A356" t="s">
        <v>4482</v>
      </c>
      <c r="B356" t="s">
        <v>4482</v>
      </c>
      <c r="C356" t="s">
        <v>4483</v>
      </c>
      <c r="D356" t="s">
        <v>4484</v>
      </c>
      <c r="E356" t="s">
        <v>4484</v>
      </c>
      <c r="G356" t="s">
        <v>56</v>
      </c>
      <c r="H356" t="s">
        <v>57</v>
      </c>
      <c r="I356" t="s">
        <v>93</v>
      </c>
      <c r="J356">
        <v>0</v>
      </c>
      <c r="K356" t="s">
        <v>602</v>
      </c>
      <c r="M356" t="s">
        <v>7162</v>
      </c>
      <c r="N356" t="str">
        <f t="shared" si="3"/>
        <v>Other</v>
      </c>
      <c r="O356" s="1" t="s">
        <v>448</v>
      </c>
      <c r="P356" t="s">
        <v>4485</v>
      </c>
      <c r="Q356" s="1" t="s">
        <v>166</v>
      </c>
      <c r="R356" s="1" t="s">
        <v>167</v>
      </c>
      <c r="S356" s="1" t="s">
        <v>483</v>
      </c>
      <c r="T356" s="1">
        <v>25</v>
      </c>
      <c r="U356" s="1">
        <v>35119</v>
      </c>
      <c r="V356" s="1"/>
      <c r="W356" s="1"/>
      <c r="X356" t="s">
        <v>4486</v>
      </c>
      <c r="Y356" t="s">
        <v>4487</v>
      </c>
      <c r="AA356" t="s">
        <v>3579</v>
      </c>
      <c r="AC356" t="s">
        <v>4488</v>
      </c>
    </row>
    <row r="357" spans="1:29" x14ac:dyDescent="0.2">
      <c r="A357" t="s">
        <v>4489</v>
      </c>
      <c r="B357" t="s">
        <v>4489</v>
      </c>
      <c r="C357" t="s">
        <v>4490</v>
      </c>
      <c r="D357" t="s">
        <v>4491</v>
      </c>
      <c r="E357" t="s">
        <v>4491</v>
      </c>
      <c r="G357" t="s">
        <v>56</v>
      </c>
      <c r="H357" t="s">
        <v>57</v>
      </c>
      <c r="I357" t="s">
        <v>93</v>
      </c>
      <c r="J357">
        <v>0</v>
      </c>
      <c r="K357" t="s">
        <v>602</v>
      </c>
      <c r="M357" t="s">
        <v>7162</v>
      </c>
      <c r="N357" t="str">
        <f t="shared" si="3"/>
        <v>Other</v>
      </c>
      <c r="O357" s="1" t="s">
        <v>4492</v>
      </c>
      <c r="P357" t="s">
        <v>4493</v>
      </c>
      <c r="Q357" s="1" t="s">
        <v>4494</v>
      </c>
      <c r="R357" s="1" t="s">
        <v>250</v>
      </c>
      <c r="S357" s="1" t="s">
        <v>3989</v>
      </c>
      <c r="T357" s="1">
        <v>17</v>
      </c>
      <c r="U357" s="1">
        <v>15619</v>
      </c>
      <c r="V357" s="1"/>
      <c r="W357" s="1"/>
      <c r="X357" t="s">
        <v>4495</v>
      </c>
      <c r="Y357" t="s">
        <v>4496</v>
      </c>
      <c r="AA357" t="s">
        <v>3579</v>
      </c>
      <c r="AC357" t="s">
        <v>4497</v>
      </c>
    </row>
    <row r="358" spans="1:29" x14ac:dyDescent="0.2">
      <c r="A358" t="s">
        <v>4498</v>
      </c>
      <c r="B358" t="s">
        <v>4498</v>
      </c>
      <c r="C358" t="s">
        <v>4499</v>
      </c>
      <c r="D358" t="s">
        <v>4500</v>
      </c>
      <c r="E358" s="9" t="s">
        <v>4501</v>
      </c>
      <c r="G358" t="s">
        <v>56</v>
      </c>
      <c r="H358" t="s">
        <v>57</v>
      </c>
      <c r="I358" t="s">
        <v>93</v>
      </c>
      <c r="J358">
        <v>0</v>
      </c>
      <c r="K358" t="s">
        <v>602</v>
      </c>
      <c r="M358" t="s">
        <v>7162</v>
      </c>
      <c r="N358" t="str">
        <f t="shared" si="3"/>
        <v>Other</v>
      </c>
      <c r="O358" s="1" t="s">
        <v>4502</v>
      </c>
      <c r="P358" t="s">
        <v>4503</v>
      </c>
      <c r="Q358" s="1" t="s">
        <v>166</v>
      </c>
      <c r="R358" s="1" t="s">
        <v>4328</v>
      </c>
      <c r="S358" s="1" t="s">
        <v>4329</v>
      </c>
      <c r="T358" s="1">
        <v>6034</v>
      </c>
      <c r="U358" s="1">
        <v>34264</v>
      </c>
      <c r="V358" s="1"/>
      <c r="W358" s="1"/>
      <c r="X358" t="s">
        <v>4504</v>
      </c>
      <c r="Y358" t="s">
        <v>4505</v>
      </c>
      <c r="AA358" t="s">
        <v>3579</v>
      </c>
      <c r="AC358" t="s">
        <v>4506</v>
      </c>
    </row>
    <row r="359" spans="1:29" x14ac:dyDescent="0.2">
      <c r="A359" t="s">
        <v>4507</v>
      </c>
      <c r="B359" t="s">
        <v>4507</v>
      </c>
      <c r="C359" t="s">
        <v>4508</v>
      </c>
      <c r="D359" t="s">
        <v>4509</v>
      </c>
      <c r="E359" t="s">
        <v>4509</v>
      </c>
      <c r="G359" t="s">
        <v>56</v>
      </c>
      <c r="H359" t="s">
        <v>57</v>
      </c>
      <c r="I359" t="s">
        <v>58</v>
      </c>
      <c r="J359" t="s">
        <v>4510</v>
      </c>
      <c r="K359" t="s">
        <v>602</v>
      </c>
      <c r="M359" t="s">
        <v>7162</v>
      </c>
      <c r="N359" t="str">
        <f t="shared" si="3"/>
        <v>Other</v>
      </c>
      <c r="O359" s="1" t="s">
        <v>4511</v>
      </c>
      <c r="P359" t="s">
        <v>4512</v>
      </c>
      <c r="Q359" s="1" t="s">
        <v>4513</v>
      </c>
      <c r="R359" s="1" t="s">
        <v>250</v>
      </c>
      <c r="S359" s="1" t="s">
        <v>4514</v>
      </c>
      <c r="T359" s="1">
        <v>16</v>
      </c>
      <c r="U359" s="1">
        <v>35094</v>
      </c>
      <c r="V359" s="1"/>
      <c r="W359" s="1"/>
      <c r="X359" t="s">
        <v>4515</v>
      </c>
      <c r="Y359" t="s">
        <v>4516</v>
      </c>
      <c r="AA359" t="s">
        <v>3579</v>
      </c>
      <c r="AC359" t="s">
        <v>4517</v>
      </c>
    </row>
    <row r="360" spans="1:29" x14ac:dyDescent="0.2">
      <c r="A360" t="s">
        <v>4518</v>
      </c>
      <c r="B360" t="s">
        <v>4518</v>
      </c>
      <c r="C360" t="s">
        <v>4519</v>
      </c>
      <c r="D360" t="s">
        <v>4520</v>
      </c>
      <c r="E360" t="s">
        <v>4520</v>
      </c>
      <c r="G360" t="s">
        <v>56</v>
      </c>
      <c r="H360" t="s">
        <v>57</v>
      </c>
      <c r="I360" t="s">
        <v>93</v>
      </c>
      <c r="J360">
        <v>0</v>
      </c>
      <c r="K360" t="s">
        <v>602</v>
      </c>
      <c r="M360" t="s">
        <v>7162</v>
      </c>
      <c r="N360" t="str">
        <f t="shared" si="3"/>
        <v>Other</v>
      </c>
      <c r="O360" s="1" t="s">
        <v>4337</v>
      </c>
      <c r="P360" t="s">
        <v>4338</v>
      </c>
      <c r="Q360" s="1" t="s">
        <v>144</v>
      </c>
      <c r="R360" s="1" t="s">
        <v>313</v>
      </c>
      <c r="S360" s="1" t="s">
        <v>4521</v>
      </c>
      <c r="T360" s="1">
        <v>829</v>
      </c>
      <c r="U360" s="1">
        <v>30433</v>
      </c>
      <c r="V360" s="1"/>
      <c r="W360" s="1"/>
      <c r="X360" t="s">
        <v>4522</v>
      </c>
      <c r="Y360" t="s">
        <v>4523</v>
      </c>
      <c r="AA360" t="s">
        <v>3579</v>
      </c>
      <c r="AC360" t="s">
        <v>4524</v>
      </c>
    </row>
    <row r="361" spans="1:29" x14ac:dyDescent="0.2">
      <c r="A361" t="s">
        <v>4525</v>
      </c>
      <c r="B361" t="s">
        <v>4525</v>
      </c>
      <c r="C361" t="s">
        <v>4526</v>
      </c>
      <c r="D361" t="s">
        <v>4527</v>
      </c>
      <c r="E361" t="s">
        <v>4527</v>
      </c>
      <c r="G361" t="s">
        <v>170</v>
      </c>
      <c r="H361" t="s">
        <v>57</v>
      </c>
      <c r="I361" t="s">
        <v>93</v>
      </c>
      <c r="J361">
        <v>0</v>
      </c>
      <c r="K361" t="s">
        <v>602</v>
      </c>
      <c r="M361" t="s">
        <v>7162</v>
      </c>
      <c r="N361" t="str">
        <f t="shared" si="3"/>
        <v>Other</v>
      </c>
      <c r="O361" s="1" t="s">
        <v>4528</v>
      </c>
      <c r="P361" t="s">
        <v>4529</v>
      </c>
      <c r="Q361" s="1" t="s">
        <v>4530</v>
      </c>
      <c r="R361" s="1" t="s">
        <v>169</v>
      </c>
      <c r="S361" s="1" t="s">
        <v>169</v>
      </c>
      <c r="T361" s="1">
        <v>6</v>
      </c>
      <c r="U361" s="1">
        <v>29621</v>
      </c>
      <c r="V361" s="1"/>
      <c r="W361" s="1"/>
      <c r="X361" t="s">
        <v>4531</v>
      </c>
      <c r="Y361" t="s">
        <v>4532</v>
      </c>
      <c r="AA361" t="s">
        <v>3579</v>
      </c>
      <c r="AC361" t="s">
        <v>4533</v>
      </c>
    </row>
    <row r="362" spans="1:29" x14ac:dyDescent="0.2">
      <c r="A362" t="s">
        <v>4534</v>
      </c>
      <c r="B362" t="s">
        <v>4534</v>
      </c>
      <c r="C362" t="s">
        <v>4535</v>
      </c>
      <c r="D362" t="s">
        <v>4536</v>
      </c>
      <c r="E362" t="s">
        <v>4536</v>
      </c>
      <c r="G362" t="s">
        <v>56</v>
      </c>
      <c r="H362" t="s">
        <v>57</v>
      </c>
      <c r="I362" t="s">
        <v>58</v>
      </c>
      <c r="J362" t="s">
        <v>4537</v>
      </c>
      <c r="K362" t="s">
        <v>602</v>
      </c>
      <c r="M362" t="s">
        <v>7162</v>
      </c>
      <c r="N362" t="str">
        <f t="shared" si="3"/>
        <v>Other</v>
      </c>
      <c r="O362" s="1" t="s">
        <v>4538</v>
      </c>
      <c r="P362" t="s">
        <v>4539</v>
      </c>
      <c r="Q362" s="1" t="s">
        <v>4540</v>
      </c>
      <c r="R362" s="1" t="s">
        <v>64</v>
      </c>
      <c r="S362" s="1" t="s">
        <v>3576</v>
      </c>
      <c r="T362" s="1">
        <v>21</v>
      </c>
      <c r="U362" s="1">
        <v>35114</v>
      </c>
      <c r="V362" s="1"/>
      <c r="W362" s="1"/>
      <c r="X362" t="s">
        <v>4541</v>
      </c>
      <c r="Y362" t="s">
        <v>4542</v>
      </c>
      <c r="AA362" t="s">
        <v>3579</v>
      </c>
      <c r="AC362" t="s">
        <v>4543</v>
      </c>
    </row>
    <row r="363" spans="1:29" x14ac:dyDescent="0.2">
      <c r="A363" t="s">
        <v>4544</v>
      </c>
      <c r="B363" t="s">
        <v>4544</v>
      </c>
      <c r="C363" t="s">
        <v>4545</v>
      </c>
      <c r="D363" t="s">
        <v>4546</v>
      </c>
      <c r="E363" t="s">
        <v>4546</v>
      </c>
      <c r="G363" t="s">
        <v>56</v>
      </c>
      <c r="H363" t="s">
        <v>57</v>
      </c>
      <c r="I363" t="s">
        <v>58</v>
      </c>
      <c r="J363" t="s">
        <v>4547</v>
      </c>
      <c r="K363" t="s">
        <v>602</v>
      </c>
      <c r="M363" t="s">
        <v>7162</v>
      </c>
      <c r="N363" t="str">
        <f t="shared" si="3"/>
        <v>Other</v>
      </c>
      <c r="O363" s="1" t="s">
        <v>61</v>
      </c>
      <c r="P363" t="s">
        <v>4548</v>
      </c>
      <c r="Q363" s="1" t="s">
        <v>4549</v>
      </c>
      <c r="R363" s="1" t="s">
        <v>64</v>
      </c>
      <c r="S363" s="1" t="s">
        <v>3576</v>
      </c>
      <c r="T363" s="1">
        <v>655</v>
      </c>
      <c r="U363" s="1">
        <v>1693</v>
      </c>
      <c r="V363" s="1"/>
      <c r="W363" s="1"/>
      <c r="X363" t="s">
        <v>4550</v>
      </c>
      <c r="Y363" t="s">
        <v>4551</v>
      </c>
      <c r="AA363" t="s">
        <v>3579</v>
      </c>
      <c r="AC363" t="s">
        <v>4552</v>
      </c>
    </row>
    <row r="364" spans="1:29" x14ac:dyDescent="0.2">
      <c r="A364" t="s">
        <v>4553</v>
      </c>
      <c r="B364" t="s">
        <v>4553</v>
      </c>
      <c r="C364" t="s">
        <v>4554</v>
      </c>
      <c r="D364" t="s">
        <v>4555</v>
      </c>
      <c r="E364" t="s">
        <v>4555</v>
      </c>
      <c r="G364" t="s">
        <v>170</v>
      </c>
      <c r="H364" t="s">
        <v>57</v>
      </c>
      <c r="I364" t="s">
        <v>93</v>
      </c>
      <c r="J364">
        <v>0</v>
      </c>
      <c r="K364" t="s">
        <v>602</v>
      </c>
      <c r="M364" t="s">
        <v>7162</v>
      </c>
      <c r="N364" t="str">
        <f t="shared" si="3"/>
        <v>Other</v>
      </c>
      <c r="O364" s="1" t="s">
        <v>4556</v>
      </c>
      <c r="P364" t="s">
        <v>4557</v>
      </c>
      <c r="Q364" s="1" t="s">
        <v>4530</v>
      </c>
      <c r="R364" s="1" t="s">
        <v>169</v>
      </c>
      <c r="S364" s="1" t="s">
        <v>169</v>
      </c>
      <c r="T364" s="1">
        <v>48</v>
      </c>
      <c r="U364" s="1">
        <v>14935</v>
      </c>
      <c r="V364" s="1"/>
      <c r="W364" s="1"/>
      <c r="X364" t="s">
        <v>4558</v>
      </c>
      <c r="Y364" t="s">
        <v>4559</v>
      </c>
      <c r="AA364" t="s">
        <v>3579</v>
      </c>
      <c r="AC364" t="s">
        <v>4560</v>
      </c>
    </row>
    <row r="365" spans="1:29" x14ac:dyDescent="0.2">
      <c r="A365" t="s">
        <v>4561</v>
      </c>
      <c r="B365" t="s">
        <v>4561</v>
      </c>
      <c r="C365" t="s">
        <v>4562</v>
      </c>
      <c r="D365" t="s">
        <v>4563</v>
      </c>
      <c r="E365" t="s">
        <v>4563</v>
      </c>
      <c r="G365" t="s">
        <v>170</v>
      </c>
      <c r="H365" t="s">
        <v>57</v>
      </c>
      <c r="I365" t="s">
        <v>58</v>
      </c>
      <c r="J365" t="s">
        <v>4564</v>
      </c>
      <c r="K365" t="s">
        <v>602</v>
      </c>
      <c r="M365" t="s">
        <v>7162</v>
      </c>
      <c r="N365" t="str">
        <f t="shared" si="3"/>
        <v>Other</v>
      </c>
      <c r="O365" s="1" t="s">
        <v>4565</v>
      </c>
      <c r="P365" t="s">
        <v>4566</v>
      </c>
      <c r="Q365" s="1" t="s">
        <v>4567</v>
      </c>
      <c r="R365" s="1" t="s">
        <v>169</v>
      </c>
      <c r="S365" s="1" t="s">
        <v>169</v>
      </c>
      <c r="T365" s="1">
        <v>678</v>
      </c>
      <c r="U365" s="1">
        <v>35116</v>
      </c>
      <c r="V365" s="1"/>
      <c r="W365" s="1"/>
      <c r="X365" t="s">
        <v>4568</v>
      </c>
      <c r="Y365" t="s">
        <v>4569</v>
      </c>
      <c r="AA365" t="s">
        <v>3579</v>
      </c>
      <c r="AC365" t="s">
        <v>4570</v>
      </c>
    </row>
    <row r="366" spans="1:29" x14ac:dyDescent="0.2">
      <c r="A366" t="s">
        <v>4571</v>
      </c>
      <c r="B366" t="s">
        <v>4571</v>
      </c>
      <c r="C366" t="s">
        <v>4572</v>
      </c>
      <c r="D366" t="s">
        <v>4573</v>
      </c>
      <c r="E366" t="s">
        <v>4573</v>
      </c>
      <c r="G366" t="s">
        <v>56</v>
      </c>
      <c r="H366" t="s">
        <v>57</v>
      </c>
      <c r="I366" t="s">
        <v>93</v>
      </c>
      <c r="J366">
        <v>0</v>
      </c>
      <c r="K366" t="s">
        <v>602</v>
      </c>
      <c r="M366" t="s">
        <v>7162</v>
      </c>
      <c r="N366" t="str">
        <f t="shared" si="3"/>
        <v>Other</v>
      </c>
      <c r="O366" s="1" t="s">
        <v>4574</v>
      </c>
      <c r="P366" t="s">
        <v>4575</v>
      </c>
      <c r="Q366" s="1" t="s">
        <v>144</v>
      </c>
      <c r="R366" s="1" t="s">
        <v>313</v>
      </c>
      <c r="S366" s="1" t="s">
        <v>314</v>
      </c>
      <c r="T366" s="1">
        <v>2914</v>
      </c>
      <c r="U366" s="1">
        <v>15101</v>
      </c>
      <c r="V366" s="1"/>
      <c r="W366" s="1"/>
      <c r="X366" t="s">
        <v>4576</v>
      </c>
      <c r="Y366" t="s">
        <v>4577</v>
      </c>
      <c r="AA366" t="s">
        <v>3579</v>
      </c>
      <c r="AC366" t="s">
        <v>4578</v>
      </c>
    </row>
    <row r="367" spans="1:29" x14ac:dyDescent="0.2">
      <c r="A367" t="s">
        <v>4579</v>
      </c>
      <c r="B367" t="s">
        <v>4579</v>
      </c>
      <c r="C367" t="s">
        <v>4580</v>
      </c>
      <c r="D367" t="s">
        <v>4581</v>
      </c>
      <c r="E367" t="s">
        <v>4581</v>
      </c>
      <c r="G367" t="s">
        <v>170</v>
      </c>
      <c r="H367" t="s">
        <v>57</v>
      </c>
      <c r="I367" t="s">
        <v>58</v>
      </c>
      <c r="J367" t="s">
        <v>4582</v>
      </c>
      <c r="K367" t="s">
        <v>602</v>
      </c>
      <c r="M367" t="s">
        <v>7162</v>
      </c>
      <c r="N367" t="str">
        <f t="shared" si="3"/>
        <v>Other</v>
      </c>
      <c r="O367" s="1" t="s">
        <v>4583</v>
      </c>
      <c r="P367" t="s">
        <v>4584</v>
      </c>
      <c r="Q367" s="1" t="s">
        <v>4585</v>
      </c>
      <c r="R367" s="1" t="s">
        <v>169</v>
      </c>
      <c r="S367" s="1" t="s">
        <v>169</v>
      </c>
      <c r="T367" s="1">
        <v>342</v>
      </c>
      <c r="U367" s="1">
        <v>15060</v>
      </c>
      <c r="V367" s="1"/>
      <c r="W367" s="1"/>
      <c r="X367" t="s">
        <v>4586</v>
      </c>
      <c r="Y367" t="s">
        <v>4587</v>
      </c>
      <c r="AA367" t="s">
        <v>3579</v>
      </c>
      <c r="AC367" t="s">
        <v>4588</v>
      </c>
    </row>
    <row r="368" spans="1:29" x14ac:dyDescent="0.2">
      <c r="A368" t="s">
        <v>4589</v>
      </c>
      <c r="B368" t="s">
        <v>4589</v>
      </c>
      <c r="C368" t="s">
        <v>4590</v>
      </c>
      <c r="D368" t="s">
        <v>4591</v>
      </c>
      <c r="E368" t="s">
        <v>4591</v>
      </c>
      <c r="G368" t="s">
        <v>56</v>
      </c>
      <c r="H368" t="s">
        <v>57</v>
      </c>
      <c r="I368" t="s">
        <v>93</v>
      </c>
      <c r="J368">
        <v>0</v>
      </c>
      <c r="K368" t="s">
        <v>602</v>
      </c>
      <c r="M368" t="s">
        <v>7162</v>
      </c>
      <c r="N368" t="str">
        <f t="shared" si="3"/>
        <v>Other</v>
      </c>
      <c r="O368" s="1" t="s">
        <v>3261</v>
      </c>
      <c r="P368" t="s">
        <v>3262</v>
      </c>
      <c r="Q368" s="1" t="s">
        <v>126</v>
      </c>
      <c r="R368" s="1" t="s">
        <v>434</v>
      </c>
      <c r="S368" s="1" t="s">
        <v>3740</v>
      </c>
      <c r="T368" s="1">
        <v>10</v>
      </c>
      <c r="U368" s="1">
        <v>35093</v>
      </c>
      <c r="V368" s="1"/>
      <c r="W368" s="1"/>
      <c r="X368" t="s">
        <v>4592</v>
      </c>
      <c r="Y368" t="s">
        <v>4593</v>
      </c>
      <c r="AA368" t="s">
        <v>3579</v>
      </c>
      <c r="AC368" t="s">
        <v>4594</v>
      </c>
    </row>
    <row r="369" spans="1:56" hidden="1" x14ac:dyDescent="0.2">
      <c r="A369" t="s">
        <v>4595</v>
      </c>
      <c r="B369" t="s">
        <v>4596</v>
      </c>
      <c r="C369" t="s">
        <v>4597</v>
      </c>
      <c r="D369" t="s">
        <v>4598</v>
      </c>
      <c r="E369" t="s">
        <v>4598</v>
      </c>
      <c r="G369" t="s">
        <v>56</v>
      </c>
      <c r="H369" t="s">
        <v>57</v>
      </c>
      <c r="I369" t="s">
        <v>93</v>
      </c>
      <c r="J369">
        <v>0</v>
      </c>
      <c r="K369" t="s">
        <v>4599</v>
      </c>
      <c r="L369" t="s">
        <v>4599</v>
      </c>
      <c r="M369" t="s">
        <v>7169</v>
      </c>
      <c r="N369" t="str">
        <f t="shared" si="3"/>
        <v>Nuts/Seeds</v>
      </c>
      <c r="O369" s="1" t="s">
        <v>4600</v>
      </c>
      <c r="P369" t="s">
        <v>169</v>
      </c>
      <c r="Q369" s="1" t="s">
        <v>126</v>
      </c>
      <c r="R369" s="1" t="s">
        <v>127</v>
      </c>
      <c r="S369" s="1" t="s">
        <v>4601</v>
      </c>
      <c r="T369" s="1">
        <v>657</v>
      </c>
      <c r="U369" s="1">
        <v>30109</v>
      </c>
      <c r="V369" s="1" t="s">
        <v>169</v>
      </c>
      <c r="W369" s="1" t="s">
        <v>170</v>
      </c>
      <c r="X369" t="s">
        <v>4602</v>
      </c>
      <c r="Y369" t="s">
        <v>4603</v>
      </c>
      <c r="AA369" t="s">
        <v>68</v>
      </c>
      <c r="AB369" t="s">
        <v>4604</v>
      </c>
      <c r="AC369" t="s">
        <v>4605</v>
      </c>
      <c r="AD369" t="s">
        <v>4606</v>
      </c>
      <c r="AE369" t="s">
        <v>2079</v>
      </c>
      <c r="AF369" t="s">
        <v>73</v>
      </c>
      <c r="AG369" t="s">
        <v>4607</v>
      </c>
      <c r="AH369" t="s">
        <v>3341</v>
      </c>
      <c r="AI369" t="s">
        <v>76</v>
      </c>
      <c r="AJ369" t="s">
        <v>77</v>
      </c>
      <c r="AK369" t="s">
        <v>4608</v>
      </c>
      <c r="AL369" t="s">
        <v>107</v>
      </c>
      <c r="AM369" t="s">
        <v>3343</v>
      </c>
      <c r="AN369" t="s">
        <v>81</v>
      </c>
      <c r="AO369" t="s">
        <v>82</v>
      </c>
      <c r="AP369" t="s">
        <v>83</v>
      </c>
      <c r="AQ369">
        <v>2013</v>
      </c>
      <c r="AR369">
        <v>105767</v>
      </c>
      <c r="AS369">
        <v>5048913</v>
      </c>
      <c r="AT369">
        <v>107</v>
      </c>
      <c r="AU369" t="s">
        <v>84</v>
      </c>
      <c r="AV369">
        <v>562</v>
      </c>
      <c r="AW369" t="s">
        <v>85</v>
      </c>
      <c r="AX369" t="s">
        <v>86</v>
      </c>
      <c r="AY369">
        <v>562</v>
      </c>
      <c r="AZ369" t="s">
        <v>4609</v>
      </c>
      <c r="BA369" t="s">
        <v>88</v>
      </c>
      <c r="BC369" t="s">
        <v>4610</v>
      </c>
      <c r="BD369">
        <v>2</v>
      </c>
    </row>
    <row r="370" spans="1:56" hidden="1" x14ac:dyDescent="0.2">
      <c r="A370" t="s">
        <v>4611</v>
      </c>
      <c r="B370" t="s">
        <v>4612</v>
      </c>
      <c r="C370" t="s">
        <v>4597</v>
      </c>
      <c r="D370" t="s">
        <v>4613</v>
      </c>
      <c r="E370" t="s">
        <v>4613</v>
      </c>
      <c r="G370" t="s">
        <v>56</v>
      </c>
      <c r="H370" t="s">
        <v>57</v>
      </c>
      <c r="I370" t="s">
        <v>93</v>
      </c>
      <c r="J370">
        <v>0</v>
      </c>
      <c r="K370" t="s">
        <v>4599</v>
      </c>
      <c r="L370" t="s">
        <v>4599</v>
      </c>
      <c r="M370" t="s">
        <v>7169</v>
      </c>
      <c r="N370" t="str">
        <f t="shared" si="3"/>
        <v>Nuts/Seeds</v>
      </c>
      <c r="O370" s="1" t="s">
        <v>4600</v>
      </c>
      <c r="P370" t="s">
        <v>4614</v>
      </c>
      <c r="Q370" s="1" t="s">
        <v>126</v>
      </c>
      <c r="R370" s="1" t="s">
        <v>127</v>
      </c>
      <c r="S370" s="1" t="s">
        <v>4601</v>
      </c>
      <c r="T370" s="1">
        <v>657</v>
      </c>
      <c r="U370" s="1">
        <v>30109</v>
      </c>
      <c r="V370" s="1" t="s">
        <v>169</v>
      </c>
      <c r="W370" s="1" t="s">
        <v>170</v>
      </c>
      <c r="X370" t="s">
        <v>4615</v>
      </c>
      <c r="Y370" t="s">
        <v>4616</v>
      </c>
      <c r="AA370" t="s">
        <v>68</v>
      </c>
      <c r="AB370" t="s">
        <v>4617</v>
      </c>
      <c r="AC370" t="s">
        <v>4618</v>
      </c>
      <c r="AD370" t="s">
        <v>4619</v>
      </c>
      <c r="AE370" t="s">
        <v>1005</v>
      </c>
      <c r="AF370" t="s">
        <v>73</v>
      </c>
      <c r="AG370" t="s">
        <v>4620</v>
      </c>
      <c r="AH370" t="s">
        <v>3341</v>
      </c>
      <c r="AI370" t="s">
        <v>76</v>
      </c>
      <c r="AJ370" t="s">
        <v>77</v>
      </c>
      <c r="AK370" t="s">
        <v>4608</v>
      </c>
      <c r="AL370" t="s">
        <v>107</v>
      </c>
      <c r="AM370" t="s">
        <v>3343</v>
      </c>
      <c r="AN370" t="s">
        <v>81</v>
      </c>
      <c r="AO370" t="s">
        <v>82</v>
      </c>
      <c r="AP370" t="s">
        <v>83</v>
      </c>
      <c r="AQ370">
        <v>2013</v>
      </c>
      <c r="AR370">
        <v>97186</v>
      </c>
      <c r="AS370">
        <v>5036560</v>
      </c>
      <c r="AT370">
        <v>134</v>
      </c>
      <c r="AU370" t="s">
        <v>84</v>
      </c>
      <c r="AV370">
        <v>562</v>
      </c>
      <c r="AW370" t="s">
        <v>85</v>
      </c>
      <c r="AX370" t="s">
        <v>86</v>
      </c>
      <c r="AY370">
        <v>562</v>
      </c>
      <c r="AZ370" t="s">
        <v>4621</v>
      </c>
      <c r="BA370" t="s">
        <v>88</v>
      </c>
      <c r="BC370" t="s">
        <v>4610</v>
      </c>
      <c r="BD370">
        <v>2</v>
      </c>
    </row>
    <row r="371" spans="1:56" x14ac:dyDescent="0.2">
      <c r="A371" t="s">
        <v>4622</v>
      </c>
      <c r="B371" t="s">
        <v>4622</v>
      </c>
      <c r="C371" t="s">
        <v>4623</v>
      </c>
      <c r="D371" t="s">
        <v>4624</v>
      </c>
      <c r="E371" t="s">
        <v>4624</v>
      </c>
      <c r="G371" t="s">
        <v>56</v>
      </c>
      <c r="H371" t="s">
        <v>57</v>
      </c>
      <c r="I371" t="s">
        <v>58</v>
      </c>
      <c r="J371" t="e">
        <v>#N/A</v>
      </c>
      <c r="K371" t="s">
        <v>602</v>
      </c>
      <c r="M371" t="s">
        <v>7162</v>
      </c>
      <c r="N371" t="str">
        <f t="shared" si="3"/>
        <v>Other</v>
      </c>
      <c r="O371" s="1" t="s">
        <v>603</v>
      </c>
      <c r="P371" t="s">
        <v>604</v>
      </c>
      <c r="Q371" s="1" t="s">
        <v>875</v>
      </c>
      <c r="R371" s="1" t="s">
        <v>270</v>
      </c>
      <c r="S371" s="1" t="s">
        <v>701</v>
      </c>
      <c r="T371" s="1">
        <v>11</v>
      </c>
      <c r="U371" s="1">
        <v>2124</v>
      </c>
      <c r="V371" s="1"/>
      <c r="W371" s="1"/>
      <c r="X371" t="s">
        <v>4625</v>
      </c>
      <c r="Y371" t="s">
        <v>4626</v>
      </c>
      <c r="AA371" t="s">
        <v>3579</v>
      </c>
      <c r="AC371" t="s">
        <v>4627</v>
      </c>
    </row>
    <row r="372" spans="1:56" hidden="1" x14ac:dyDescent="0.2">
      <c r="A372" t="s">
        <v>4628</v>
      </c>
      <c r="B372" t="s">
        <v>4629</v>
      </c>
      <c r="C372" t="s">
        <v>4597</v>
      </c>
      <c r="D372" t="s">
        <v>4630</v>
      </c>
      <c r="E372" t="s">
        <v>4630</v>
      </c>
      <c r="G372" t="s">
        <v>56</v>
      </c>
      <c r="H372" t="s">
        <v>57</v>
      </c>
      <c r="I372" t="s">
        <v>93</v>
      </c>
      <c r="J372">
        <v>0</v>
      </c>
      <c r="K372" t="s">
        <v>4599</v>
      </c>
      <c r="L372" t="s">
        <v>4599</v>
      </c>
      <c r="M372" t="s">
        <v>7169</v>
      </c>
      <c r="N372" t="str">
        <f t="shared" si="3"/>
        <v>Nuts/Seeds</v>
      </c>
      <c r="O372" s="1" t="s">
        <v>4600</v>
      </c>
      <c r="P372" t="s">
        <v>4614</v>
      </c>
      <c r="Q372" s="1" t="s">
        <v>126</v>
      </c>
      <c r="R372" s="1" t="s">
        <v>127</v>
      </c>
      <c r="S372" s="1" t="s">
        <v>4601</v>
      </c>
      <c r="T372" s="1">
        <v>657</v>
      </c>
      <c r="U372" s="1">
        <v>30109</v>
      </c>
      <c r="V372" s="1" t="s">
        <v>169</v>
      </c>
      <c r="W372" s="1" t="s">
        <v>170</v>
      </c>
      <c r="X372" t="s">
        <v>4631</v>
      </c>
      <c r="Y372" t="s">
        <v>4632</v>
      </c>
      <c r="AA372" t="s">
        <v>68</v>
      </c>
      <c r="AB372" t="s">
        <v>4633</v>
      </c>
      <c r="AC372" t="s">
        <v>4634</v>
      </c>
      <c r="AD372" t="s">
        <v>4635</v>
      </c>
      <c r="AE372" t="s">
        <v>1135</v>
      </c>
      <c r="AF372" t="s">
        <v>73</v>
      </c>
      <c r="AG372" t="s">
        <v>4636</v>
      </c>
      <c r="AH372" t="s">
        <v>3341</v>
      </c>
      <c r="AI372" t="s">
        <v>76</v>
      </c>
      <c r="AJ372" t="s">
        <v>77</v>
      </c>
      <c r="AK372" t="s">
        <v>4637</v>
      </c>
      <c r="AL372" t="s">
        <v>107</v>
      </c>
      <c r="AM372" t="s">
        <v>3343</v>
      </c>
      <c r="AN372" t="s">
        <v>81</v>
      </c>
      <c r="AO372" t="s">
        <v>82</v>
      </c>
      <c r="AP372" t="s">
        <v>83</v>
      </c>
      <c r="AQ372">
        <v>2013</v>
      </c>
      <c r="AR372">
        <v>65328</v>
      </c>
      <c r="AS372">
        <v>5035872</v>
      </c>
      <c r="AT372">
        <v>178</v>
      </c>
      <c r="AU372" t="s">
        <v>84</v>
      </c>
      <c r="AV372">
        <v>562</v>
      </c>
      <c r="AW372" t="s">
        <v>85</v>
      </c>
      <c r="AX372" t="s">
        <v>86</v>
      </c>
      <c r="AY372">
        <v>562</v>
      </c>
      <c r="AZ372" t="s">
        <v>4638</v>
      </c>
      <c r="BA372" t="s">
        <v>88</v>
      </c>
      <c r="BC372" t="s">
        <v>4610</v>
      </c>
      <c r="BD372">
        <v>3</v>
      </c>
    </row>
    <row r="373" spans="1:56" hidden="1" x14ac:dyDescent="0.2">
      <c r="A373" t="s">
        <v>4639</v>
      </c>
      <c r="B373" t="s">
        <v>4640</v>
      </c>
      <c r="C373" t="s">
        <v>4597</v>
      </c>
      <c r="D373" t="s">
        <v>4641</v>
      </c>
      <c r="E373" t="s">
        <v>4641</v>
      </c>
      <c r="G373" t="s">
        <v>56</v>
      </c>
      <c r="H373" t="s">
        <v>57</v>
      </c>
      <c r="I373" t="s">
        <v>93</v>
      </c>
      <c r="J373">
        <v>0</v>
      </c>
      <c r="K373" t="s">
        <v>4599</v>
      </c>
      <c r="L373" t="s">
        <v>4599</v>
      </c>
      <c r="M373" t="s">
        <v>7169</v>
      </c>
      <c r="N373" t="str">
        <f t="shared" si="3"/>
        <v>Nuts/Seeds</v>
      </c>
      <c r="O373" s="1" t="s">
        <v>4600</v>
      </c>
      <c r="P373" t="s">
        <v>4614</v>
      </c>
      <c r="Q373" s="1" t="s">
        <v>126</v>
      </c>
      <c r="R373" s="1" t="s">
        <v>127</v>
      </c>
      <c r="S373" s="1" t="s">
        <v>4601</v>
      </c>
      <c r="T373" s="1">
        <v>657</v>
      </c>
      <c r="U373" s="1">
        <v>30109</v>
      </c>
      <c r="V373" s="1" t="s">
        <v>169</v>
      </c>
      <c r="W373" s="1" t="s">
        <v>170</v>
      </c>
      <c r="X373" t="s">
        <v>4642</v>
      </c>
      <c r="Y373" t="s">
        <v>4643</v>
      </c>
      <c r="AA373" t="s">
        <v>68</v>
      </c>
      <c r="AB373" t="s">
        <v>4644</v>
      </c>
      <c r="AC373" t="s">
        <v>4645</v>
      </c>
      <c r="AD373" t="s">
        <v>4646</v>
      </c>
      <c r="AE373" t="s">
        <v>1250</v>
      </c>
      <c r="AF373" t="s">
        <v>73</v>
      </c>
      <c r="AG373" t="s">
        <v>4647</v>
      </c>
      <c r="AH373" t="s">
        <v>3341</v>
      </c>
      <c r="AI373" t="s">
        <v>76</v>
      </c>
      <c r="AJ373" t="s">
        <v>77</v>
      </c>
      <c r="AK373" t="s">
        <v>4608</v>
      </c>
      <c r="AL373" t="s">
        <v>107</v>
      </c>
      <c r="AM373" t="s">
        <v>3343</v>
      </c>
      <c r="AN373" t="s">
        <v>81</v>
      </c>
      <c r="AO373" t="s">
        <v>82</v>
      </c>
      <c r="AP373" t="s">
        <v>83</v>
      </c>
      <c r="AQ373">
        <v>2013</v>
      </c>
      <c r="AR373">
        <v>76435</v>
      </c>
      <c r="AS373">
        <v>5030251</v>
      </c>
      <c r="AT373">
        <v>161</v>
      </c>
      <c r="AU373" t="s">
        <v>84</v>
      </c>
      <c r="AV373">
        <v>562</v>
      </c>
      <c r="AW373" t="s">
        <v>85</v>
      </c>
      <c r="AX373" t="s">
        <v>86</v>
      </c>
      <c r="AY373">
        <v>562</v>
      </c>
      <c r="AZ373" t="s">
        <v>4648</v>
      </c>
      <c r="BA373" t="s">
        <v>88</v>
      </c>
      <c r="BC373" t="s">
        <v>4610</v>
      </c>
      <c r="BD373">
        <v>3</v>
      </c>
    </row>
    <row r="374" spans="1:56" hidden="1" x14ac:dyDescent="0.2">
      <c r="A374" t="s">
        <v>4649</v>
      </c>
      <c r="B374" t="s">
        <v>4650</v>
      </c>
      <c r="C374" t="s">
        <v>4651</v>
      </c>
      <c r="D374" t="s">
        <v>4652</v>
      </c>
      <c r="E374" t="s">
        <v>4652</v>
      </c>
      <c r="G374" t="s">
        <v>56</v>
      </c>
      <c r="H374" t="s">
        <v>57</v>
      </c>
      <c r="I374" t="s">
        <v>93</v>
      </c>
      <c r="J374">
        <v>0</v>
      </c>
      <c r="K374" t="s">
        <v>4653</v>
      </c>
      <c r="L374" t="s">
        <v>4653</v>
      </c>
      <c r="M374" t="s">
        <v>7169</v>
      </c>
      <c r="N374" t="str">
        <f t="shared" si="3"/>
        <v>Nuts/Seeds</v>
      </c>
      <c r="O374" s="1" t="s">
        <v>268</v>
      </c>
      <c r="P374" t="s">
        <v>269</v>
      </c>
      <c r="Q374" s="1" t="s">
        <v>4374</v>
      </c>
      <c r="R374" s="1" t="s">
        <v>270</v>
      </c>
      <c r="S374" s="1" t="s">
        <v>3541</v>
      </c>
      <c r="T374" s="1">
        <v>677</v>
      </c>
      <c r="U374" s="1">
        <v>30630</v>
      </c>
      <c r="V374" s="1" t="s">
        <v>169</v>
      </c>
      <c r="W374" s="1" t="s">
        <v>170</v>
      </c>
      <c r="X374" t="s">
        <v>4654</v>
      </c>
      <c r="Y374" t="s">
        <v>4655</v>
      </c>
      <c r="AA374" t="s">
        <v>68</v>
      </c>
      <c r="AB374" t="s">
        <v>4656</v>
      </c>
      <c r="AC374" t="s">
        <v>4657</v>
      </c>
      <c r="AD374" t="s">
        <v>4658</v>
      </c>
      <c r="AE374" t="s">
        <v>892</v>
      </c>
      <c r="AF374" t="s">
        <v>73</v>
      </c>
      <c r="AG374" t="s">
        <v>4659</v>
      </c>
      <c r="AH374" t="s">
        <v>75</v>
      </c>
      <c r="AI374" t="s">
        <v>76</v>
      </c>
      <c r="AJ374" t="s">
        <v>77</v>
      </c>
      <c r="AK374" t="s">
        <v>4660</v>
      </c>
      <c r="AL374" t="s">
        <v>156</v>
      </c>
      <c r="AM374" t="s">
        <v>80</v>
      </c>
      <c r="AN374" t="s">
        <v>81</v>
      </c>
      <c r="AO374" t="s">
        <v>82</v>
      </c>
      <c r="AP374" t="s">
        <v>83</v>
      </c>
      <c r="AQ374">
        <v>2013</v>
      </c>
      <c r="AR374">
        <v>235848</v>
      </c>
      <c r="AS374">
        <v>5088543</v>
      </c>
      <c r="AT374">
        <v>77</v>
      </c>
      <c r="AU374" t="s">
        <v>84</v>
      </c>
      <c r="AV374">
        <v>562</v>
      </c>
      <c r="AW374" t="s">
        <v>85</v>
      </c>
      <c r="AX374" t="s">
        <v>86</v>
      </c>
      <c r="AY374">
        <v>562</v>
      </c>
      <c r="AZ374" t="s">
        <v>4661</v>
      </c>
      <c r="BA374" t="s">
        <v>88</v>
      </c>
    </row>
    <row r="375" spans="1:56" hidden="1" x14ac:dyDescent="0.2">
      <c r="A375" t="s">
        <v>4662</v>
      </c>
      <c r="B375" t="s">
        <v>4663</v>
      </c>
      <c r="C375" t="s">
        <v>4664</v>
      </c>
      <c r="D375" t="s">
        <v>4665</v>
      </c>
      <c r="E375" t="s">
        <v>4665</v>
      </c>
      <c r="G375" t="s">
        <v>56</v>
      </c>
      <c r="H375" t="s">
        <v>57</v>
      </c>
      <c r="I375" t="s">
        <v>93</v>
      </c>
      <c r="J375">
        <v>0</v>
      </c>
      <c r="K375" t="s">
        <v>4599</v>
      </c>
      <c r="L375" t="s">
        <v>4599</v>
      </c>
      <c r="M375" t="s">
        <v>7169</v>
      </c>
      <c r="N375" t="str">
        <f t="shared" si="3"/>
        <v>Nuts/Seeds</v>
      </c>
      <c r="O375" s="1" t="s">
        <v>4666</v>
      </c>
      <c r="P375" t="s">
        <v>4667</v>
      </c>
      <c r="Q375" s="1" t="s">
        <v>4374</v>
      </c>
      <c r="R375" s="1" t="s">
        <v>64</v>
      </c>
      <c r="S375" s="1" t="s">
        <v>65</v>
      </c>
      <c r="T375" s="1">
        <v>718</v>
      </c>
      <c r="U375" s="1">
        <v>30152</v>
      </c>
      <c r="V375" s="1" t="s">
        <v>169</v>
      </c>
      <c r="W375" s="1" t="s">
        <v>170</v>
      </c>
      <c r="X375" t="s">
        <v>4668</v>
      </c>
      <c r="Y375" t="s">
        <v>4669</v>
      </c>
      <c r="AA375" t="s">
        <v>68</v>
      </c>
      <c r="AB375" t="s">
        <v>4670</v>
      </c>
      <c r="AC375" t="s">
        <v>4671</v>
      </c>
      <c r="AD375" t="s">
        <v>4672</v>
      </c>
      <c r="AE375" t="s">
        <v>757</v>
      </c>
      <c r="AF375" t="s">
        <v>73</v>
      </c>
      <c r="AG375" t="s">
        <v>4673</v>
      </c>
      <c r="AH375" t="s">
        <v>75</v>
      </c>
      <c r="AI375" t="s">
        <v>76</v>
      </c>
      <c r="AJ375" t="s">
        <v>77</v>
      </c>
      <c r="AK375" t="s">
        <v>4674</v>
      </c>
      <c r="AL375" t="s">
        <v>156</v>
      </c>
      <c r="AM375" t="s">
        <v>80</v>
      </c>
      <c r="AN375" t="s">
        <v>81</v>
      </c>
      <c r="AO375" t="s">
        <v>82</v>
      </c>
      <c r="AP375" t="s">
        <v>83</v>
      </c>
      <c r="AQ375">
        <v>2013</v>
      </c>
      <c r="AR375">
        <v>163412</v>
      </c>
      <c r="AS375">
        <v>5277726</v>
      </c>
      <c r="AT375">
        <v>85</v>
      </c>
      <c r="AU375" t="s">
        <v>84</v>
      </c>
      <c r="AV375">
        <v>562</v>
      </c>
      <c r="AW375" t="s">
        <v>85</v>
      </c>
      <c r="AX375" t="s">
        <v>86</v>
      </c>
      <c r="AY375">
        <v>562</v>
      </c>
      <c r="AZ375" t="s">
        <v>4675</v>
      </c>
      <c r="BA375" t="s">
        <v>88</v>
      </c>
      <c r="BC375" t="s">
        <v>4676</v>
      </c>
      <c r="BD375">
        <v>3</v>
      </c>
    </row>
    <row r="376" spans="1:56" hidden="1" x14ac:dyDescent="0.2">
      <c r="A376" t="s">
        <v>4677</v>
      </c>
      <c r="B376" t="s">
        <v>4678</v>
      </c>
      <c r="C376" t="s">
        <v>4679</v>
      </c>
      <c r="D376" t="s">
        <v>4680</v>
      </c>
      <c r="E376" t="s">
        <v>4680</v>
      </c>
      <c r="G376" t="s">
        <v>56</v>
      </c>
      <c r="H376" t="s">
        <v>57</v>
      </c>
      <c r="I376" t="s">
        <v>93</v>
      </c>
      <c r="J376">
        <v>0</v>
      </c>
      <c r="K376" t="s">
        <v>4599</v>
      </c>
      <c r="L376" t="s">
        <v>4599</v>
      </c>
      <c r="M376" t="s">
        <v>7169</v>
      </c>
      <c r="N376" t="str">
        <f t="shared" si="3"/>
        <v>Nuts/Seeds</v>
      </c>
      <c r="O376" s="1" t="s">
        <v>4666</v>
      </c>
      <c r="P376" t="s">
        <v>4681</v>
      </c>
      <c r="Q376" s="1" t="s">
        <v>144</v>
      </c>
      <c r="R376" s="1" t="s">
        <v>64</v>
      </c>
      <c r="S376" s="1" t="s">
        <v>65</v>
      </c>
      <c r="T376" s="1">
        <v>718</v>
      </c>
      <c r="U376" s="1">
        <v>30152</v>
      </c>
      <c r="V376" s="1" t="s">
        <v>169</v>
      </c>
      <c r="W376" s="1" t="s">
        <v>170</v>
      </c>
      <c r="X376" t="s">
        <v>4682</v>
      </c>
      <c r="Y376" t="s">
        <v>4683</v>
      </c>
      <c r="AA376" t="s">
        <v>68</v>
      </c>
      <c r="AB376" t="s">
        <v>4684</v>
      </c>
      <c r="AC376" t="s">
        <v>4685</v>
      </c>
      <c r="AD376" t="s">
        <v>4686</v>
      </c>
      <c r="AE376" t="s">
        <v>1543</v>
      </c>
      <c r="AF376" t="s">
        <v>73</v>
      </c>
      <c r="AG376" t="s">
        <v>4687</v>
      </c>
      <c r="AH376" t="s">
        <v>75</v>
      </c>
      <c r="AI376" t="s">
        <v>76</v>
      </c>
      <c r="AJ376" t="s">
        <v>77</v>
      </c>
      <c r="AK376" t="s">
        <v>4674</v>
      </c>
      <c r="AL376" t="s">
        <v>156</v>
      </c>
      <c r="AM376" t="s">
        <v>80</v>
      </c>
      <c r="AN376" t="s">
        <v>81</v>
      </c>
      <c r="AO376" t="s">
        <v>82</v>
      </c>
      <c r="AP376" t="s">
        <v>83</v>
      </c>
      <c r="AQ376">
        <v>2013</v>
      </c>
      <c r="AR376">
        <v>111700</v>
      </c>
      <c r="AS376">
        <v>5240170</v>
      </c>
      <c r="AT376">
        <v>172</v>
      </c>
      <c r="AU376" t="s">
        <v>84</v>
      </c>
      <c r="AV376">
        <v>562</v>
      </c>
      <c r="AW376" t="s">
        <v>85</v>
      </c>
      <c r="AX376" t="s">
        <v>86</v>
      </c>
      <c r="AY376">
        <v>562</v>
      </c>
      <c r="AZ376" t="s">
        <v>4688</v>
      </c>
      <c r="BA376" t="s">
        <v>88</v>
      </c>
      <c r="BC376" t="s">
        <v>4676</v>
      </c>
      <c r="BD376">
        <v>3</v>
      </c>
    </row>
    <row r="377" spans="1:56" x14ac:dyDescent="0.2">
      <c r="A377" t="s">
        <v>4689</v>
      </c>
      <c r="B377" t="s">
        <v>4689</v>
      </c>
      <c r="C377" t="s">
        <v>4690</v>
      </c>
      <c r="D377" t="s">
        <v>4691</v>
      </c>
      <c r="E377" t="s">
        <v>4691</v>
      </c>
      <c r="G377" t="s">
        <v>56</v>
      </c>
      <c r="H377" t="s">
        <v>57</v>
      </c>
      <c r="I377" t="s">
        <v>58</v>
      </c>
      <c r="J377" t="s">
        <v>4510</v>
      </c>
      <c r="K377" t="s">
        <v>602</v>
      </c>
      <c r="M377" t="s">
        <v>7162</v>
      </c>
      <c r="N377" t="str">
        <f t="shared" si="3"/>
        <v>Other</v>
      </c>
      <c r="O377" s="1" t="s">
        <v>4511</v>
      </c>
      <c r="P377" t="s">
        <v>4692</v>
      </c>
      <c r="Q377" s="1" t="s">
        <v>4513</v>
      </c>
      <c r="R377" s="1" t="s">
        <v>250</v>
      </c>
      <c r="S377" s="1" t="s">
        <v>4514</v>
      </c>
      <c r="T377" s="1">
        <v>16</v>
      </c>
      <c r="U377" s="1">
        <v>35094</v>
      </c>
      <c r="V377" s="1"/>
      <c r="W377" s="1"/>
      <c r="X377" t="s">
        <v>4693</v>
      </c>
      <c r="Y377" t="s">
        <v>4694</v>
      </c>
      <c r="AA377" t="s">
        <v>3579</v>
      </c>
      <c r="AC377" t="s">
        <v>4695</v>
      </c>
    </row>
    <row r="378" spans="1:56" x14ac:dyDescent="0.2">
      <c r="A378" t="s">
        <v>4696</v>
      </c>
      <c r="B378" t="s">
        <v>4696</v>
      </c>
      <c r="C378" t="s">
        <v>4697</v>
      </c>
      <c r="D378" t="s">
        <v>4698</v>
      </c>
      <c r="E378" t="s">
        <v>4698</v>
      </c>
      <c r="G378" t="s">
        <v>56</v>
      </c>
      <c r="H378" t="s">
        <v>57</v>
      </c>
      <c r="I378" t="s">
        <v>93</v>
      </c>
      <c r="J378">
        <v>0</v>
      </c>
      <c r="K378" t="s">
        <v>602</v>
      </c>
      <c r="M378" t="s">
        <v>7162</v>
      </c>
      <c r="N378" t="str">
        <f t="shared" si="3"/>
        <v>Other</v>
      </c>
      <c r="O378" s="1" t="s">
        <v>4699</v>
      </c>
      <c r="P378" t="s">
        <v>4700</v>
      </c>
      <c r="Q378" s="1" t="s">
        <v>144</v>
      </c>
      <c r="R378" s="1" t="s">
        <v>3649</v>
      </c>
      <c r="S378" s="1" t="s">
        <v>4701</v>
      </c>
      <c r="T378" s="1">
        <v>33</v>
      </c>
      <c r="U378" s="1">
        <v>35118</v>
      </c>
      <c r="V378" s="1"/>
      <c r="W378" s="1"/>
      <c r="X378" t="s">
        <v>4702</v>
      </c>
      <c r="Y378" t="s">
        <v>4703</v>
      </c>
      <c r="AA378" t="s">
        <v>3579</v>
      </c>
      <c r="AC378" t="s">
        <v>4704</v>
      </c>
    </row>
    <row r="379" spans="1:56" x14ac:dyDescent="0.2">
      <c r="A379" t="s">
        <v>4705</v>
      </c>
      <c r="B379" t="s">
        <v>4705</v>
      </c>
      <c r="C379" t="s">
        <v>4706</v>
      </c>
      <c r="D379" t="s">
        <v>4707</v>
      </c>
      <c r="E379" t="s">
        <v>4707</v>
      </c>
      <c r="G379" t="s">
        <v>56</v>
      </c>
      <c r="H379" t="s">
        <v>57</v>
      </c>
      <c r="I379" t="s">
        <v>58</v>
      </c>
      <c r="J379" t="s">
        <v>3474</v>
      </c>
      <c r="K379" t="s">
        <v>602</v>
      </c>
      <c r="M379" t="s">
        <v>7162</v>
      </c>
      <c r="N379" t="str">
        <f t="shared" si="3"/>
        <v>Other</v>
      </c>
      <c r="O379" s="1" t="s">
        <v>61</v>
      </c>
      <c r="P379" t="s">
        <v>4548</v>
      </c>
      <c r="Q379" s="1" t="s">
        <v>4549</v>
      </c>
      <c r="R379" s="1" t="s">
        <v>64</v>
      </c>
      <c r="S379" s="1" t="s">
        <v>65</v>
      </c>
      <c r="T379" s="1">
        <v>655</v>
      </c>
      <c r="U379" s="1">
        <v>1692</v>
      </c>
      <c r="V379" s="1"/>
      <c r="W379" s="1"/>
      <c r="X379" t="s">
        <v>4708</v>
      </c>
      <c r="Y379" t="s">
        <v>4709</v>
      </c>
      <c r="AA379" t="s">
        <v>3579</v>
      </c>
      <c r="AC379" t="s">
        <v>4710</v>
      </c>
    </row>
    <row r="380" spans="1:56" x14ac:dyDescent="0.2">
      <c r="A380" t="s">
        <v>4711</v>
      </c>
      <c r="B380" t="s">
        <v>4711</v>
      </c>
      <c r="C380" t="s">
        <v>4712</v>
      </c>
      <c r="D380" t="s">
        <v>4713</v>
      </c>
      <c r="E380" t="s">
        <v>4713</v>
      </c>
      <c r="G380" t="s">
        <v>56</v>
      </c>
      <c r="H380" t="s">
        <v>57</v>
      </c>
      <c r="I380" t="s">
        <v>93</v>
      </c>
      <c r="J380">
        <v>0</v>
      </c>
      <c r="K380" t="s">
        <v>602</v>
      </c>
      <c r="M380" t="s">
        <v>7162</v>
      </c>
      <c r="N380" t="str">
        <f t="shared" si="3"/>
        <v>Other</v>
      </c>
      <c r="O380" s="1" t="s">
        <v>4574</v>
      </c>
      <c r="P380" t="s">
        <v>4575</v>
      </c>
      <c r="Q380" s="1" t="s">
        <v>144</v>
      </c>
      <c r="R380" s="1" t="s">
        <v>313</v>
      </c>
      <c r="S380" s="1" t="s">
        <v>314</v>
      </c>
      <c r="T380" s="1">
        <v>2914</v>
      </c>
      <c r="U380" s="1">
        <v>15101</v>
      </c>
      <c r="V380" s="1"/>
      <c r="W380" s="1"/>
      <c r="X380" t="s">
        <v>4714</v>
      </c>
      <c r="Y380" t="s">
        <v>4715</v>
      </c>
      <c r="AA380" t="s">
        <v>3579</v>
      </c>
      <c r="AC380" t="s">
        <v>4716</v>
      </c>
    </row>
    <row r="381" spans="1:56" x14ac:dyDescent="0.2">
      <c r="A381" t="s">
        <v>4717</v>
      </c>
      <c r="B381" t="s">
        <v>4717</v>
      </c>
      <c r="C381" t="s">
        <v>4718</v>
      </c>
      <c r="D381" t="s">
        <v>4719</v>
      </c>
      <c r="E381" t="s">
        <v>4719</v>
      </c>
      <c r="G381" t="s">
        <v>56</v>
      </c>
      <c r="H381" t="s">
        <v>57</v>
      </c>
      <c r="I381" t="s">
        <v>93</v>
      </c>
      <c r="J381">
        <v>0</v>
      </c>
      <c r="K381" t="s">
        <v>602</v>
      </c>
      <c r="M381" t="s">
        <v>7162</v>
      </c>
      <c r="N381" t="str">
        <f t="shared" si="3"/>
        <v>Other</v>
      </c>
      <c r="O381" s="1" t="s">
        <v>4492</v>
      </c>
      <c r="P381" t="s">
        <v>4493</v>
      </c>
      <c r="Q381" s="1" t="s">
        <v>4494</v>
      </c>
      <c r="R381" s="1" t="s">
        <v>250</v>
      </c>
      <c r="S381" s="1" t="s">
        <v>3989</v>
      </c>
      <c r="T381" s="1">
        <v>17</v>
      </c>
      <c r="U381" s="1">
        <v>15619</v>
      </c>
      <c r="V381" s="1"/>
      <c r="W381" s="1"/>
      <c r="X381" t="s">
        <v>4720</v>
      </c>
      <c r="Y381" t="s">
        <v>4721</v>
      </c>
      <c r="AA381" t="s">
        <v>3579</v>
      </c>
      <c r="AC381" t="s">
        <v>4722</v>
      </c>
    </row>
    <row r="382" spans="1:56" x14ac:dyDescent="0.2">
      <c r="A382" t="s">
        <v>4723</v>
      </c>
      <c r="B382" t="s">
        <v>4723</v>
      </c>
      <c r="C382" t="s">
        <v>4724</v>
      </c>
      <c r="D382" t="s">
        <v>4725</v>
      </c>
      <c r="E382" t="s">
        <v>4725</v>
      </c>
      <c r="G382" t="s">
        <v>56</v>
      </c>
      <c r="H382" t="s">
        <v>57</v>
      </c>
      <c r="I382" t="s">
        <v>58</v>
      </c>
      <c r="J382" t="e">
        <v>#N/A</v>
      </c>
      <c r="K382" t="s">
        <v>602</v>
      </c>
      <c r="M382" t="s">
        <v>7162</v>
      </c>
      <c r="N382" t="str">
        <f t="shared" si="3"/>
        <v>Other</v>
      </c>
      <c r="O382" s="1" t="s">
        <v>603</v>
      </c>
      <c r="P382" t="s">
        <v>649</v>
      </c>
      <c r="Q382" s="1" t="s">
        <v>875</v>
      </c>
      <c r="R382" s="1" t="s">
        <v>64</v>
      </c>
      <c r="S382" s="1" t="s">
        <v>675</v>
      </c>
      <c r="T382" s="1">
        <v>11</v>
      </c>
      <c r="U382" s="1">
        <v>2130</v>
      </c>
      <c r="V382" s="1"/>
      <c r="W382" s="1"/>
      <c r="X382" t="s">
        <v>4726</v>
      </c>
      <c r="Y382" t="s">
        <v>4727</v>
      </c>
      <c r="AA382" t="s">
        <v>3579</v>
      </c>
      <c r="AC382" t="s">
        <v>4728</v>
      </c>
    </row>
    <row r="383" spans="1:56" x14ac:dyDescent="0.2">
      <c r="A383" t="s">
        <v>4729</v>
      </c>
      <c r="B383" t="s">
        <v>4729</v>
      </c>
      <c r="C383" t="s">
        <v>4730</v>
      </c>
      <c r="D383" t="s">
        <v>4731</v>
      </c>
      <c r="E383" t="s">
        <v>4731</v>
      </c>
      <c r="G383" t="s">
        <v>56</v>
      </c>
      <c r="H383" t="s">
        <v>57</v>
      </c>
      <c r="I383" t="s">
        <v>93</v>
      </c>
      <c r="J383">
        <v>0</v>
      </c>
      <c r="K383" t="s">
        <v>602</v>
      </c>
      <c r="M383" t="s">
        <v>7162</v>
      </c>
      <c r="N383" t="str">
        <f t="shared" si="3"/>
        <v>Other</v>
      </c>
      <c r="O383" s="1" t="s">
        <v>4732</v>
      </c>
      <c r="P383" t="s">
        <v>4733</v>
      </c>
      <c r="Q383" s="1" t="s">
        <v>4494</v>
      </c>
      <c r="R383" s="1" t="s">
        <v>250</v>
      </c>
      <c r="S383" s="1" t="s">
        <v>751</v>
      </c>
      <c r="T383" s="1">
        <v>335</v>
      </c>
      <c r="U383" s="1">
        <v>14938</v>
      </c>
      <c r="V383" s="1"/>
      <c r="W383" s="1"/>
      <c r="X383" t="s">
        <v>4734</v>
      </c>
      <c r="Y383" t="s">
        <v>4735</v>
      </c>
      <c r="AA383" t="s">
        <v>3579</v>
      </c>
      <c r="AC383" t="s">
        <v>4736</v>
      </c>
    </row>
    <row r="384" spans="1:56" x14ac:dyDescent="0.2">
      <c r="A384" t="s">
        <v>4737</v>
      </c>
      <c r="B384" t="s">
        <v>4737</v>
      </c>
      <c r="C384" t="s">
        <v>4738</v>
      </c>
      <c r="D384" t="s">
        <v>4739</v>
      </c>
      <c r="E384" t="s">
        <v>4739</v>
      </c>
      <c r="G384" t="s">
        <v>56</v>
      </c>
      <c r="H384" t="s">
        <v>57</v>
      </c>
      <c r="I384" t="s">
        <v>58</v>
      </c>
      <c r="J384" t="s">
        <v>4740</v>
      </c>
      <c r="K384" t="s">
        <v>602</v>
      </c>
      <c r="M384" t="s">
        <v>7162</v>
      </c>
      <c r="N384" t="str">
        <f t="shared" si="3"/>
        <v>Other</v>
      </c>
      <c r="O384" s="1" t="s">
        <v>4538</v>
      </c>
      <c r="P384" t="s">
        <v>169</v>
      </c>
      <c r="Q384" s="1" t="s">
        <v>4741</v>
      </c>
      <c r="R384" s="1" t="s">
        <v>250</v>
      </c>
      <c r="S384" s="1" t="s">
        <v>751</v>
      </c>
      <c r="T384" s="1">
        <v>21</v>
      </c>
      <c r="U384" s="1">
        <v>2264</v>
      </c>
      <c r="V384" s="1"/>
      <c r="W384" s="1"/>
      <c r="X384" t="s">
        <v>4742</v>
      </c>
      <c r="Y384" t="s">
        <v>4743</v>
      </c>
      <c r="AA384" t="s">
        <v>3579</v>
      </c>
      <c r="AC384" t="s">
        <v>4744</v>
      </c>
    </row>
    <row r="385" spans="1:56" x14ac:dyDescent="0.2">
      <c r="A385" t="s">
        <v>4745</v>
      </c>
      <c r="B385" t="s">
        <v>4745</v>
      </c>
      <c r="C385" t="s">
        <v>4746</v>
      </c>
      <c r="D385" t="s">
        <v>4747</v>
      </c>
      <c r="E385" t="s">
        <v>4747</v>
      </c>
      <c r="G385" t="s">
        <v>56</v>
      </c>
      <c r="H385" t="s">
        <v>4222</v>
      </c>
      <c r="I385" t="s">
        <v>93</v>
      </c>
      <c r="J385">
        <v>0</v>
      </c>
      <c r="K385" t="s">
        <v>602</v>
      </c>
      <c r="M385" t="s">
        <v>7162</v>
      </c>
      <c r="N385" t="str">
        <f t="shared" si="3"/>
        <v>Other</v>
      </c>
      <c r="O385" s="1" t="s">
        <v>4223</v>
      </c>
      <c r="P385" t="s">
        <v>4224</v>
      </c>
      <c r="Q385" s="1" t="s">
        <v>4225</v>
      </c>
      <c r="R385" s="1" t="s">
        <v>4226</v>
      </c>
      <c r="S385" s="1" t="s">
        <v>4227</v>
      </c>
      <c r="T385" s="1">
        <v>722</v>
      </c>
      <c r="U385" s="1">
        <v>2145</v>
      </c>
      <c r="V385" s="1"/>
      <c r="W385" s="1"/>
      <c r="X385" t="s">
        <v>4748</v>
      </c>
      <c r="Y385" t="s">
        <v>4749</v>
      </c>
      <c r="AA385" t="s">
        <v>3579</v>
      </c>
      <c r="AC385" t="s">
        <v>4750</v>
      </c>
    </row>
    <row r="386" spans="1:56" x14ac:dyDescent="0.2">
      <c r="A386" t="s">
        <v>4751</v>
      </c>
      <c r="B386" t="s">
        <v>4751</v>
      </c>
      <c r="C386" t="s">
        <v>4752</v>
      </c>
      <c r="D386" t="s">
        <v>4753</v>
      </c>
      <c r="E386" t="s">
        <v>4753</v>
      </c>
      <c r="G386" t="s">
        <v>170</v>
      </c>
      <c r="H386" t="s">
        <v>57</v>
      </c>
      <c r="I386" t="s">
        <v>93</v>
      </c>
      <c r="J386">
        <v>0</v>
      </c>
      <c r="K386" t="s">
        <v>602</v>
      </c>
      <c r="M386" t="s">
        <v>7162</v>
      </c>
      <c r="N386" t="str">
        <f t="shared" si="3"/>
        <v>Other</v>
      </c>
      <c r="O386" s="1" t="s">
        <v>4754</v>
      </c>
      <c r="P386" t="s">
        <v>4755</v>
      </c>
      <c r="Q386" s="1" t="s">
        <v>4567</v>
      </c>
      <c r="R386" s="1" t="s">
        <v>169</v>
      </c>
      <c r="S386" s="1" t="s">
        <v>169</v>
      </c>
      <c r="T386" s="1">
        <v>10</v>
      </c>
      <c r="U386" s="1">
        <v>35095</v>
      </c>
      <c r="V386" s="1"/>
      <c r="W386" s="1"/>
      <c r="X386" t="s">
        <v>4756</v>
      </c>
      <c r="Y386" t="s">
        <v>4757</v>
      </c>
      <c r="AA386" t="s">
        <v>3579</v>
      </c>
      <c r="AC386" t="s">
        <v>4758</v>
      </c>
    </row>
    <row r="387" spans="1:56" x14ac:dyDescent="0.2">
      <c r="A387" t="s">
        <v>4759</v>
      </c>
      <c r="B387" t="s">
        <v>4759</v>
      </c>
      <c r="C387" t="s">
        <v>4760</v>
      </c>
      <c r="D387" t="s">
        <v>4761</v>
      </c>
      <c r="E387" t="s">
        <v>4761</v>
      </c>
      <c r="G387" t="s">
        <v>56</v>
      </c>
      <c r="H387" t="s">
        <v>57</v>
      </c>
      <c r="I387" t="s">
        <v>58</v>
      </c>
      <c r="J387" t="s">
        <v>4510</v>
      </c>
      <c r="K387" t="s">
        <v>602</v>
      </c>
      <c r="M387" t="s">
        <v>7162</v>
      </c>
      <c r="N387" t="str">
        <f t="shared" si="3"/>
        <v>Other</v>
      </c>
      <c r="O387" s="1" t="s">
        <v>4511</v>
      </c>
      <c r="P387" t="s">
        <v>4512</v>
      </c>
      <c r="Q387" s="1" t="s">
        <v>4513</v>
      </c>
      <c r="R387" s="1" t="s">
        <v>250</v>
      </c>
      <c r="S387" s="1" t="s">
        <v>4514</v>
      </c>
      <c r="T387" s="1">
        <v>16</v>
      </c>
      <c r="U387" s="1">
        <v>35108</v>
      </c>
      <c r="V387" s="1"/>
      <c r="W387" s="1"/>
      <c r="X387" t="s">
        <v>4762</v>
      </c>
      <c r="Y387" t="s">
        <v>4763</v>
      </c>
      <c r="AA387" t="s">
        <v>3579</v>
      </c>
      <c r="AC387" t="s">
        <v>4764</v>
      </c>
    </row>
    <row r="388" spans="1:56" x14ac:dyDescent="0.2">
      <c r="A388" t="s">
        <v>4765</v>
      </c>
      <c r="B388" t="s">
        <v>4765</v>
      </c>
      <c r="C388" t="s">
        <v>4766</v>
      </c>
      <c r="D388" t="s">
        <v>4767</v>
      </c>
      <c r="E388" t="s">
        <v>4767</v>
      </c>
      <c r="G388" t="s">
        <v>56</v>
      </c>
      <c r="H388" t="s">
        <v>57</v>
      </c>
      <c r="I388" t="s">
        <v>58</v>
      </c>
      <c r="J388" t="s">
        <v>4537</v>
      </c>
      <c r="K388" t="s">
        <v>602</v>
      </c>
      <c r="M388" t="s">
        <v>7162</v>
      </c>
      <c r="N388" t="str">
        <f t="shared" si="3"/>
        <v>Other</v>
      </c>
      <c r="O388" s="1" t="s">
        <v>4768</v>
      </c>
      <c r="P388" t="s">
        <v>4539</v>
      </c>
      <c r="Q388" s="1" t="s">
        <v>4540</v>
      </c>
      <c r="R388" s="1" t="s">
        <v>64</v>
      </c>
      <c r="S388" s="1" t="s">
        <v>3576</v>
      </c>
      <c r="T388" s="1">
        <v>21</v>
      </c>
      <c r="U388" s="1">
        <v>2264</v>
      </c>
      <c r="V388" s="1"/>
      <c r="W388" s="1"/>
      <c r="X388" t="s">
        <v>4769</v>
      </c>
      <c r="Y388" t="s">
        <v>4770</v>
      </c>
      <c r="AA388" t="s">
        <v>3579</v>
      </c>
      <c r="AC388" t="s">
        <v>4771</v>
      </c>
    </row>
    <row r="389" spans="1:56" x14ac:dyDescent="0.2">
      <c r="A389" t="s">
        <v>4772</v>
      </c>
      <c r="B389" t="s">
        <v>4772</v>
      </c>
      <c r="C389" t="s">
        <v>4773</v>
      </c>
      <c r="D389" t="s">
        <v>4774</v>
      </c>
      <c r="E389" t="s">
        <v>4774</v>
      </c>
      <c r="G389" t="s">
        <v>56</v>
      </c>
      <c r="H389" t="s">
        <v>57</v>
      </c>
      <c r="I389" t="s">
        <v>93</v>
      </c>
      <c r="J389">
        <v>0</v>
      </c>
      <c r="K389" t="s">
        <v>602</v>
      </c>
      <c r="M389" t="s">
        <v>7162</v>
      </c>
      <c r="N389" t="str">
        <f t="shared" si="3"/>
        <v>Other</v>
      </c>
      <c r="O389" s="1" t="s">
        <v>353</v>
      </c>
      <c r="P389" t="s">
        <v>354</v>
      </c>
      <c r="Q389" s="1" t="s">
        <v>144</v>
      </c>
      <c r="R389" s="1" t="s">
        <v>3649</v>
      </c>
      <c r="S389" s="1" t="s">
        <v>3650</v>
      </c>
      <c r="T389" s="1">
        <v>677</v>
      </c>
      <c r="U389" s="1">
        <v>15649</v>
      </c>
      <c r="V389" s="1"/>
      <c r="W389" s="1"/>
      <c r="X389" t="s">
        <v>4775</v>
      </c>
      <c r="Y389" t="s">
        <v>4776</v>
      </c>
      <c r="AA389" t="s">
        <v>3579</v>
      </c>
      <c r="AC389" t="s">
        <v>4777</v>
      </c>
    </row>
    <row r="390" spans="1:56" x14ac:dyDescent="0.2">
      <c r="A390" t="s">
        <v>4778</v>
      </c>
      <c r="B390" t="s">
        <v>4778</v>
      </c>
      <c r="C390" t="s">
        <v>4779</v>
      </c>
      <c r="D390" t="s">
        <v>4780</v>
      </c>
      <c r="E390" t="s">
        <v>4780</v>
      </c>
      <c r="G390" t="s">
        <v>56</v>
      </c>
      <c r="H390" t="s">
        <v>57</v>
      </c>
      <c r="I390" t="s">
        <v>93</v>
      </c>
      <c r="J390">
        <v>0</v>
      </c>
      <c r="K390" t="s">
        <v>602</v>
      </c>
      <c r="M390" t="s">
        <v>7162</v>
      </c>
      <c r="N390" t="str">
        <f t="shared" si="3"/>
        <v>Other</v>
      </c>
      <c r="O390" s="1" t="s">
        <v>4213</v>
      </c>
      <c r="P390" t="s">
        <v>4214</v>
      </c>
      <c r="Q390" s="1" t="s">
        <v>126</v>
      </c>
      <c r="R390" s="1" t="s">
        <v>434</v>
      </c>
      <c r="S390" s="1" t="s">
        <v>4215</v>
      </c>
      <c r="T390" s="1">
        <v>446</v>
      </c>
      <c r="U390" s="1">
        <v>35112</v>
      </c>
      <c r="V390" s="1"/>
      <c r="W390" s="1"/>
      <c r="X390" t="s">
        <v>4781</v>
      </c>
      <c r="Y390" t="s">
        <v>4782</v>
      </c>
      <c r="AA390" t="s">
        <v>3579</v>
      </c>
      <c r="AC390" t="s">
        <v>4783</v>
      </c>
    </row>
    <row r="391" spans="1:56" x14ac:dyDescent="0.2">
      <c r="A391" t="s">
        <v>4784</v>
      </c>
      <c r="B391" t="s">
        <v>4784</v>
      </c>
      <c r="C391" t="s">
        <v>4785</v>
      </c>
      <c r="D391" t="s">
        <v>4786</v>
      </c>
      <c r="E391" t="s">
        <v>4786</v>
      </c>
      <c r="G391" t="s">
        <v>56</v>
      </c>
      <c r="H391" t="s">
        <v>57</v>
      </c>
      <c r="I391" t="s">
        <v>93</v>
      </c>
      <c r="J391">
        <v>0</v>
      </c>
      <c r="K391" t="s">
        <v>602</v>
      </c>
      <c r="M391" t="s">
        <v>7162</v>
      </c>
      <c r="N391" t="str">
        <f t="shared" si="3"/>
        <v>Other</v>
      </c>
      <c r="O391" s="1" t="s">
        <v>4787</v>
      </c>
      <c r="P391" t="s">
        <v>4788</v>
      </c>
      <c r="Q391" s="1" t="s">
        <v>144</v>
      </c>
      <c r="R391" s="1" t="s">
        <v>4318</v>
      </c>
      <c r="S391" s="1" t="s">
        <v>4789</v>
      </c>
      <c r="T391" s="1">
        <v>227</v>
      </c>
      <c r="U391" s="1">
        <v>35117</v>
      </c>
      <c r="V391" s="1"/>
      <c r="W391" s="1"/>
      <c r="X391" t="s">
        <v>4790</v>
      </c>
      <c r="Y391" t="s">
        <v>4791</v>
      </c>
      <c r="AA391" t="s">
        <v>3579</v>
      </c>
      <c r="AC391" t="s">
        <v>4792</v>
      </c>
    </row>
    <row r="392" spans="1:56" x14ac:dyDescent="0.2">
      <c r="A392" t="s">
        <v>4793</v>
      </c>
      <c r="B392" t="s">
        <v>4793</v>
      </c>
      <c r="C392" t="s">
        <v>4794</v>
      </c>
      <c r="D392" t="s">
        <v>4795</v>
      </c>
      <c r="E392" t="s">
        <v>4795</v>
      </c>
      <c r="G392" t="s">
        <v>56</v>
      </c>
      <c r="H392" t="s">
        <v>57</v>
      </c>
      <c r="I392" t="s">
        <v>58</v>
      </c>
      <c r="J392" t="e">
        <v>#N/A</v>
      </c>
      <c r="K392" t="s">
        <v>602</v>
      </c>
      <c r="M392" t="s">
        <v>7162</v>
      </c>
      <c r="N392" t="str">
        <f t="shared" si="3"/>
        <v>Other</v>
      </c>
      <c r="O392" s="1" t="s">
        <v>603</v>
      </c>
      <c r="P392" t="s">
        <v>649</v>
      </c>
      <c r="Q392" s="1" t="s">
        <v>875</v>
      </c>
      <c r="R392" s="1" t="s">
        <v>270</v>
      </c>
      <c r="S392" s="1" t="s">
        <v>4796</v>
      </c>
      <c r="T392" s="1">
        <v>11</v>
      </c>
      <c r="U392" s="1">
        <v>2130</v>
      </c>
      <c r="V392" s="1"/>
      <c r="W392" s="1"/>
      <c r="X392" t="s">
        <v>4797</v>
      </c>
      <c r="Y392" t="s">
        <v>4798</v>
      </c>
      <c r="AA392" t="s">
        <v>3579</v>
      </c>
      <c r="AC392" t="s">
        <v>4799</v>
      </c>
    </row>
    <row r="393" spans="1:56" x14ac:dyDescent="0.2">
      <c r="A393" t="s">
        <v>4800</v>
      </c>
      <c r="B393" t="s">
        <v>4800</v>
      </c>
      <c r="C393" t="s">
        <v>4801</v>
      </c>
      <c r="D393" t="s">
        <v>4802</v>
      </c>
      <c r="E393" t="s">
        <v>4802</v>
      </c>
      <c r="G393" t="s">
        <v>56</v>
      </c>
      <c r="H393" t="s">
        <v>57</v>
      </c>
      <c r="I393" t="s">
        <v>58</v>
      </c>
      <c r="J393" t="e">
        <v>#N/A</v>
      </c>
      <c r="K393" t="s">
        <v>602</v>
      </c>
      <c r="M393" t="s">
        <v>7162</v>
      </c>
      <c r="N393" t="str">
        <f t="shared" ref="N393:N456" si="4">M393</f>
        <v>Other</v>
      </c>
      <c r="O393" s="1" t="s">
        <v>603</v>
      </c>
      <c r="P393" t="s">
        <v>649</v>
      </c>
      <c r="Q393" s="1" t="s">
        <v>875</v>
      </c>
      <c r="R393" s="1" t="s">
        <v>64</v>
      </c>
      <c r="S393" s="1" t="s">
        <v>713</v>
      </c>
      <c r="T393" s="1">
        <v>11</v>
      </c>
      <c r="U393" s="1">
        <v>2131</v>
      </c>
      <c r="V393" s="1"/>
      <c r="W393" s="1"/>
      <c r="X393" t="s">
        <v>4803</v>
      </c>
      <c r="Y393" t="s">
        <v>4804</v>
      </c>
      <c r="AA393" t="s">
        <v>3579</v>
      </c>
      <c r="AC393" t="s">
        <v>4805</v>
      </c>
    </row>
    <row r="394" spans="1:56" x14ac:dyDescent="0.2">
      <c r="A394" t="s">
        <v>4806</v>
      </c>
      <c r="B394" t="s">
        <v>4806</v>
      </c>
      <c r="C394" t="s">
        <v>4807</v>
      </c>
      <c r="D394" t="s">
        <v>4808</v>
      </c>
      <c r="E394" t="s">
        <v>4808</v>
      </c>
      <c r="G394" t="s">
        <v>56</v>
      </c>
      <c r="H394" t="s">
        <v>57</v>
      </c>
      <c r="I394" t="s">
        <v>58</v>
      </c>
      <c r="J394" t="e">
        <v>#N/A</v>
      </c>
      <c r="K394" t="s">
        <v>602</v>
      </c>
      <c r="M394" t="s">
        <v>7162</v>
      </c>
      <c r="N394" t="str">
        <f t="shared" si="4"/>
        <v>Other</v>
      </c>
      <c r="O394" s="1" t="s">
        <v>603</v>
      </c>
      <c r="P394" t="s">
        <v>604</v>
      </c>
      <c r="Q394" s="1" t="s">
        <v>875</v>
      </c>
      <c r="R394" s="1" t="s">
        <v>64</v>
      </c>
      <c r="S394" s="1" t="s">
        <v>713</v>
      </c>
      <c r="T394" s="1">
        <v>11</v>
      </c>
      <c r="U394" s="1">
        <v>2131</v>
      </c>
      <c r="V394" s="1"/>
      <c r="W394" s="1"/>
      <c r="X394" t="s">
        <v>4809</v>
      </c>
      <c r="Y394" t="s">
        <v>4810</v>
      </c>
      <c r="AA394" t="s">
        <v>3579</v>
      </c>
      <c r="AC394" t="s">
        <v>4811</v>
      </c>
    </row>
    <row r="395" spans="1:56" x14ac:dyDescent="0.2">
      <c r="A395" t="s">
        <v>4812</v>
      </c>
      <c r="B395" t="s">
        <v>4812</v>
      </c>
      <c r="C395" t="s">
        <v>4813</v>
      </c>
      <c r="D395" t="s">
        <v>4814</v>
      </c>
      <c r="E395" t="s">
        <v>4814</v>
      </c>
      <c r="G395" t="s">
        <v>56</v>
      </c>
      <c r="H395" t="s">
        <v>57</v>
      </c>
      <c r="I395" t="s">
        <v>58</v>
      </c>
      <c r="J395" t="e">
        <v>#N/A</v>
      </c>
      <c r="K395" t="s">
        <v>602</v>
      </c>
      <c r="M395" t="s">
        <v>7162</v>
      </c>
      <c r="N395" t="str">
        <f t="shared" si="4"/>
        <v>Other</v>
      </c>
      <c r="O395" s="1" t="s">
        <v>603</v>
      </c>
      <c r="P395" t="s">
        <v>649</v>
      </c>
      <c r="Q395" s="1" t="s">
        <v>875</v>
      </c>
      <c r="R395" s="1" t="s">
        <v>64</v>
      </c>
      <c r="S395" s="1" t="s">
        <v>713</v>
      </c>
      <c r="T395" s="1">
        <v>11</v>
      </c>
      <c r="U395" s="1">
        <v>2131</v>
      </c>
      <c r="V395" s="1"/>
      <c r="W395" s="1"/>
      <c r="X395" t="s">
        <v>4815</v>
      </c>
      <c r="Y395" t="s">
        <v>4816</v>
      </c>
      <c r="AA395" t="s">
        <v>3579</v>
      </c>
      <c r="AC395" t="s">
        <v>4817</v>
      </c>
    </row>
    <row r="396" spans="1:56" x14ac:dyDescent="0.2">
      <c r="A396" t="s">
        <v>4818</v>
      </c>
      <c r="B396" t="s">
        <v>4818</v>
      </c>
      <c r="C396" t="s">
        <v>4819</v>
      </c>
      <c r="D396" t="s">
        <v>4820</v>
      </c>
      <c r="E396" t="s">
        <v>4820</v>
      </c>
      <c r="G396" t="s">
        <v>56</v>
      </c>
      <c r="H396" t="s">
        <v>57</v>
      </c>
      <c r="I396" t="s">
        <v>93</v>
      </c>
      <c r="J396">
        <v>0</v>
      </c>
      <c r="K396" t="s">
        <v>602</v>
      </c>
      <c r="M396" t="s">
        <v>7162</v>
      </c>
      <c r="N396" t="str">
        <f t="shared" si="4"/>
        <v>Other</v>
      </c>
      <c r="O396" s="1" t="s">
        <v>3165</v>
      </c>
      <c r="P396" t="s">
        <v>449</v>
      </c>
      <c r="Q396" s="1" t="s">
        <v>4821</v>
      </c>
      <c r="R396" s="1" t="s">
        <v>4226</v>
      </c>
      <c r="S396" s="1" t="s">
        <v>4822</v>
      </c>
      <c r="T396" s="1">
        <v>20</v>
      </c>
      <c r="U396" s="1">
        <v>15265</v>
      </c>
      <c r="V396" s="1"/>
      <c r="W396" s="1"/>
      <c r="X396" t="s">
        <v>4823</v>
      </c>
      <c r="Y396" t="s">
        <v>4824</v>
      </c>
      <c r="AA396" t="s">
        <v>3579</v>
      </c>
      <c r="AC396" t="s">
        <v>4825</v>
      </c>
    </row>
    <row r="397" spans="1:56" x14ac:dyDescent="0.2">
      <c r="A397" t="s">
        <v>4826</v>
      </c>
      <c r="B397" t="s">
        <v>4826</v>
      </c>
      <c r="C397" t="s">
        <v>4827</v>
      </c>
      <c r="D397" t="s">
        <v>4828</v>
      </c>
      <c r="E397" s="9" t="s">
        <v>4829</v>
      </c>
      <c r="G397" t="s">
        <v>56</v>
      </c>
      <c r="H397" t="s">
        <v>57</v>
      </c>
      <c r="I397" t="s">
        <v>93</v>
      </c>
      <c r="J397">
        <v>0</v>
      </c>
      <c r="K397" t="s">
        <v>602</v>
      </c>
      <c r="M397" t="s">
        <v>7162</v>
      </c>
      <c r="N397" t="str">
        <f t="shared" si="4"/>
        <v>Other</v>
      </c>
      <c r="O397" s="1" t="s">
        <v>4381</v>
      </c>
      <c r="P397" t="s">
        <v>4382</v>
      </c>
      <c r="Q397" s="1" t="s">
        <v>144</v>
      </c>
      <c r="R397" s="1" t="s">
        <v>3476</v>
      </c>
      <c r="S397" s="1" t="s">
        <v>4830</v>
      </c>
      <c r="T397" s="1">
        <v>2715</v>
      </c>
      <c r="U397" s="1">
        <v>1696</v>
      </c>
      <c r="V397" s="1"/>
      <c r="W397" s="1"/>
      <c r="X397" t="s">
        <v>4831</v>
      </c>
      <c r="Y397" t="s">
        <v>4832</v>
      </c>
      <c r="AA397" t="s">
        <v>3579</v>
      </c>
      <c r="AC397" t="s">
        <v>4833</v>
      </c>
    </row>
    <row r="398" spans="1:56" hidden="1" x14ac:dyDescent="0.2">
      <c r="A398" t="s">
        <v>4834</v>
      </c>
      <c r="B398" t="s">
        <v>4835</v>
      </c>
      <c r="C398" t="s">
        <v>4836</v>
      </c>
      <c r="D398" t="s">
        <v>4837</v>
      </c>
      <c r="E398" t="s">
        <v>4837</v>
      </c>
      <c r="G398" t="s">
        <v>56</v>
      </c>
      <c r="H398" t="s">
        <v>57</v>
      </c>
      <c r="I398" t="s">
        <v>93</v>
      </c>
      <c r="J398">
        <v>0</v>
      </c>
      <c r="K398" t="s">
        <v>4599</v>
      </c>
      <c r="L398" t="s">
        <v>4599</v>
      </c>
      <c r="M398" t="s">
        <v>7169</v>
      </c>
      <c r="N398" t="str">
        <f t="shared" si="4"/>
        <v>Nuts/Seeds</v>
      </c>
      <c r="O398" s="1" t="s">
        <v>4838</v>
      </c>
      <c r="P398" t="s">
        <v>4839</v>
      </c>
      <c r="Q398" s="1" t="s">
        <v>144</v>
      </c>
      <c r="R398" s="1" t="s">
        <v>270</v>
      </c>
      <c r="S398" s="1" t="s">
        <v>4840</v>
      </c>
      <c r="T398" s="1">
        <v>2387</v>
      </c>
      <c r="U398" s="1">
        <v>32410</v>
      </c>
      <c r="V398" s="1" t="s">
        <v>169</v>
      </c>
      <c r="W398" s="1">
        <v>5667377</v>
      </c>
      <c r="X398" t="s">
        <v>4841</v>
      </c>
      <c r="Y398" t="s">
        <v>4842</v>
      </c>
      <c r="AA398" t="s">
        <v>68</v>
      </c>
      <c r="AB398" t="s">
        <v>4843</v>
      </c>
      <c r="AC398" t="s">
        <v>4844</v>
      </c>
      <c r="AD398" t="s">
        <v>4845</v>
      </c>
      <c r="AE398" t="s">
        <v>1543</v>
      </c>
      <c r="AF398" t="s">
        <v>73</v>
      </c>
      <c r="AG398" t="s">
        <v>4846</v>
      </c>
      <c r="AH398" t="s">
        <v>75</v>
      </c>
      <c r="AI398" t="s">
        <v>76</v>
      </c>
      <c r="AJ398" t="s">
        <v>77</v>
      </c>
      <c r="AK398" t="s">
        <v>4847</v>
      </c>
      <c r="AL398" t="s">
        <v>107</v>
      </c>
      <c r="AM398" t="s">
        <v>80</v>
      </c>
      <c r="AN398" t="s">
        <v>81</v>
      </c>
      <c r="AO398" t="s">
        <v>82</v>
      </c>
      <c r="AP398" t="s">
        <v>83</v>
      </c>
      <c r="AQ398">
        <v>2013</v>
      </c>
      <c r="AR398">
        <v>155673</v>
      </c>
      <c r="AS398">
        <v>5070412</v>
      </c>
      <c r="AT398">
        <v>72</v>
      </c>
      <c r="AU398" t="s">
        <v>84</v>
      </c>
      <c r="AV398">
        <v>562</v>
      </c>
      <c r="AW398" t="s">
        <v>85</v>
      </c>
      <c r="AX398" t="s">
        <v>86</v>
      </c>
      <c r="AY398">
        <v>562</v>
      </c>
      <c r="AZ398" t="s">
        <v>4848</v>
      </c>
      <c r="BA398" t="s">
        <v>88</v>
      </c>
      <c r="BC398" t="s">
        <v>4849</v>
      </c>
      <c r="BD398">
        <v>0</v>
      </c>
    </row>
    <row r="399" spans="1:56" x14ac:dyDescent="0.2">
      <c r="A399" t="s">
        <v>4850</v>
      </c>
      <c r="B399" t="s">
        <v>4850</v>
      </c>
      <c r="C399" t="s">
        <v>4851</v>
      </c>
      <c r="D399" t="s">
        <v>4852</v>
      </c>
      <c r="E399" t="s">
        <v>4852</v>
      </c>
      <c r="G399" t="s">
        <v>56</v>
      </c>
      <c r="H399" t="s">
        <v>57</v>
      </c>
      <c r="I399" t="s">
        <v>58</v>
      </c>
      <c r="J399" t="e">
        <v>#N/A</v>
      </c>
      <c r="K399" t="s">
        <v>602</v>
      </c>
      <c r="M399" t="s">
        <v>7162</v>
      </c>
      <c r="N399" t="str">
        <f t="shared" si="4"/>
        <v>Other</v>
      </c>
      <c r="O399" s="1" t="s">
        <v>603</v>
      </c>
      <c r="P399" t="s">
        <v>604</v>
      </c>
      <c r="Q399" s="1" t="s">
        <v>875</v>
      </c>
      <c r="R399" s="1" t="s">
        <v>4853</v>
      </c>
      <c r="S399" s="1" t="s">
        <v>4854</v>
      </c>
      <c r="T399" s="1">
        <v>11</v>
      </c>
      <c r="U399" s="1">
        <v>2131</v>
      </c>
      <c r="V399" s="1"/>
      <c r="W399" s="1"/>
      <c r="X399" t="s">
        <v>4855</v>
      </c>
      <c r="Y399" t="s">
        <v>4856</v>
      </c>
      <c r="AA399" t="s">
        <v>3579</v>
      </c>
      <c r="AC399" t="s">
        <v>4857</v>
      </c>
    </row>
    <row r="400" spans="1:56" hidden="1" x14ac:dyDescent="0.2">
      <c r="A400" t="s">
        <v>4858</v>
      </c>
      <c r="B400" t="s">
        <v>4859</v>
      </c>
      <c r="C400" t="s">
        <v>4836</v>
      </c>
      <c r="D400" t="s">
        <v>4860</v>
      </c>
      <c r="E400" t="s">
        <v>4860</v>
      </c>
      <c r="G400" t="s">
        <v>56</v>
      </c>
      <c r="H400" t="s">
        <v>57</v>
      </c>
      <c r="I400" t="s">
        <v>93</v>
      </c>
      <c r="J400">
        <v>0</v>
      </c>
      <c r="K400" t="s">
        <v>4599</v>
      </c>
      <c r="L400" t="s">
        <v>4599</v>
      </c>
      <c r="M400" t="s">
        <v>7169</v>
      </c>
      <c r="N400" t="str">
        <f t="shared" si="4"/>
        <v>Nuts/Seeds</v>
      </c>
      <c r="O400" s="1" t="s">
        <v>4838</v>
      </c>
      <c r="P400" t="s">
        <v>4839</v>
      </c>
      <c r="Q400" s="1" t="s">
        <v>144</v>
      </c>
      <c r="R400" s="1" t="s">
        <v>270</v>
      </c>
      <c r="S400" s="1" t="s">
        <v>4840</v>
      </c>
      <c r="T400" s="1">
        <v>2387</v>
      </c>
      <c r="U400" s="1">
        <v>32410</v>
      </c>
      <c r="V400" s="1" t="s">
        <v>169</v>
      </c>
      <c r="W400" s="1">
        <v>5667377</v>
      </c>
      <c r="X400" t="s">
        <v>4861</v>
      </c>
      <c r="Y400" t="s">
        <v>4862</v>
      </c>
      <c r="AA400" t="s">
        <v>68</v>
      </c>
      <c r="AB400" t="s">
        <v>4863</v>
      </c>
      <c r="AC400" t="s">
        <v>4864</v>
      </c>
      <c r="AD400" t="s">
        <v>4865</v>
      </c>
      <c r="AE400" t="s">
        <v>2589</v>
      </c>
      <c r="AF400" t="s">
        <v>73</v>
      </c>
      <c r="AG400" t="s">
        <v>4866</v>
      </c>
      <c r="AH400" t="s">
        <v>75</v>
      </c>
      <c r="AI400" t="s">
        <v>76</v>
      </c>
      <c r="AJ400" t="s">
        <v>77</v>
      </c>
      <c r="AK400" t="s">
        <v>4847</v>
      </c>
      <c r="AL400" t="s">
        <v>107</v>
      </c>
      <c r="AM400" t="s">
        <v>80</v>
      </c>
      <c r="AN400" t="s">
        <v>81</v>
      </c>
      <c r="AO400" t="s">
        <v>82</v>
      </c>
      <c r="AP400" t="s">
        <v>83</v>
      </c>
      <c r="AQ400">
        <v>2013</v>
      </c>
      <c r="AR400">
        <v>159974</v>
      </c>
      <c r="AS400">
        <v>5080569</v>
      </c>
      <c r="AT400">
        <v>61</v>
      </c>
      <c r="AU400" t="s">
        <v>84</v>
      </c>
      <c r="AV400">
        <v>562</v>
      </c>
      <c r="AW400" t="s">
        <v>85</v>
      </c>
      <c r="AX400" t="s">
        <v>86</v>
      </c>
      <c r="AY400">
        <v>562</v>
      </c>
      <c r="AZ400" t="s">
        <v>4867</v>
      </c>
      <c r="BA400" t="s">
        <v>88</v>
      </c>
      <c r="BC400" t="s">
        <v>4849</v>
      </c>
      <c r="BD400">
        <v>0</v>
      </c>
    </row>
    <row r="401" spans="1:57" hidden="1" x14ac:dyDescent="0.2">
      <c r="A401" t="s">
        <v>4868</v>
      </c>
      <c r="B401" t="s">
        <v>4869</v>
      </c>
      <c r="C401" t="s">
        <v>4870</v>
      </c>
      <c r="D401" t="s">
        <v>4871</v>
      </c>
      <c r="E401" t="s">
        <v>4871</v>
      </c>
      <c r="G401" t="s">
        <v>56</v>
      </c>
      <c r="H401" t="s">
        <v>57</v>
      </c>
      <c r="I401" t="s">
        <v>93</v>
      </c>
      <c r="J401">
        <v>0</v>
      </c>
      <c r="K401" t="s">
        <v>648</v>
      </c>
      <c r="L401" t="s">
        <v>648</v>
      </c>
      <c r="M401" t="s">
        <v>7165</v>
      </c>
      <c r="N401" t="str">
        <f t="shared" si="4"/>
        <v>Meat</v>
      </c>
      <c r="O401" s="1" t="s">
        <v>4872</v>
      </c>
      <c r="P401" t="s">
        <v>4873</v>
      </c>
      <c r="Q401" s="1" t="s">
        <v>144</v>
      </c>
      <c r="R401" s="1" t="s">
        <v>313</v>
      </c>
      <c r="S401" s="1" t="s">
        <v>4874</v>
      </c>
      <c r="T401" s="1">
        <v>56</v>
      </c>
      <c r="U401" s="1">
        <v>14734</v>
      </c>
      <c r="V401" s="1" t="s">
        <v>169</v>
      </c>
      <c r="W401" s="1" t="s">
        <v>170</v>
      </c>
      <c r="X401" t="s">
        <v>4875</v>
      </c>
      <c r="Y401" t="s">
        <v>4876</v>
      </c>
      <c r="AA401" t="s">
        <v>68</v>
      </c>
      <c r="AB401" t="s">
        <v>4877</v>
      </c>
      <c r="AC401" t="s">
        <v>4878</v>
      </c>
      <c r="AD401" t="s">
        <v>4879</v>
      </c>
      <c r="AE401" t="s">
        <v>2079</v>
      </c>
      <c r="AF401" t="s">
        <v>73</v>
      </c>
      <c r="AG401" t="s">
        <v>4880</v>
      </c>
      <c r="AH401" t="s">
        <v>75</v>
      </c>
      <c r="AI401" t="s">
        <v>76</v>
      </c>
      <c r="AJ401" t="s">
        <v>77</v>
      </c>
      <c r="AK401" t="s">
        <v>4881</v>
      </c>
      <c r="AL401" t="s">
        <v>107</v>
      </c>
      <c r="AM401" t="s">
        <v>80</v>
      </c>
      <c r="AN401" t="s">
        <v>81</v>
      </c>
      <c r="AO401" t="s">
        <v>82</v>
      </c>
      <c r="AP401" t="s">
        <v>83</v>
      </c>
      <c r="AQ401">
        <v>2013</v>
      </c>
      <c r="AR401">
        <v>127158</v>
      </c>
      <c r="AS401">
        <v>5067843</v>
      </c>
      <c r="AT401">
        <v>112</v>
      </c>
      <c r="AU401" t="s">
        <v>84</v>
      </c>
      <c r="AV401">
        <v>562</v>
      </c>
      <c r="AW401" t="s">
        <v>85</v>
      </c>
      <c r="AX401" t="s">
        <v>86</v>
      </c>
      <c r="AY401">
        <v>562</v>
      </c>
      <c r="AZ401" t="s">
        <v>4882</v>
      </c>
      <c r="BA401" t="s">
        <v>88</v>
      </c>
      <c r="BC401" t="s">
        <v>4883</v>
      </c>
      <c r="BD401">
        <v>0</v>
      </c>
    </row>
    <row r="402" spans="1:57" hidden="1" x14ac:dyDescent="0.2">
      <c r="A402" t="s">
        <v>4884</v>
      </c>
      <c r="B402" t="s">
        <v>4885</v>
      </c>
      <c r="C402" t="s">
        <v>4886</v>
      </c>
      <c r="D402" t="s">
        <v>4887</v>
      </c>
      <c r="E402" t="s">
        <v>4887</v>
      </c>
      <c r="G402" t="s">
        <v>56</v>
      </c>
      <c r="H402" t="s">
        <v>57</v>
      </c>
      <c r="I402" t="s">
        <v>93</v>
      </c>
      <c r="J402">
        <v>0</v>
      </c>
      <c r="K402" t="s">
        <v>648</v>
      </c>
      <c r="L402" t="s">
        <v>648</v>
      </c>
      <c r="M402" t="s">
        <v>7165</v>
      </c>
      <c r="N402" t="str">
        <f t="shared" si="4"/>
        <v>Meat</v>
      </c>
      <c r="O402" s="1" t="s">
        <v>4872</v>
      </c>
      <c r="P402" t="s">
        <v>4873</v>
      </c>
      <c r="Q402" s="1" t="s">
        <v>144</v>
      </c>
      <c r="R402" s="1" t="s">
        <v>313</v>
      </c>
      <c r="S402" s="1" t="s">
        <v>4874</v>
      </c>
      <c r="T402" s="1">
        <v>56</v>
      </c>
      <c r="U402" s="1">
        <v>14734</v>
      </c>
      <c r="V402" s="1" t="s">
        <v>169</v>
      </c>
      <c r="W402" s="1" t="s">
        <v>170</v>
      </c>
      <c r="X402" t="s">
        <v>4888</v>
      </c>
      <c r="Y402" t="s">
        <v>4889</v>
      </c>
      <c r="AA402" t="s">
        <v>68</v>
      </c>
      <c r="AB402" t="s">
        <v>4890</v>
      </c>
      <c r="AC402" t="s">
        <v>4891</v>
      </c>
      <c r="AD402" t="s">
        <v>4892</v>
      </c>
      <c r="AE402" t="s">
        <v>2079</v>
      </c>
      <c r="AF402" t="s">
        <v>73</v>
      </c>
      <c r="AG402" t="s">
        <v>4893</v>
      </c>
      <c r="AH402" t="s">
        <v>75</v>
      </c>
      <c r="AI402" t="s">
        <v>76</v>
      </c>
      <c r="AJ402" t="s">
        <v>77</v>
      </c>
      <c r="AK402" t="s">
        <v>4881</v>
      </c>
      <c r="AL402" t="s">
        <v>107</v>
      </c>
      <c r="AM402" t="s">
        <v>80</v>
      </c>
      <c r="AN402" t="s">
        <v>81</v>
      </c>
      <c r="AO402" t="s">
        <v>82</v>
      </c>
      <c r="AP402" t="s">
        <v>83</v>
      </c>
      <c r="AQ402">
        <v>2013</v>
      </c>
      <c r="AR402">
        <v>114185</v>
      </c>
      <c r="AS402">
        <v>5034019</v>
      </c>
      <c r="AT402">
        <v>122</v>
      </c>
      <c r="AU402" t="s">
        <v>84</v>
      </c>
      <c r="AV402">
        <v>562</v>
      </c>
      <c r="AW402" t="s">
        <v>85</v>
      </c>
      <c r="AX402" t="s">
        <v>86</v>
      </c>
      <c r="AY402">
        <v>562</v>
      </c>
      <c r="AZ402" t="s">
        <v>4894</v>
      </c>
      <c r="BA402" t="s">
        <v>88</v>
      </c>
      <c r="BC402" t="s">
        <v>4883</v>
      </c>
      <c r="BD402">
        <v>0</v>
      </c>
    </row>
    <row r="403" spans="1:57" hidden="1" x14ac:dyDescent="0.2">
      <c r="A403" t="s">
        <v>4895</v>
      </c>
      <c r="B403" t="s">
        <v>4896</v>
      </c>
      <c r="C403" t="s">
        <v>4897</v>
      </c>
      <c r="D403" t="s">
        <v>4898</v>
      </c>
      <c r="E403" t="s">
        <v>4898</v>
      </c>
      <c r="G403" t="s">
        <v>56</v>
      </c>
      <c r="H403" t="s">
        <v>57</v>
      </c>
      <c r="I403" t="s">
        <v>93</v>
      </c>
      <c r="J403">
        <v>0</v>
      </c>
      <c r="K403" t="s">
        <v>4899</v>
      </c>
      <c r="L403" t="s">
        <v>4899</v>
      </c>
      <c r="M403" t="s">
        <v>7168</v>
      </c>
      <c r="N403" t="str">
        <f t="shared" si="4"/>
        <v>Vegetable</v>
      </c>
      <c r="O403" s="1" t="s">
        <v>4900</v>
      </c>
      <c r="P403" t="s">
        <v>4901</v>
      </c>
      <c r="Q403" s="1" t="s">
        <v>144</v>
      </c>
      <c r="R403" s="1" t="s">
        <v>64</v>
      </c>
      <c r="S403" s="1" t="s">
        <v>4902</v>
      </c>
      <c r="T403" s="1">
        <v>10</v>
      </c>
      <c r="U403" s="1">
        <v>2011</v>
      </c>
      <c r="V403" s="1" t="s">
        <v>4903</v>
      </c>
      <c r="W403" s="1">
        <v>6266390</v>
      </c>
      <c r="X403" t="s">
        <v>4904</v>
      </c>
      <c r="Y403" t="s">
        <v>4905</v>
      </c>
      <c r="AA403" t="s">
        <v>68</v>
      </c>
      <c r="AB403" t="s">
        <v>4906</v>
      </c>
      <c r="AC403" t="s">
        <v>4907</v>
      </c>
      <c r="AD403" t="s">
        <v>4908</v>
      </c>
      <c r="AE403" t="s">
        <v>2365</v>
      </c>
      <c r="AF403" t="s">
        <v>73</v>
      </c>
      <c r="AG403" t="s">
        <v>4909</v>
      </c>
      <c r="AI403" t="s">
        <v>76</v>
      </c>
      <c r="AJ403" t="s">
        <v>77</v>
      </c>
      <c r="AK403" t="s">
        <v>4910</v>
      </c>
      <c r="AL403" t="s">
        <v>107</v>
      </c>
      <c r="AM403" t="s">
        <v>531</v>
      </c>
      <c r="AN403" t="s">
        <v>81</v>
      </c>
      <c r="AO403" t="s">
        <v>82</v>
      </c>
      <c r="AP403" t="s">
        <v>83</v>
      </c>
      <c r="AQ403">
        <v>2014</v>
      </c>
      <c r="AR403">
        <v>119190</v>
      </c>
      <c r="AS403">
        <v>4948200</v>
      </c>
      <c r="AT403">
        <v>95</v>
      </c>
      <c r="AU403" t="s">
        <v>84</v>
      </c>
      <c r="AV403">
        <v>562</v>
      </c>
      <c r="AW403" t="s">
        <v>85</v>
      </c>
      <c r="AX403" t="s">
        <v>86</v>
      </c>
      <c r="AY403">
        <v>562</v>
      </c>
      <c r="AZ403" t="s">
        <v>4911</v>
      </c>
      <c r="BA403" t="s">
        <v>88</v>
      </c>
      <c r="BC403" t="s">
        <v>4912</v>
      </c>
      <c r="BD403">
        <v>1</v>
      </c>
    </row>
    <row r="404" spans="1:57" hidden="1" x14ac:dyDescent="0.2">
      <c r="A404" t="s">
        <v>4913</v>
      </c>
      <c r="B404" t="s">
        <v>4914</v>
      </c>
      <c r="C404" t="s">
        <v>4897</v>
      </c>
      <c r="D404" t="s">
        <v>4915</v>
      </c>
      <c r="E404" t="s">
        <v>4915</v>
      </c>
      <c r="G404" t="s">
        <v>56</v>
      </c>
      <c r="H404" t="s">
        <v>57</v>
      </c>
      <c r="I404" t="s">
        <v>93</v>
      </c>
      <c r="J404">
        <v>0</v>
      </c>
      <c r="K404" t="s">
        <v>4899</v>
      </c>
      <c r="L404" t="s">
        <v>4899</v>
      </c>
      <c r="M404" t="s">
        <v>7168</v>
      </c>
      <c r="N404" t="str">
        <f t="shared" si="4"/>
        <v>Vegetable</v>
      </c>
      <c r="O404" s="1" t="s">
        <v>4900</v>
      </c>
      <c r="P404" t="s">
        <v>4916</v>
      </c>
      <c r="Q404" s="1" t="s">
        <v>144</v>
      </c>
      <c r="R404" s="1" t="s">
        <v>64</v>
      </c>
      <c r="S404" s="1" t="s">
        <v>4902</v>
      </c>
      <c r="T404" s="1">
        <v>10</v>
      </c>
      <c r="U404" s="1">
        <v>2011</v>
      </c>
      <c r="V404" s="1" t="s">
        <v>4903</v>
      </c>
      <c r="W404" s="1">
        <v>6266390</v>
      </c>
      <c r="X404" t="s">
        <v>4917</v>
      </c>
      <c r="Y404" t="s">
        <v>4918</v>
      </c>
      <c r="AA404" t="s">
        <v>68</v>
      </c>
      <c r="AB404" t="s">
        <v>4919</v>
      </c>
      <c r="AC404" t="s">
        <v>4920</v>
      </c>
      <c r="AD404" t="s">
        <v>4921</v>
      </c>
      <c r="AE404" t="s">
        <v>2365</v>
      </c>
      <c r="AF404" t="s">
        <v>73</v>
      </c>
      <c r="AG404" t="s">
        <v>4922</v>
      </c>
      <c r="AI404" t="s">
        <v>76</v>
      </c>
      <c r="AJ404" t="s">
        <v>77</v>
      </c>
      <c r="AK404" t="s">
        <v>4910</v>
      </c>
      <c r="AL404" t="s">
        <v>107</v>
      </c>
      <c r="AM404" t="s">
        <v>531</v>
      </c>
      <c r="AN404" t="s">
        <v>81</v>
      </c>
      <c r="AO404" t="s">
        <v>82</v>
      </c>
      <c r="AP404" t="s">
        <v>83</v>
      </c>
      <c r="AQ404">
        <v>2014</v>
      </c>
      <c r="AR404">
        <v>155454</v>
      </c>
      <c r="AS404">
        <v>4944595</v>
      </c>
      <c r="AT404">
        <v>76</v>
      </c>
      <c r="AU404" t="s">
        <v>84</v>
      </c>
      <c r="AV404">
        <v>562</v>
      </c>
      <c r="AW404" t="s">
        <v>85</v>
      </c>
      <c r="AX404" t="s">
        <v>86</v>
      </c>
      <c r="AY404">
        <v>562</v>
      </c>
      <c r="AZ404" t="s">
        <v>4923</v>
      </c>
      <c r="BA404" t="s">
        <v>88</v>
      </c>
      <c r="BC404" t="s">
        <v>4912</v>
      </c>
      <c r="BD404">
        <v>1</v>
      </c>
    </row>
    <row r="405" spans="1:57" x14ac:dyDescent="0.2">
      <c r="A405" t="s">
        <v>4924</v>
      </c>
      <c r="B405" t="s">
        <v>4924</v>
      </c>
      <c r="C405" t="s">
        <v>4925</v>
      </c>
      <c r="D405" t="s">
        <v>4926</v>
      </c>
      <c r="E405" t="s">
        <v>4926</v>
      </c>
      <c r="G405" t="s">
        <v>56</v>
      </c>
      <c r="H405" t="s">
        <v>57</v>
      </c>
      <c r="I405" t="s">
        <v>58</v>
      </c>
      <c r="J405" t="e">
        <v>#N/A</v>
      </c>
      <c r="K405" t="s">
        <v>602</v>
      </c>
      <c r="M405" t="s">
        <v>7162</v>
      </c>
      <c r="N405" t="str">
        <f t="shared" si="4"/>
        <v>Other</v>
      </c>
      <c r="O405" s="1" t="s">
        <v>603</v>
      </c>
      <c r="P405" t="s">
        <v>649</v>
      </c>
      <c r="Q405" s="1" t="s">
        <v>605</v>
      </c>
      <c r="R405" s="1" t="s">
        <v>127</v>
      </c>
      <c r="S405" s="1" t="s">
        <v>606</v>
      </c>
      <c r="T405" s="1">
        <v>11</v>
      </c>
      <c r="U405" s="1">
        <v>2133</v>
      </c>
      <c r="V405" s="1"/>
      <c r="W405" s="1"/>
      <c r="X405" t="s">
        <v>4927</v>
      </c>
      <c r="Y405" t="s">
        <v>4928</v>
      </c>
      <c r="AA405" t="s">
        <v>3579</v>
      </c>
      <c r="AC405" t="s">
        <v>4929</v>
      </c>
    </row>
    <row r="406" spans="1:57" x14ac:dyDescent="0.2">
      <c r="A406" t="s">
        <v>4930</v>
      </c>
      <c r="B406" t="s">
        <v>4930</v>
      </c>
      <c r="C406" t="s">
        <v>4931</v>
      </c>
      <c r="D406" t="s">
        <v>4932</v>
      </c>
      <c r="E406" t="s">
        <v>4932</v>
      </c>
      <c r="G406" t="s">
        <v>56</v>
      </c>
      <c r="H406" t="s">
        <v>57</v>
      </c>
      <c r="I406" t="s">
        <v>93</v>
      </c>
      <c r="J406">
        <v>0</v>
      </c>
      <c r="K406" t="s">
        <v>602</v>
      </c>
      <c r="M406" t="s">
        <v>7162</v>
      </c>
      <c r="N406" t="str">
        <f t="shared" si="4"/>
        <v>Other</v>
      </c>
      <c r="O406" s="1" t="s">
        <v>4574</v>
      </c>
      <c r="P406" t="s">
        <v>4575</v>
      </c>
      <c r="Q406" s="1" t="s">
        <v>144</v>
      </c>
      <c r="R406" s="1" t="s">
        <v>313</v>
      </c>
      <c r="S406" s="1" t="s">
        <v>314</v>
      </c>
      <c r="T406" s="1">
        <v>2914</v>
      </c>
      <c r="U406" s="1">
        <v>15101</v>
      </c>
      <c r="V406" s="1"/>
      <c r="W406" s="1"/>
      <c r="X406" t="s">
        <v>4933</v>
      </c>
      <c r="Y406" t="s">
        <v>4934</v>
      </c>
      <c r="AA406" t="s">
        <v>3579</v>
      </c>
      <c r="AC406" t="s">
        <v>4935</v>
      </c>
    </row>
    <row r="407" spans="1:57" x14ac:dyDescent="0.2">
      <c r="A407" t="s">
        <v>4936</v>
      </c>
      <c r="B407" t="s">
        <v>4936</v>
      </c>
      <c r="C407" t="s">
        <v>4937</v>
      </c>
      <c r="D407" t="s">
        <v>4938</v>
      </c>
      <c r="E407" t="s">
        <v>4938</v>
      </c>
      <c r="G407" t="s">
        <v>56</v>
      </c>
      <c r="H407" t="s">
        <v>57</v>
      </c>
      <c r="I407" t="s">
        <v>93</v>
      </c>
      <c r="J407">
        <v>0</v>
      </c>
      <c r="K407" t="s">
        <v>602</v>
      </c>
      <c r="M407" t="s">
        <v>7162</v>
      </c>
      <c r="N407" t="str">
        <f t="shared" si="4"/>
        <v>Other</v>
      </c>
      <c r="O407" s="1" t="s">
        <v>3194</v>
      </c>
      <c r="P407" t="s">
        <v>4939</v>
      </c>
      <c r="Q407" s="1" t="s">
        <v>166</v>
      </c>
      <c r="R407" s="1" t="s">
        <v>167</v>
      </c>
      <c r="S407" s="1" t="s">
        <v>168</v>
      </c>
      <c r="T407" s="1">
        <v>1817</v>
      </c>
      <c r="U407" s="1">
        <v>35115</v>
      </c>
      <c r="V407" s="1"/>
      <c r="W407" s="1"/>
      <c r="X407" t="s">
        <v>4940</v>
      </c>
      <c r="Y407" t="s">
        <v>4941</v>
      </c>
      <c r="AA407" t="s">
        <v>3579</v>
      </c>
      <c r="AC407" t="s">
        <v>4942</v>
      </c>
    </row>
    <row r="408" spans="1:57" x14ac:dyDescent="0.2">
      <c r="A408" t="s">
        <v>4943</v>
      </c>
      <c r="B408" t="s">
        <v>4943</v>
      </c>
      <c r="C408" t="s">
        <v>4944</v>
      </c>
      <c r="D408" t="s">
        <v>4945</v>
      </c>
      <c r="E408" t="s">
        <v>4945</v>
      </c>
      <c r="G408" t="s">
        <v>56</v>
      </c>
      <c r="H408" t="s">
        <v>57</v>
      </c>
      <c r="I408" t="s">
        <v>58</v>
      </c>
      <c r="J408" t="s">
        <v>4510</v>
      </c>
      <c r="K408" t="s">
        <v>602</v>
      </c>
      <c r="M408" t="s">
        <v>7162</v>
      </c>
      <c r="N408" t="str">
        <f t="shared" si="4"/>
        <v>Other</v>
      </c>
      <c r="O408" s="1" t="s">
        <v>4511</v>
      </c>
      <c r="P408" t="s">
        <v>4512</v>
      </c>
      <c r="Q408" s="1" t="s">
        <v>4513</v>
      </c>
      <c r="R408" s="1" t="s">
        <v>250</v>
      </c>
      <c r="S408" s="1" t="s">
        <v>4514</v>
      </c>
      <c r="T408" s="1">
        <v>16</v>
      </c>
      <c r="U408" s="1">
        <v>35094</v>
      </c>
      <c r="V408" s="1"/>
      <c r="W408" s="1"/>
      <c r="X408" t="s">
        <v>4946</v>
      </c>
      <c r="Y408" t="s">
        <v>4947</v>
      </c>
      <c r="AA408" t="s">
        <v>3579</v>
      </c>
      <c r="AC408" t="s">
        <v>4948</v>
      </c>
    </row>
    <row r="409" spans="1:57" x14ac:dyDescent="0.2">
      <c r="A409" t="s">
        <v>4949</v>
      </c>
      <c r="B409" t="s">
        <v>4949</v>
      </c>
      <c r="C409" t="s">
        <v>4950</v>
      </c>
      <c r="D409" t="s">
        <v>4951</v>
      </c>
      <c r="E409" t="s">
        <v>4951</v>
      </c>
      <c r="G409" t="s">
        <v>56</v>
      </c>
      <c r="H409" t="s">
        <v>57</v>
      </c>
      <c r="I409" t="s">
        <v>58</v>
      </c>
      <c r="J409" t="s">
        <v>3474</v>
      </c>
      <c r="K409" t="s">
        <v>602</v>
      </c>
      <c r="M409" t="s">
        <v>7162</v>
      </c>
      <c r="N409" t="str">
        <f t="shared" si="4"/>
        <v>Other</v>
      </c>
      <c r="O409" s="1" t="s">
        <v>61</v>
      </c>
      <c r="P409" t="s">
        <v>62</v>
      </c>
      <c r="Q409" s="1" t="s">
        <v>4549</v>
      </c>
      <c r="R409" s="1" t="s">
        <v>64</v>
      </c>
      <c r="S409" s="1" t="s">
        <v>65</v>
      </c>
      <c r="T409" s="1">
        <v>655</v>
      </c>
      <c r="U409" s="1">
        <v>1692</v>
      </c>
      <c r="V409" s="1"/>
      <c r="W409" s="1"/>
      <c r="X409" t="s">
        <v>4952</v>
      </c>
      <c r="Y409" t="s">
        <v>4953</v>
      </c>
      <c r="AA409" t="s">
        <v>3579</v>
      </c>
      <c r="AC409" t="s">
        <v>4954</v>
      </c>
    </row>
    <row r="410" spans="1:57" x14ac:dyDescent="0.2">
      <c r="A410" t="s">
        <v>4955</v>
      </c>
      <c r="B410" t="s">
        <v>4955</v>
      </c>
      <c r="C410" t="s">
        <v>4956</v>
      </c>
      <c r="D410" t="s">
        <v>4957</v>
      </c>
      <c r="E410" t="s">
        <v>4957</v>
      </c>
      <c r="G410" t="s">
        <v>56</v>
      </c>
      <c r="H410" t="s">
        <v>57</v>
      </c>
      <c r="I410" t="s">
        <v>58</v>
      </c>
      <c r="J410" t="s">
        <v>4537</v>
      </c>
      <c r="K410" t="s">
        <v>602</v>
      </c>
      <c r="M410" t="s">
        <v>7162</v>
      </c>
      <c r="N410" t="str">
        <f t="shared" si="4"/>
        <v>Other</v>
      </c>
      <c r="O410" s="1" t="s">
        <v>4538</v>
      </c>
      <c r="P410" t="s">
        <v>4539</v>
      </c>
      <c r="Q410" s="1" t="s">
        <v>4540</v>
      </c>
      <c r="R410" s="1" t="s">
        <v>64</v>
      </c>
      <c r="S410" s="1" t="s">
        <v>3576</v>
      </c>
      <c r="T410" s="1">
        <v>21</v>
      </c>
      <c r="U410" s="1">
        <v>35114</v>
      </c>
      <c r="V410" s="1"/>
      <c r="W410" s="1"/>
      <c r="X410" t="s">
        <v>4958</v>
      </c>
      <c r="Y410" t="s">
        <v>4959</v>
      </c>
      <c r="AA410" t="s">
        <v>3579</v>
      </c>
      <c r="AC410" t="s">
        <v>4960</v>
      </c>
    </row>
    <row r="411" spans="1:57" x14ac:dyDescent="0.2">
      <c r="A411" t="s">
        <v>4961</v>
      </c>
      <c r="B411" t="s">
        <v>4961</v>
      </c>
      <c r="C411" t="s">
        <v>4962</v>
      </c>
      <c r="D411" t="s">
        <v>4963</v>
      </c>
      <c r="E411" t="s">
        <v>4963</v>
      </c>
      <c r="G411" t="s">
        <v>56</v>
      </c>
      <c r="H411" t="s">
        <v>4222</v>
      </c>
      <c r="I411" t="s">
        <v>93</v>
      </c>
      <c r="J411">
        <v>0</v>
      </c>
      <c r="K411" t="s">
        <v>602</v>
      </c>
      <c r="M411" t="s">
        <v>7162</v>
      </c>
      <c r="N411" t="str">
        <f t="shared" si="4"/>
        <v>Other</v>
      </c>
      <c r="O411" s="1" t="s">
        <v>4964</v>
      </c>
      <c r="P411" t="s">
        <v>4965</v>
      </c>
      <c r="Q411" s="1" t="s">
        <v>4821</v>
      </c>
      <c r="R411" s="1" t="s">
        <v>4226</v>
      </c>
      <c r="S411" s="1" t="s">
        <v>4453</v>
      </c>
      <c r="T411" s="1">
        <v>583</v>
      </c>
      <c r="U411" s="1">
        <v>1523</v>
      </c>
      <c r="V411" s="1"/>
      <c r="W411" s="1"/>
      <c r="X411" t="s">
        <v>4966</v>
      </c>
      <c r="Y411" t="s">
        <v>4967</v>
      </c>
      <c r="AA411" t="s">
        <v>3579</v>
      </c>
      <c r="AC411" t="s">
        <v>4968</v>
      </c>
    </row>
    <row r="412" spans="1:57" x14ac:dyDescent="0.2">
      <c r="A412" t="s">
        <v>4969</v>
      </c>
      <c r="B412" t="s">
        <v>4969</v>
      </c>
      <c r="C412" t="s">
        <v>4970</v>
      </c>
      <c r="D412" t="s">
        <v>4971</v>
      </c>
      <c r="E412" t="s">
        <v>4971</v>
      </c>
      <c r="G412" t="s">
        <v>56</v>
      </c>
      <c r="H412" t="s">
        <v>57</v>
      </c>
      <c r="I412" t="s">
        <v>93</v>
      </c>
      <c r="J412">
        <v>0</v>
      </c>
      <c r="K412" t="s">
        <v>602</v>
      </c>
      <c r="M412" t="s">
        <v>7162</v>
      </c>
      <c r="N412" t="str">
        <f t="shared" si="4"/>
        <v>Other</v>
      </c>
      <c r="O412" s="1" t="s">
        <v>353</v>
      </c>
      <c r="P412" t="s">
        <v>354</v>
      </c>
      <c r="Q412" s="1" t="s">
        <v>144</v>
      </c>
      <c r="R412" s="1" t="s">
        <v>3649</v>
      </c>
      <c r="S412" s="1" t="s">
        <v>3650</v>
      </c>
      <c r="T412" s="1">
        <v>677</v>
      </c>
      <c r="U412" s="1">
        <v>15649</v>
      </c>
      <c r="V412" s="1"/>
      <c r="W412" s="1"/>
      <c r="X412" t="s">
        <v>4972</v>
      </c>
      <c r="Y412" t="s">
        <v>4973</v>
      </c>
      <c r="AA412" t="s">
        <v>3579</v>
      </c>
      <c r="AC412" t="s">
        <v>4974</v>
      </c>
    </row>
    <row r="413" spans="1:57" x14ac:dyDescent="0.2">
      <c r="A413" t="s">
        <v>4975</v>
      </c>
      <c r="B413" t="s">
        <v>4975</v>
      </c>
      <c r="C413" t="s">
        <v>4976</v>
      </c>
      <c r="D413" t="s">
        <v>4977</v>
      </c>
      <c r="E413" t="s">
        <v>4977</v>
      </c>
      <c r="G413" t="s">
        <v>56</v>
      </c>
      <c r="H413" t="s">
        <v>57</v>
      </c>
      <c r="I413" t="s">
        <v>93</v>
      </c>
      <c r="J413">
        <v>0</v>
      </c>
      <c r="K413" t="s">
        <v>602</v>
      </c>
      <c r="M413" t="s">
        <v>7162</v>
      </c>
      <c r="N413" t="str">
        <f t="shared" si="4"/>
        <v>Other</v>
      </c>
      <c r="O413" s="1" t="s">
        <v>4502</v>
      </c>
      <c r="P413" t="s">
        <v>4978</v>
      </c>
      <c r="Q413" s="1" t="s">
        <v>166</v>
      </c>
      <c r="R413" s="1" t="s">
        <v>4328</v>
      </c>
      <c r="S413" s="1" t="s">
        <v>4329</v>
      </c>
      <c r="T413" s="1">
        <v>6034</v>
      </c>
      <c r="U413" s="1">
        <v>34264</v>
      </c>
      <c r="V413" s="1"/>
      <c r="W413" s="1"/>
      <c r="X413" t="s">
        <v>4979</v>
      </c>
      <c r="Y413" t="s">
        <v>4980</v>
      </c>
      <c r="AA413" t="s">
        <v>3579</v>
      </c>
      <c r="AC413" t="s">
        <v>4981</v>
      </c>
    </row>
    <row r="414" spans="1:57" hidden="1" x14ac:dyDescent="0.2">
      <c r="A414" t="s">
        <v>4982</v>
      </c>
      <c r="B414" t="s">
        <v>4983</v>
      </c>
      <c r="C414" t="s">
        <v>4984</v>
      </c>
      <c r="D414" t="s">
        <v>4985</v>
      </c>
      <c r="E414" t="s">
        <v>4985</v>
      </c>
      <c r="G414" t="s">
        <v>56</v>
      </c>
      <c r="H414" t="s">
        <v>57</v>
      </c>
      <c r="I414" t="s">
        <v>93</v>
      </c>
      <c r="J414">
        <v>0</v>
      </c>
      <c r="K414" t="s">
        <v>4986</v>
      </c>
      <c r="L414" t="s">
        <v>4986</v>
      </c>
      <c r="M414" t="s">
        <v>7169</v>
      </c>
      <c r="N414" t="str">
        <f t="shared" si="4"/>
        <v>Nuts/Seeds</v>
      </c>
      <c r="O414" s="1" t="s">
        <v>3150</v>
      </c>
      <c r="P414" t="s">
        <v>4987</v>
      </c>
      <c r="Q414" s="1" t="s">
        <v>144</v>
      </c>
      <c r="R414" s="1" t="s">
        <v>64</v>
      </c>
      <c r="S414" s="1" t="s">
        <v>98</v>
      </c>
      <c r="T414" s="1">
        <v>1611</v>
      </c>
      <c r="U414" s="1">
        <v>29850</v>
      </c>
      <c r="V414" s="1" t="s">
        <v>169</v>
      </c>
      <c r="W414" s="1">
        <v>6505416</v>
      </c>
      <c r="X414" t="s">
        <v>4988</v>
      </c>
      <c r="Y414" t="s">
        <v>4989</v>
      </c>
      <c r="AA414" t="s">
        <v>68</v>
      </c>
      <c r="AB414" t="s">
        <v>4990</v>
      </c>
      <c r="AC414" t="s">
        <v>4991</v>
      </c>
      <c r="AD414" t="s">
        <v>4992</v>
      </c>
      <c r="AE414" t="s">
        <v>2428</v>
      </c>
      <c r="AF414" t="s">
        <v>73</v>
      </c>
      <c r="AG414" t="s">
        <v>4993</v>
      </c>
      <c r="AH414" t="s">
        <v>75</v>
      </c>
      <c r="AI414" t="s">
        <v>76</v>
      </c>
      <c r="AJ414" t="s">
        <v>77</v>
      </c>
      <c r="AK414" t="s">
        <v>3158</v>
      </c>
      <c r="AL414" t="s">
        <v>156</v>
      </c>
      <c r="AM414" t="s">
        <v>80</v>
      </c>
      <c r="AN414" t="s">
        <v>81</v>
      </c>
      <c r="AO414" t="s">
        <v>82</v>
      </c>
      <c r="AP414" t="s">
        <v>83</v>
      </c>
      <c r="AQ414">
        <v>2015</v>
      </c>
      <c r="AR414">
        <v>140324</v>
      </c>
      <c r="AS414">
        <v>5049316</v>
      </c>
      <c r="AT414">
        <v>81</v>
      </c>
      <c r="AU414" t="s">
        <v>84</v>
      </c>
      <c r="AV414">
        <v>562</v>
      </c>
      <c r="AW414" t="s">
        <v>85</v>
      </c>
      <c r="AX414" t="s">
        <v>86</v>
      </c>
      <c r="AY414">
        <v>562</v>
      </c>
      <c r="AZ414" t="s">
        <v>4994</v>
      </c>
      <c r="BA414" t="s">
        <v>88</v>
      </c>
      <c r="BC414" t="s">
        <v>4995</v>
      </c>
      <c r="BD414">
        <v>0</v>
      </c>
      <c r="BE414">
        <v>14</v>
      </c>
    </row>
    <row r="415" spans="1:57" hidden="1" x14ac:dyDescent="0.2">
      <c r="A415" t="s">
        <v>4996</v>
      </c>
      <c r="B415" t="s">
        <v>4997</v>
      </c>
      <c r="C415" t="s">
        <v>4984</v>
      </c>
      <c r="D415" t="s">
        <v>4998</v>
      </c>
      <c r="E415" t="s">
        <v>4998</v>
      </c>
      <c r="G415" t="s">
        <v>56</v>
      </c>
      <c r="H415" t="s">
        <v>57</v>
      </c>
      <c r="I415" t="s">
        <v>93</v>
      </c>
      <c r="J415">
        <v>0</v>
      </c>
      <c r="K415" t="s">
        <v>4986</v>
      </c>
      <c r="L415" t="s">
        <v>4986</v>
      </c>
      <c r="M415" t="s">
        <v>7169</v>
      </c>
      <c r="N415" t="str">
        <f t="shared" si="4"/>
        <v>Nuts/Seeds</v>
      </c>
      <c r="O415" s="1" t="s">
        <v>3150</v>
      </c>
      <c r="P415" t="s">
        <v>4987</v>
      </c>
      <c r="Q415" s="1" t="s">
        <v>144</v>
      </c>
      <c r="R415" s="1" t="s">
        <v>64</v>
      </c>
      <c r="S415" s="1" t="s">
        <v>98</v>
      </c>
      <c r="T415" s="1">
        <v>1611</v>
      </c>
      <c r="U415" s="1">
        <v>29850</v>
      </c>
      <c r="V415" s="1" t="s">
        <v>169</v>
      </c>
      <c r="W415" s="1">
        <v>6505416</v>
      </c>
      <c r="X415" t="s">
        <v>4999</v>
      </c>
      <c r="Y415" t="s">
        <v>5000</v>
      </c>
      <c r="AA415" t="s">
        <v>68</v>
      </c>
      <c r="AB415" t="s">
        <v>5001</v>
      </c>
      <c r="AC415" t="s">
        <v>5002</v>
      </c>
      <c r="AD415" t="s">
        <v>5003</v>
      </c>
      <c r="AE415" t="s">
        <v>5004</v>
      </c>
      <c r="AF415" t="s">
        <v>73</v>
      </c>
      <c r="AG415" t="s">
        <v>5005</v>
      </c>
      <c r="AH415" t="s">
        <v>75</v>
      </c>
      <c r="AI415" t="s">
        <v>76</v>
      </c>
      <c r="AJ415" t="s">
        <v>77</v>
      </c>
      <c r="AK415" t="s">
        <v>3158</v>
      </c>
      <c r="AL415" t="s">
        <v>156</v>
      </c>
      <c r="AM415" t="s">
        <v>80</v>
      </c>
      <c r="AN415" t="s">
        <v>81</v>
      </c>
      <c r="AO415" t="s">
        <v>82</v>
      </c>
      <c r="AP415" t="s">
        <v>83</v>
      </c>
      <c r="AQ415">
        <v>2015</v>
      </c>
      <c r="AR415">
        <v>155609</v>
      </c>
      <c r="AS415">
        <v>5058240</v>
      </c>
      <c r="AT415">
        <v>72</v>
      </c>
      <c r="AU415" t="s">
        <v>84</v>
      </c>
      <c r="AV415">
        <v>562</v>
      </c>
      <c r="AW415" t="s">
        <v>85</v>
      </c>
      <c r="AX415" t="s">
        <v>86</v>
      </c>
      <c r="AY415">
        <v>562</v>
      </c>
      <c r="AZ415" t="s">
        <v>5006</v>
      </c>
      <c r="BA415" t="s">
        <v>88</v>
      </c>
      <c r="BC415" t="s">
        <v>4995</v>
      </c>
      <c r="BD415">
        <v>0</v>
      </c>
      <c r="BE415">
        <v>14</v>
      </c>
    </row>
    <row r="416" spans="1:57" hidden="1" x14ac:dyDescent="0.2">
      <c r="A416" t="s">
        <v>5007</v>
      </c>
      <c r="B416" t="s">
        <v>5008</v>
      </c>
      <c r="C416" t="s">
        <v>4984</v>
      </c>
      <c r="D416" t="s">
        <v>5009</v>
      </c>
      <c r="E416" t="s">
        <v>5009</v>
      </c>
      <c r="G416" t="s">
        <v>56</v>
      </c>
      <c r="H416" t="s">
        <v>57</v>
      </c>
      <c r="I416" t="s">
        <v>93</v>
      </c>
      <c r="J416">
        <v>0</v>
      </c>
      <c r="K416" t="s">
        <v>4986</v>
      </c>
      <c r="L416" t="s">
        <v>4986</v>
      </c>
      <c r="M416" t="s">
        <v>7169</v>
      </c>
      <c r="N416" t="str">
        <f t="shared" si="4"/>
        <v>Nuts/Seeds</v>
      </c>
      <c r="O416" s="1" t="s">
        <v>3150</v>
      </c>
      <c r="P416" t="s">
        <v>4987</v>
      </c>
      <c r="Q416" s="1" t="s">
        <v>144</v>
      </c>
      <c r="R416" s="1" t="s">
        <v>64</v>
      </c>
      <c r="S416" s="1" t="s">
        <v>98</v>
      </c>
      <c r="T416" s="1">
        <v>1611</v>
      </c>
      <c r="U416" s="1">
        <v>29850</v>
      </c>
      <c r="V416" s="1" t="s">
        <v>169</v>
      </c>
      <c r="W416" s="1">
        <v>6505416</v>
      </c>
      <c r="X416" t="s">
        <v>5010</v>
      </c>
      <c r="Y416" t="s">
        <v>5011</v>
      </c>
      <c r="AA416" t="s">
        <v>68</v>
      </c>
      <c r="AB416" t="s">
        <v>5012</v>
      </c>
      <c r="AC416" t="s">
        <v>5013</v>
      </c>
      <c r="AD416" t="s">
        <v>5014</v>
      </c>
      <c r="AE416" t="s">
        <v>5004</v>
      </c>
      <c r="AF416" t="s">
        <v>73</v>
      </c>
      <c r="AG416" t="s">
        <v>5015</v>
      </c>
      <c r="AH416" t="s">
        <v>75</v>
      </c>
      <c r="AI416" t="s">
        <v>76</v>
      </c>
      <c r="AJ416" t="s">
        <v>77</v>
      </c>
      <c r="AK416" t="s">
        <v>3158</v>
      </c>
      <c r="AL416" t="s">
        <v>156</v>
      </c>
      <c r="AM416" t="s">
        <v>80</v>
      </c>
      <c r="AN416" t="s">
        <v>81</v>
      </c>
      <c r="AO416" t="s">
        <v>82</v>
      </c>
      <c r="AP416" t="s">
        <v>83</v>
      </c>
      <c r="AQ416">
        <v>2015</v>
      </c>
      <c r="AR416">
        <v>185241</v>
      </c>
      <c r="AS416">
        <v>5061776</v>
      </c>
      <c r="AT416">
        <v>74</v>
      </c>
      <c r="AU416" t="s">
        <v>84</v>
      </c>
      <c r="AV416">
        <v>562</v>
      </c>
      <c r="AW416" t="s">
        <v>85</v>
      </c>
      <c r="AX416" t="s">
        <v>86</v>
      </c>
      <c r="AY416">
        <v>562</v>
      </c>
      <c r="AZ416" t="s">
        <v>5016</v>
      </c>
      <c r="BA416" t="s">
        <v>88</v>
      </c>
      <c r="BC416" t="s">
        <v>4995</v>
      </c>
      <c r="BD416">
        <v>1</v>
      </c>
      <c r="BE416">
        <v>15</v>
      </c>
    </row>
    <row r="417" spans="1:57" hidden="1" x14ac:dyDescent="0.2">
      <c r="A417" t="s">
        <v>5017</v>
      </c>
      <c r="B417" t="s">
        <v>5018</v>
      </c>
      <c r="C417" t="s">
        <v>4984</v>
      </c>
      <c r="D417" t="s">
        <v>5019</v>
      </c>
      <c r="E417" t="s">
        <v>5019</v>
      </c>
      <c r="G417" t="s">
        <v>56</v>
      </c>
      <c r="H417" t="s">
        <v>57</v>
      </c>
      <c r="I417" t="s">
        <v>93</v>
      </c>
      <c r="J417">
        <v>0</v>
      </c>
      <c r="K417" t="s">
        <v>4986</v>
      </c>
      <c r="L417" t="s">
        <v>4986</v>
      </c>
      <c r="M417" t="s">
        <v>7169</v>
      </c>
      <c r="N417" t="str">
        <f t="shared" si="4"/>
        <v>Nuts/Seeds</v>
      </c>
      <c r="O417" s="1" t="s">
        <v>3150</v>
      </c>
      <c r="P417" t="s">
        <v>4987</v>
      </c>
      <c r="Q417" s="1" t="s">
        <v>144</v>
      </c>
      <c r="R417" s="1" t="s">
        <v>64</v>
      </c>
      <c r="S417" s="1" t="s">
        <v>98</v>
      </c>
      <c r="T417" s="1">
        <v>1611</v>
      </c>
      <c r="U417" s="1">
        <v>29850</v>
      </c>
      <c r="V417" s="1" t="s">
        <v>169</v>
      </c>
      <c r="W417" s="1">
        <v>6505416</v>
      </c>
      <c r="X417" t="s">
        <v>5020</v>
      </c>
      <c r="Y417" t="s">
        <v>5021</v>
      </c>
      <c r="AA417" t="s">
        <v>68</v>
      </c>
      <c r="AB417" t="s">
        <v>5022</v>
      </c>
      <c r="AC417" t="s">
        <v>5023</v>
      </c>
      <c r="AD417" t="s">
        <v>5024</v>
      </c>
      <c r="AE417" t="s">
        <v>5004</v>
      </c>
      <c r="AF417" t="s">
        <v>73</v>
      </c>
      <c r="AG417" t="s">
        <v>5025</v>
      </c>
      <c r="AH417" t="s">
        <v>75</v>
      </c>
      <c r="AI417" t="s">
        <v>76</v>
      </c>
      <c r="AJ417" t="s">
        <v>77</v>
      </c>
      <c r="AK417" t="s">
        <v>3158</v>
      </c>
      <c r="AL417" t="s">
        <v>156</v>
      </c>
      <c r="AM417" t="s">
        <v>80</v>
      </c>
      <c r="AN417" t="s">
        <v>81</v>
      </c>
      <c r="AO417" t="s">
        <v>82</v>
      </c>
      <c r="AP417" t="s">
        <v>83</v>
      </c>
      <c r="AQ417">
        <v>2015</v>
      </c>
      <c r="AR417">
        <v>154415</v>
      </c>
      <c r="AS417">
        <v>5054640</v>
      </c>
      <c r="AT417">
        <v>86</v>
      </c>
      <c r="AU417" t="s">
        <v>84</v>
      </c>
      <c r="AV417">
        <v>562</v>
      </c>
      <c r="AW417" t="s">
        <v>85</v>
      </c>
      <c r="AX417" t="s">
        <v>86</v>
      </c>
      <c r="AY417">
        <v>562</v>
      </c>
      <c r="AZ417" t="s">
        <v>5026</v>
      </c>
      <c r="BA417" t="s">
        <v>88</v>
      </c>
      <c r="BC417" t="s">
        <v>4995</v>
      </c>
      <c r="BD417">
        <v>1</v>
      </c>
      <c r="BE417">
        <v>15</v>
      </c>
    </row>
    <row r="418" spans="1:57" hidden="1" x14ac:dyDescent="0.2">
      <c r="A418" t="s">
        <v>5027</v>
      </c>
      <c r="B418" t="s">
        <v>5028</v>
      </c>
      <c r="C418" t="s">
        <v>4984</v>
      </c>
      <c r="D418" t="s">
        <v>5029</v>
      </c>
      <c r="E418" t="s">
        <v>5029</v>
      </c>
      <c r="G418" t="s">
        <v>56</v>
      </c>
      <c r="H418" t="s">
        <v>57</v>
      </c>
      <c r="I418" t="s">
        <v>93</v>
      </c>
      <c r="J418">
        <v>0</v>
      </c>
      <c r="K418" t="s">
        <v>4986</v>
      </c>
      <c r="L418" t="s">
        <v>4986</v>
      </c>
      <c r="M418" t="s">
        <v>7169</v>
      </c>
      <c r="N418" t="str">
        <f t="shared" si="4"/>
        <v>Nuts/Seeds</v>
      </c>
      <c r="O418" s="1" t="s">
        <v>3150</v>
      </c>
      <c r="P418" t="s">
        <v>4987</v>
      </c>
      <c r="Q418" s="1" t="s">
        <v>144</v>
      </c>
      <c r="R418" s="1" t="s">
        <v>64</v>
      </c>
      <c r="S418" s="1" t="s">
        <v>98</v>
      </c>
      <c r="T418" s="1">
        <v>1611</v>
      </c>
      <c r="U418" s="1">
        <v>29850</v>
      </c>
      <c r="V418" s="1" t="s">
        <v>169</v>
      </c>
      <c r="W418" s="1">
        <v>6505416</v>
      </c>
      <c r="X418" t="s">
        <v>5030</v>
      </c>
      <c r="Y418" t="s">
        <v>5031</v>
      </c>
      <c r="AA418" t="s">
        <v>68</v>
      </c>
      <c r="AB418" t="s">
        <v>5032</v>
      </c>
      <c r="AC418" t="s">
        <v>5033</v>
      </c>
      <c r="AD418" t="s">
        <v>5034</v>
      </c>
      <c r="AE418" t="s">
        <v>5004</v>
      </c>
      <c r="AF418" t="s">
        <v>73</v>
      </c>
      <c r="AG418" t="s">
        <v>5035</v>
      </c>
      <c r="AH418" t="s">
        <v>75</v>
      </c>
      <c r="AI418" t="s">
        <v>76</v>
      </c>
      <c r="AJ418" t="s">
        <v>77</v>
      </c>
      <c r="AK418" t="s">
        <v>3158</v>
      </c>
      <c r="AL418" t="s">
        <v>156</v>
      </c>
      <c r="AM418" t="s">
        <v>80</v>
      </c>
      <c r="AN418" t="s">
        <v>81</v>
      </c>
      <c r="AO418" t="s">
        <v>82</v>
      </c>
      <c r="AP418" t="s">
        <v>83</v>
      </c>
      <c r="AQ418">
        <v>2015</v>
      </c>
      <c r="AR418">
        <v>183830</v>
      </c>
      <c r="AS418">
        <v>5082779</v>
      </c>
      <c r="AT418">
        <v>64</v>
      </c>
      <c r="AU418" t="s">
        <v>84</v>
      </c>
      <c r="AV418">
        <v>562</v>
      </c>
      <c r="AW418" t="s">
        <v>85</v>
      </c>
      <c r="AX418" t="s">
        <v>86</v>
      </c>
      <c r="AY418">
        <v>562</v>
      </c>
      <c r="AZ418" t="s">
        <v>5036</v>
      </c>
      <c r="BA418" t="s">
        <v>88</v>
      </c>
      <c r="BC418" t="s">
        <v>4995</v>
      </c>
      <c r="BD418">
        <v>0</v>
      </c>
      <c r="BE418">
        <v>14</v>
      </c>
    </row>
    <row r="419" spans="1:57" hidden="1" x14ac:dyDescent="0.2">
      <c r="A419" t="s">
        <v>5037</v>
      </c>
      <c r="B419" t="s">
        <v>5038</v>
      </c>
      <c r="C419" t="s">
        <v>5039</v>
      </c>
      <c r="D419" t="s">
        <v>5040</v>
      </c>
      <c r="E419" t="s">
        <v>5040</v>
      </c>
      <c r="G419" t="s">
        <v>56</v>
      </c>
      <c r="H419" t="s">
        <v>57</v>
      </c>
      <c r="I419" t="s">
        <v>58</v>
      </c>
      <c r="J419" t="s">
        <v>4547</v>
      </c>
      <c r="K419" t="s">
        <v>5041</v>
      </c>
      <c r="L419" t="s">
        <v>5041</v>
      </c>
      <c r="M419" t="s">
        <v>7165</v>
      </c>
      <c r="N419" t="str">
        <f t="shared" si="4"/>
        <v>Meat</v>
      </c>
      <c r="O419" s="1" t="s">
        <v>4502</v>
      </c>
      <c r="P419" t="s">
        <v>5042</v>
      </c>
      <c r="Q419" s="1" t="s">
        <v>144</v>
      </c>
      <c r="R419" s="1" t="s">
        <v>4318</v>
      </c>
      <c r="S419" s="1" t="s">
        <v>5043</v>
      </c>
      <c r="T419" s="1">
        <v>710</v>
      </c>
      <c r="U419" s="1">
        <v>101149</v>
      </c>
      <c r="V419" s="1" t="s">
        <v>169</v>
      </c>
      <c r="W419" s="1">
        <v>6634420</v>
      </c>
      <c r="X419" t="s">
        <v>5044</v>
      </c>
      <c r="Y419" t="s">
        <v>5045</v>
      </c>
      <c r="AA419" t="s">
        <v>68</v>
      </c>
      <c r="AB419" t="s">
        <v>5046</v>
      </c>
      <c r="AC419" t="s">
        <v>5047</v>
      </c>
      <c r="AD419" t="s">
        <v>5048</v>
      </c>
      <c r="AE419" t="s">
        <v>2390</v>
      </c>
      <c r="AF419" t="s">
        <v>73</v>
      </c>
      <c r="AG419" t="s">
        <v>5049</v>
      </c>
      <c r="AH419" t="s">
        <v>3402</v>
      </c>
      <c r="AI419" t="s">
        <v>76</v>
      </c>
      <c r="AJ419" t="s">
        <v>77</v>
      </c>
      <c r="AK419" t="s">
        <v>5050</v>
      </c>
      <c r="AL419" t="s">
        <v>5051</v>
      </c>
      <c r="AM419" t="s">
        <v>3404</v>
      </c>
      <c r="AN419" t="s">
        <v>81</v>
      </c>
      <c r="AO419" t="s">
        <v>82</v>
      </c>
      <c r="AP419" t="s">
        <v>83</v>
      </c>
      <c r="AQ419">
        <v>2015</v>
      </c>
      <c r="AR419">
        <v>107371</v>
      </c>
      <c r="AS419">
        <v>5014940</v>
      </c>
      <c r="AT419">
        <v>172</v>
      </c>
      <c r="AU419" t="s">
        <v>84</v>
      </c>
      <c r="AV419">
        <v>562</v>
      </c>
      <c r="AW419" t="s">
        <v>85</v>
      </c>
      <c r="AX419" t="s">
        <v>86</v>
      </c>
      <c r="AY419">
        <v>562</v>
      </c>
      <c r="AZ419" t="s">
        <v>5052</v>
      </c>
      <c r="BA419" t="s">
        <v>88</v>
      </c>
      <c r="BC419" t="s">
        <v>5053</v>
      </c>
      <c r="BD419">
        <v>15</v>
      </c>
    </row>
    <row r="420" spans="1:57" hidden="1" x14ac:dyDescent="0.2">
      <c r="A420" t="s">
        <v>5054</v>
      </c>
      <c r="B420" t="s">
        <v>5055</v>
      </c>
      <c r="C420" t="s">
        <v>5056</v>
      </c>
      <c r="D420" t="s">
        <v>5057</v>
      </c>
      <c r="E420" t="s">
        <v>5057</v>
      </c>
      <c r="F420" t="s">
        <v>2035</v>
      </c>
      <c r="G420" t="s">
        <v>56</v>
      </c>
      <c r="H420" t="s">
        <v>57</v>
      </c>
      <c r="I420" t="s">
        <v>93</v>
      </c>
      <c r="J420">
        <v>0</v>
      </c>
      <c r="K420" t="s">
        <v>2384</v>
      </c>
      <c r="L420" t="s">
        <v>2384</v>
      </c>
      <c r="M420" t="s">
        <v>7165</v>
      </c>
      <c r="N420" t="str">
        <f t="shared" si="4"/>
        <v>Meat</v>
      </c>
      <c r="O420" s="1" t="s">
        <v>5058</v>
      </c>
      <c r="P420" t="s">
        <v>5059</v>
      </c>
      <c r="Q420" s="1" t="s">
        <v>5060</v>
      </c>
      <c r="R420" s="1" t="s">
        <v>4318</v>
      </c>
      <c r="S420" s="1" t="s">
        <v>4319</v>
      </c>
      <c r="T420" s="1">
        <v>641</v>
      </c>
      <c r="U420" s="1">
        <v>93687</v>
      </c>
      <c r="V420" s="1" t="s">
        <v>5061</v>
      </c>
      <c r="W420" s="1">
        <v>6981595</v>
      </c>
      <c r="X420" t="s">
        <v>5062</v>
      </c>
      <c r="Y420" t="s">
        <v>5063</v>
      </c>
      <c r="AA420" t="s">
        <v>68</v>
      </c>
      <c r="AB420" t="s">
        <v>5064</v>
      </c>
      <c r="AC420" t="s">
        <v>5065</v>
      </c>
      <c r="AD420" t="s">
        <v>5066</v>
      </c>
      <c r="AE420" t="s">
        <v>2390</v>
      </c>
      <c r="AF420" t="s">
        <v>73</v>
      </c>
      <c r="AG420" t="s">
        <v>5067</v>
      </c>
      <c r="AH420" t="s">
        <v>5068</v>
      </c>
      <c r="AI420" t="s">
        <v>76</v>
      </c>
      <c r="AJ420" t="s">
        <v>77</v>
      </c>
      <c r="AK420" t="s">
        <v>5069</v>
      </c>
      <c r="AL420" t="s">
        <v>5070</v>
      </c>
      <c r="AM420" t="s">
        <v>5071</v>
      </c>
      <c r="AN420" t="s">
        <v>158</v>
      </c>
      <c r="AO420" t="s">
        <v>159</v>
      </c>
      <c r="AP420" t="s">
        <v>83</v>
      </c>
      <c r="AQ420">
        <v>2015</v>
      </c>
      <c r="AR420">
        <v>92870</v>
      </c>
      <c r="AS420">
        <v>5248153</v>
      </c>
      <c r="AT420">
        <v>156</v>
      </c>
      <c r="AU420" t="s">
        <v>84</v>
      </c>
      <c r="AV420">
        <v>562</v>
      </c>
      <c r="AW420" t="s">
        <v>85</v>
      </c>
      <c r="AX420" t="s">
        <v>86</v>
      </c>
      <c r="AY420">
        <v>562</v>
      </c>
      <c r="AZ420" t="s">
        <v>5072</v>
      </c>
      <c r="BA420" t="s">
        <v>88</v>
      </c>
      <c r="BC420" t="s">
        <v>5073</v>
      </c>
      <c r="BD420">
        <v>0</v>
      </c>
    </row>
    <row r="421" spans="1:57" hidden="1" x14ac:dyDescent="0.2">
      <c r="A421" t="s">
        <v>5074</v>
      </c>
      <c r="B421" t="s">
        <v>5075</v>
      </c>
      <c r="C421" t="s">
        <v>5056</v>
      </c>
      <c r="D421" t="s">
        <v>5076</v>
      </c>
      <c r="E421" t="s">
        <v>5076</v>
      </c>
      <c r="F421" t="s">
        <v>2035</v>
      </c>
      <c r="G421" t="s">
        <v>56</v>
      </c>
      <c r="H421" t="s">
        <v>57</v>
      </c>
      <c r="I421" t="s">
        <v>93</v>
      </c>
      <c r="J421">
        <v>0</v>
      </c>
      <c r="K421" t="s">
        <v>2384</v>
      </c>
      <c r="L421" t="s">
        <v>2384</v>
      </c>
      <c r="M421" t="s">
        <v>7165</v>
      </c>
      <c r="N421" t="str">
        <f t="shared" si="4"/>
        <v>Meat</v>
      </c>
      <c r="O421" s="1" t="s">
        <v>5058</v>
      </c>
      <c r="P421" t="s">
        <v>5059</v>
      </c>
      <c r="Q421" s="1" t="s">
        <v>5060</v>
      </c>
      <c r="R421" s="1" t="s">
        <v>4318</v>
      </c>
      <c r="S421" s="1" t="s">
        <v>4319</v>
      </c>
      <c r="T421" s="1">
        <v>641</v>
      </c>
      <c r="U421" s="1">
        <v>93687</v>
      </c>
      <c r="V421" s="1" t="s">
        <v>5061</v>
      </c>
      <c r="W421" s="1">
        <v>6981595</v>
      </c>
      <c r="X421" t="s">
        <v>5077</v>
      </c>
      <c r="Y421" t="s">
        <v>5078</v>
      </c>
      <c r="AA421" t="s">
        <v>68</v>
      </c>
      <c r="AB421" t="s">
        <v>5079</v>
      </c>
      <c r="AC421" t="s">
        <v>5080</v>
      </c>
      <c r="AD421" t="s">
        <v>5081</v>
      </c>
      <c r="AE421" t="s">
        <v>5004</v>
      </c>
      <c r="AF421" t="s">
        <v>73</v>
      </c>
      <c r="AG421" t="s">
        <v>5082</v>
      </c>
      <c r="AH421" t="s">
        <v>5068</v>
      </c>
      <c r="AI421" t="s">
        <v>76</v>
      </c>
      <c r="AJ421" t="s">
        <v>77</v>
      </c>
      <c r="AK421" t="s">
        <v>5069</v>
      </c>
      <c r="AL421" t="s">
        <v>5070</v>
      </c>
      <c r="AM421" t="s">
        <v>5071</v>
      </c>
      <c r="AN421" t="s">
        <v>158</v>
      </c>
      <c r="AO421" t="s">
        <v>159</v>
      </c>
      <c r="AP421" t="s">
        <v>83</v>
      </c>
      <c r="AQ421">
        <v>2015</v>
      </c>
      <c r="AR421">
        <v>95566</v>
      </c>
      <c r="AS421">
        <v>5247110</v>
      </c>
      <c r="AT421">
        <v>162</v>
      </c>
      <c r="AU421" t="s">
        <v>84</v>
      </c>
      <c r="AV421">
        <v>562</v>
      </c>
      <c r="AW421" t="s">
        <v>85</v>
      </c>
      <c r="AX421" t="s">
        <v>86</v>
      </c>
      <c r="AY421">
        <v>562</v>
      </c>
      <c r="AZ421" t="s">
        <v>5083</v>
      </c>
      <c r="BA421" t="s">
        <v>88</v>
      </c>
      <c r="BC421" t="s">
        <v>5073</v>
      </c>
      <c r="BD421">
        <v>0</v>
      </c>
    </row>
    <row r="422" spans="1:57" hidden="1" x14ac:dyDescent="0.2">
      <c r="A422" t="s">
        <v>5084</v>
      </c>
      <c r="B422" t="s">
        <v>5085</v>
      </c>
      <c r="C422" t="s">
        <v>5056</v>
      </c>
      <c r="D422" t="s">
        <v>5086</v>
      </c>
      <c r="E422" t="s">
        <v>5086</v>
      </c>
      <c r="F422" t="s">
        <v>2035</v>
      </c>
      <c r="G422" t="s">
        <v>56</v>
      </c>
      <c r="H422" t="s">
        <v>57</v>
      </c>
      <c r="I422" t="s">
        <v>93</v>
      </c>
      <c r="J422">
        <v>0</v>
      </c>
      <c r="K422" t="s">
        <v>2384</v>
      </c>
      <c r="L422" t="s">
        <v>2384</v>
      </c>
      <c r="M422" t="s">
        <v>7165</v>
      </c>
      <c r="N422" t="str">
        <f t="shared" si="4"/>
        <v>Meat</v>
      </c>
      <c r="O422" s="1" t="s">
        <v>5058</v>
      </c>
      <c r="P422" t="s">
        <v>5059</v>
      </c>
      <c r="Q422" s="1" t="s">
        <v>5060</v>
      </c>
      <c r="R422" s="1" t="s">
        <v>4318</v>
      </c>
      <c r="S422" s="1" t="s">
        <v>4319</v>
      </c>
      <c r="T422" s="1">
        <v>641</v>
      </c>
      <c r="U422" s="1">
        <v>93687</v>
      </c>
      <c r="V422" s="1" t="s">
        <v>5061</v>
      </c>
      <c r="W422" s="1">
        <v>6981595</v>
      </c>
      <c r="X422" t="s">
        <v>5087</v>
      </c>
      <c r="Y422" t="s">
        <v>5088</v>
      </c>
      <c r="AA422" t="s">
        <v>68</v>
      </c>
      <c r="AB422" t="s">
        <v>5089</v>
      </c>
      <c r="AC422" t="s">
        <v>5090</v>
      </c>
      <c r="AD422" t="s">
        <v>5091</v>
      </c>
      <c r="AE422" t="s">
        <v>2669</v>
      </c>
      <c r="AF422" t="s">
        <v>73</v>
      </c>
      <c r="AG422" t="s">
        <v>5092</v>
      </c>
      <c r="AH422" t="s">
        <v>5068</v>
      </c>
      <c r="AI422" t="s">
        <v>76</v>
      </c>
      <c r="AJ422" t="s">
        <v>77</v>
      </c>
      <c r="AK422" t="s">
        <v>5093</v>
      </c>
      <c r="AL422" t="s">
        <v>5070</v>
      </c>
      <c r="AM422" t="s">
        <v>5071</v>
      </c>
      <c r="AN422" t="s">
        <v>81</v>
      </c>
      <c r="AO422" t="s">
        <v>82</v>
      </c>
      <c r="AP422" t="s">
        <v>83</v>
      </c>
      <c r="AQ422">
        <v>2015</v>
      </c>
      <c r="AR422">
        <v>74297</v>
      </c>
      <c r="AS422">
        <v>5248606</v>
      </c>
      <c r="AT422">
        <v>180</v>
      </c>
      <c r="AU422" t="s">
        <v>84</v>
      </c>
      <c r="AV422">
        <v>562</v>
      </c>
      <c r="AW422" t="s">
        <v>85</v>
      </c>
      <c r="AX422" t="s">
        <v>86</v>
      </c>
      <c r="AY422">
        <v>562</v>
      </c>
      <c r="AZ422" t="s">
        <v>5094</v>
      </c>
      <c r="BA422" t="s">
        <v>88</v>
      </c>
      <c r="BC422" t="s">
        <v>5073</v>
      </c>
      <c r="BD422">
        <v>2</v>
      </c>
    </row>
    <row r="423" spans="1:57" hidden="1" x14ac:dyDescent="0.2">
      <c r="A423" t="s">
        <v>5095</v>
      </c>
      <c r="B423" t="s">
        <v>5096</v>
      </c>
      <c r="C423" t="s">
        <v>5097</v>
      </c>
      <c r="D423" t="s">
        <v>5098</v>
      </c>
      <c r="E423" t="s">
        <v>5098</v>
      </c>
      <c r="F423" t="s">
        <v>2035</v>
      </c>
      <c r="G423" t="s">
        <v>56</v>
      </c>
      <c r="H423" t="s">
        <v>57</v>
      </c>
      <c r="I423" t="s">
        <v>93</v>
      </c>
      <c r="J423">
        <v>0</v>
      </c>
      <c r="K423" t="s">
        <v>5041</v>
      </c>
      <c r="L423" t="s">
        <v>5041</v>
      </c>
      <c r="M423" t="s">
        <v>7165</v>
      </c>
      <c r="N423" t="str">
        <f t="shared" si="4"/>
        <v>Meat</v>
      </c>
      <c r="O423" s="1" t="s">
        <v>5099</v>
      </c>
      <c r="P423" t="s">
        <v>5100</v>
      </c>
      <c r="Q423" s="1" t="s">
        <v>144</v>
      </c>
      <c r="R423" s="1" t="s">
        <v>4318</v>
      </c>
      <c r="S423" s="1" t="s">
        <v>4319</v>
      </c>
      <c r="T423" s="1">
        <v>10</v>
      </c>
      <c r="U423" s="1">
        <v>2011</v>
      </c>
      <c r="V423" s="1" t="s">
        <v>5101</v>
      </c>
      <c r="W423" s="1">
        <v>6981595</v>
      </c>
      <c r="X423" t="s">
        <v>5102</v>
      </c>
      <c r="Y423" t="s">
        <v>5103</v>
      </c>
      <c r="AA423" t="s">
        <v>68</v>
      </c>
      <c r="AB423" t="s">
        <v>5104</v>
      </c>
      <c r="AC423" t="s">
        <v>5105</v>
      </c>
      <c r="AD423" t="s">
        <v>5106</v>
      </c>
      <c r="AE423" t="s">
        <v>5107</v>
      </c>
      <c r="AF423" t="s">
        <v>73</v>
      </c>
      <c r="AG423" t="s">
        <v>5108</v>
      </c>
      <c r="AH423" t="s">
        <v>5109</v>
      </c>
      <c r="AI423" t="s">
        <v>76</v>
      </c>
      <c r="AJ423" t="s">
        <v>77</v>
      </c>
      <c r="AK423" t="s">
        <v>5110</v>
      </c>
      <c r="AL423" t="s">
        <v>5111</v>
      </c>
      <c r="AM423" t="s">
        <v>5112</v>
      </c>
      <c r="AN423" t="s">
        <v>158</v>
      </c>
      <c r="AO423" t="s">
        <v>159</v>
      </c>
      <c r="AP423" t="s">
        <v>83</v>
      </c>
      <c r="AQ423">
        <v>2015</v>
      </c>
      <c r="AR423">
        <v>63231</v>
      </c>
      <c r="AS423">
        <v>5099965</v>
      </c>
      <c r="AT423">
        <v>201</v>
      </c>
      <c r="AU423" t="s">
        <v>84</v>
      </c>
      <c r="AV423">
        <v>562</v>
      </c>
      <c r="AW423" t="s">
        <v>85</v>
      </c>
      <c r="AX423" t="s">
        <v>86</v>
      </c>
      <c r="AY423">
        <v>562</v>
      </c>
      <c r="AZ423" t="s">
        <v>5113</v>
      </c>
      <c r="BA423" t="s">
        <v>88</v>
      </c>
    </row>
    <row r="424" spans="1:57" hidden="1" x14ac:dyDescent="0.2">
      <c r="A424" t="s">
        <v>5114</v>
      </c>
      <c r="B424" t="s">
        <v>5115</v>
      </c>
      <c r="C424" t="s">
        <v>5116</v>
      </c>
      <c r="D424" t="s">
        <v>5117</v>
      </c>
      <c r="E424" t="s">
        <v>5117</v>
      </c>
      <c r="G424" t="s">
        <v>56</v>
      </c>
      <c r="H424" t="s">
        <v>57</v>
      </c>
      <c r="I424" t="s">
        <v>93</v>
      </c>
      <c r="J424">
        <v>0</v>
      </c>
      <c r="K424" t="s">
        <v>2384</v>
      </c>
      <c r="L424" t="s">
        <v>2384</v>
      </c>
      <c r="M424" t="s">
        <v>7165</v>
      </c>
      <c r="N424" t="str">
        <f t="shared" si="4"/>
        <v>Meat</v>
      </c>
      <c r="O424" s="1" t="s">
        <v>5118</v>
      </c>
      <c r="P424" t="s">
        <v>5119</v>
      </c>
      <c r="Q424" s="1" t="s">
        <v>144</v>
      </c>
      <c r="R424" s="1" t="s">
        <v>4318</v>
      </c>
      <c r="S424" s="1" t="s">
        <v>4319</v>
      </c>
      <c r="T424" s="1">
        <v>6118</v>
      </c>
      <c r="U424" s="1">
        <v>115002</v>
      </c>
      <c r="V424" s="1" t="s">
        <v>5120</v>
      </c>
      <c r="W424" s="1">
        <v>6981595</v>
      </c>
      <c r="X424" t="s">
        <v>5121</v>
      </c>
      <c r="Y424" t="s">
        <v>5122</v>
      </c>
      <c r="AA424" t="s">
        <v>68</v>
      </c>
      <c r="AB424" t="s">
        <v>5123</v>
      </c>
      <c r="AC424" t="s">
        <v>5124</v>
      </c>
      <c r="AD424" t="s">
        <v>5125</v>
      </c>
      <c r="AE424" t="s">
        <v>5126</v>
      </c>
      <c r="AF424" t="s">
        <v>73</v>
      </c>
      <c r="AG424" t="s">
        <v>5127</v>
      </c>
      <c r="AH424" t="s">
        <v>5128</v>
      </c>
      <c r="AI424" t="s">
        <v>76</v>
      </c>
      <c r="AJ424" t="s">
        <v>77</v>
      </c>
      <c r="AK424" t="s">
        <v>5129</v>
      </c>
      <c r="AL424" t="s">
        <v>5130</v>
      </c>
      <c r="AM424" t="s">
        <v>5131</v>
      </c>
      <c r="AN424" t="s">
        <v>81</v>
      </c>
      <c r="AO424" t="s">
        <v>82</v>
      </c>
      <c r="AP424" t="s">
        <v>83</v>
      </c>
      <c r="AQ424">
        <v>2015</v>
      </c>
      <c r="AR424">
        <v>82284</v>
      </c>
      <c r="AS424">
        <v>5198867</v>
      </c>
      <c r="AT424">
        <v>163</v>
      </c>
      <c r="AU424" t="s">
        <v>84</v>
      </c>
      <c r="AV424">
        <v>562</v>
      </c>
      <c r="AW424" t="s">
        <v>85</v>
      </c>
      <c r="AX424" t="s">
        <v>86</v>
      </c>
      <c r="AY424">
        <v>562</v>
      </c>
      <c r="AZ424" t="s">
        <v>5132</v>
      </c>
      <c r="BA424" t="s">
        <v>88</v>
      </c>
    </row>
    <row r="425" spans="1:57" hidden="1" x14ac:dyDescent="0.2">
      <c r="A425" t="s">
        <v>5133</v>
      </c>
      <c r="B425" t="s">
        <v>5134</v>
      </c>
      <c r="C425" t="s">
        <v>5135</v>
      </c>
      <c r="D425" t="s">
        <v>5136</v>
      </c>
      <c r="E425" t="s">
        <v>5136</v>
      </c>
      <c r="G425" t="s">
        <v>56</v>
      </c>
      <c r="H425" t="s">
        <v>57</v>
      </c>
      <c r="I425" t="s">
        <v>93</v>
      </c>
      <c r="J425">
        <v>0</v>
      </c>
      <c r="K425" t="s">
        <v>5137</v>
      </c>
      <c r="L425" t="s">
        <v>5138</v>
      </c>
      <c r="M425" t="s">
        <v>7165</v>
      </c>
      <c r="N425" t="str">
        <f t="shared" si="4"/>
        <v>Meat</v>
      </c>
      <c r="O425" s="1" t="s">
        <v>183</v>
      </c>
      <c r="P425" t="s">
        <v>184</v>
      </c>
      <c r="Q425" s="1" t="s">
        <v>166</v>
      </c>
      <c r="R425" s="1" t="s">
        <v>250</v>
      </c>
      <c r="S425" s="1" t="s">
        <v>5139</v>
      </c>
      <c r="T425" s="1">
        <v>33</v>
      </c>
      <c r="U425" s="1">
        <v>1587</v>
      </c>
      <c r="V425" s="1" t="s">
        <v>5140</v>
      </c>
      <c r="W425" s="1">
        <v>7028471</v>
      </c>
      <c r="X425" t="s">
        <v>5141</v>
      </c>
      <c r="Y425" t="s">
        <v>5142</v>
      </c>
      <c r="AA425" t="s">
        <v>68</v>
      </c>
      <c r="AB425" t="s">
        <v>5143</v>
      </c>
      <c r="AC425" t="s">
        <v>5144</v>
      </c>
      <c r="AD425" t="s">
        <v>5145</v>
      </c>
      <c r="AE425" t="s">
        <v>5107</v>
      </c>
      <c r="AF425" t="s">
        <v>73</v>
      </c>
      <c r="AG425" t="s">
        <v>5146</v>
      </c>
      <c r="AH425" t="s">
        <v>2173</v>
      </c>
      <c r="AI425" t="s">
        <v>76</v>
      </c>
      <c r="AJ425" t="s">
        <v>77</v>
      </c>
      <c r="AK425" t="s">
        <v>5147</v>
      </c>
      <c r="AL425" t="s">
        <v>156</v>
      </c>
      <c r="AM425" t="s">
        <v>5148</v>
      </c>
      <c r="AN425" t="s">
        <v>158</v>
      </c>
      <c r="AO425" t="s">
        <v>159</v>
      </c>
      <c r="AP425" t="s">
        <v>83</v>
      </c>
      <c r="AQ425">
        <v>2015</v>
      </c>
      <c r="AR425">
        <v>101159</v>
      </c>
      <c r="AS425">
        <v>5431412</v>
      </c>
      <c r="AT425">
        <v>164</v>
      </c>
      <c r="AU425" t="s">
        <v>84</v>
      </c>
      <c r="AV425">
        <v>562</v>
      </c>
      <c r="AW425" t="s">
        <v>85</v>
      </c>
      <c r="AX425" t="s">
        <v>86</v>
      </c>
      <c r="AY425">
        <v>562</v>
      </c>
      <c r="AZ425" t="s">
        <v>5149</v>
      </c>
      <c r="BA425" t="s">
        <v>88</v>
      </c>
    </row>
    <row r="426" spans="1:57" hidden="1" x14ac:dyDescent="0.2">
      <c r="A426" t="s">
        <v>5150</v>
      </c>
      <c r="B426" t="s">
        <v>5151</v>
      </c>
      <c r="C426" t="s">
        <v>5152</v>
      </c>
      <c r="D426" t="s">
        <v>5153</v>
      </c>
      <c r="E426" t="s">
        <v>5153</v>
      </c>
      <c r="G426" t="s">
        <v>56</v>
      </c>
      <c r="H426" t="s">
        <v>57</v>
      </c>
      <c r="I426" t="s">
        <v>93</v>
      </c>
      <c r="J426">
        <v>0</v>
      </c>
      <c r="K426" t="s">
        <v>5154</v>
      </c>
      <c r="L426" t="s">
        <v>2384</v>
      </c>
      <c r="M426" t="s">
        <v>7165</v>
      </c>
      <c r="N426" t="str">
        <f t="shared" si="4"/>
        <v>Meat</v>
      </c>
      <c r="O426" s="1" t="s">
        <v>183</v>
      </c>
      <c r="P426" t="s">
        <v>538</v>
      </c>
      <c r="Q426" s="1" t="s">
        <v>166</v>
      </c>
      <c r="R426" s="1" t="s">
        <v>250</v>
      </c>
      <c r="S426" s="1" t="s">
        <v>5139</v>
      </c>
      <c r="T426" s="1">
        <v>33</v>
      </c>
      <c r="U426" s="1">
        <v>1587</v>
      </c>
      <c r="V426" s="1" t="s">
        <v>5155</v>
      </c>
      <c r="W426" s="1">
        <v>7255712</v>
      </c>
      <c r="X426" t="s">
        <v>5156</v>
      </c>
      <c r="Y426" t="s">
        <v>5157</v>
      </c>
      <c r="AA426" t="s">
        <v>68</v>
      </c>
      <c r="AB426" t="s">
        <v>5158</v>
      </c>
      <c r="AC426" t="s">
        <v>5159</v>
      </c>
      <c r="AD426" t="s">
        <v>5160</v>
      </c>
      <c r="AE426" t="s">
        <v>2669</v>
      </c>
      <c r="AF426" t="s">
        <v>73</v>
      </c>
      <c r="AG426" t="s">
        <v>5161</v>
      </c>
      <c r="AH426" t="s">
        <v>5162</v>
      </c>
      <c r="AI426" t="s">
        <v>76</v>
      </c>
      <c r="AJ426" t="s">
        <v>77</v>
      </c>
      <c r="AK426" t="s">
        <v>5163</v>
      </c>
      <c r="AL426" t="s">
        <v>5164</v>
      </c>
      <c r="AM426" t="s">
        <v>5165</v>
      </c>
      <c r="AN426" t="s">
        <v>81</v>
      </c>
      <c r="AO426" t="s">
        <v>82</v>
      </c>
      <c r="AP426" t="s">
        <v>83</v>
      </c>
      <c r="AQ426">
        <v>2015</v>
      </c>
      <c r="AR426">
        <v>94394</v>
      </c>
      <c r="AS426">
        <v>5449580</v>
      </c>
      <c r="AT426">
        <v>160</v>
      </c>
      <c r="AU426" t="s">
        <v>84</v>
      </c>
      <c r="AV426">
        <v>562</v>
      </c>
      <c r="AW426" t="s">
        <v>85</v>
      </c>
      <c r="AX426" t="s">
        <v>86</v>
      </c>
      <c r="AY426">
        <v>562</v>
      </c>
      <c r="AZ426" t="s">
        <v>5166</v>
      </c>
      <c r="BA426" t="s">
        <v>88</v>
      </c>
      <c r="BC426" t="s">
        <v>5167</v>
      </c>
      <c r="BD426">
        <v>1</v>
      </c>
    </row>
    <row r="427" spans="1:57" hidden="1" x14ac:dyDescent="0.2">
      <c r="A427" t="s">
        <v>5168</v>
      </c>
      <c r="B427" t="s">
        <v>5169</v>
      </c>
      <c r="C427" t="s">
        <v>5152</v>
      </c>
      <c r="D427" t="s">
        <v>5170</v>
      </c>
      <c r="E427" t="s">
        <v>5170</v>
      </c>
      <c r="G427" t="s">
        <v>56</v>
      </c>
      <c r="H427" t="s">
        <v>57</v>
      </c>
      <c r="I427" t="s">
        <v>93</v>
      </c>
      <c r="J427">
        <v>0</v>
      </c>
      <c r="K427" t="s">
        <v>5154</v>
      </c>
      <c r="L427" t="s">
        <v>2384</v>
      </c>
      <c r="M427" t="s">
        <v>7165</v>
      </c>
      <c r="N427" t="str">
        <f t="shared" si="4"/>
        <v>Meat</v>
      </c>
      <c r="O427" s="1" t="s">
        <v>183</v>
      </c>
      <c r="P427" t="s">
        <v>538</v>
      </c>
      <c r="Q427" s="1" t="s">
        <v>166</v>
      </c>
      <c r="R427" s="1" t="s">
        <v>250</v>
      </c>
      <c r="S427" s="1" t="s">
        <v>5139</v>
      </c>
      <c r="T427" s="1">
        <v>33</v>
      </c>
      <c r="U427" s="1">
        <v>1587</v>
      </c>
      <c r="V427" s="1" t="s">
        <v>5155</v>
      </c>
      <c r="W427" s="1">
        <v>7255712</v>
      </c>
      <c r="X427" t="s">
        <v>5171</v>
      </c>
      <c r="Y427" t="s">
        <v>5172</v>
      </c>
      <c r="AA427" t="s">
        <v>68</v>
      </c>
      <c r="AB427" t="s">
        <v>5173</v>
      </c>
      <c r="AC427" t="s">
        <v>5174</v>
      </c>
      <c r="AD427" t="s">
        <v>5175</v>
      </c>
      <c r="AE427" t="s">
        <v>2669</v>
      </c>
      <c r="AF427" t="s">
        <v>73</v>
      </c>
      <c r="AG427" t="s">
        <v>5176</v>
      </c>
      <c r="AH427" t="s">
        <v>5177</v>
      </c>
      <c r="AI427" t="s">
        <v>76</v>
      </c>
      <c r="AJ427" t="s">
        <v>77</v>
      </c>
      <c r="AK427" t="s">
        <v>5178</v>
      </c>
      <c r="AL427" t="s">
        <v>5164</v>
      </c>
      <c r="AM427" t="s">
        <v>5179</v>
      </c>
      <c r="AN427" t="s">
        <v>158</v>
      </c>
      <c r="AO427" t="s">
        <v>159</v>
      </c>
      <c r="AP427" t="s">
        <v>83</v>
      </c>
      <c r="AQ427">
        <v>2015</v>
      </c>
      <c r="AR427">
        <v>92691</v>
      </c>
      <c r="AS427">
        <v>5452245</v>
      </c>
      <c r="AT427">
        <v>155</v>
      </c>
      <c r="AU427" t="s">
        <v>84</v>
      </c>
      <c r="AV427">
        <v>562</v>
      </c>
      <c r="AW427" t="s">
        <v>85</v>
      </c>
      <c r="AX427" t="s">
        <v>86</v>
      </c>
      <c r="AY427">
        <v>562</v>
      </c>
      <c r="AZ427" t="s">
        <v>5180</v>
      </c>
      <c r="BA427" t="s">
        <v>88</v>
      </c>
      <c r="BC427" t="s">
        <v>5167</v>
      </c>
      <c r="BD427">
        <v>0</v>
      </c>
    </row>
    <row r="428" spans="1:57" hidden="1" x14ac:dyDescent="0.2">
      <c r="A428" t="s">
        <v>5181</v>
      </c>
      <c r="B428" t="s">
        <v>5182</v>
      </c>
      <c r="C428" t="s">
        <v>5152</v>
      </c>
      <c r="D428" t="s">
        <v>5183</v>
      </c>
      <c r="E428" t="s">
        <v>5183</v>
      </c>
      <c r="G428" t="s">
        <v>56</v>
      </c>
      <c r="H428" t="s">
        <v>57</v>
      </c>
      <c r="I428" t="s">
        <v>93</v>
      </c>
      <c r="J428">
        <v>0</v>
      </c>
      <c r="K428" t="s">
        <v>5154</v>
      </c>
      <c r="L428" t="s">
        <v>2384</v>
      </c>
      <c r="M428" t="s">
        <v>7165</v>
      </c>
      <c r="N428" t="str">
        <f t="shared" si="4"/>
        <v>Meat</v>
      </c>
      <c r="O428" s="1" t="s">
        <v>183</v>
      </c>
      <c r="P428" t="s">
        <v>538</v>
      </c>
      <c r="Q428" s="1" t="s">
        <v>166</v>
      </c>
      <c r="R428" s="1" t="s">
        <v>250</v>
      </c>
      <c r="S428" s="1" t="s">
        <v>5139</v>
      </c>
      <c r="T428" s="1">
        <v>33</v>
      </c>
      <c r="U428" s="1">
        <v>1587</v>
      </c>
      <c r="V428" s="1" t="s">
        <v>5155</v>
      </c>
      <c r="W428" s="1">
        <v>7255712</v>
      </c>
      <c r="X428" t="s">
        <v>5184</v>
      </c>
      <c r="Y428" t="s">
        <v>5185</v>
      </c>
      <c r="AA428" t="s">
        <v>68</v>
      </c>
      <c r="AB428" t="s">
        <v>5186</v>
      </c>
      <c r="AC428" t="s">
        <v>5187</v>
      </c>
      <c r="AD428" t="s">
        <v>5188</v>
      </c>
      <c r="AE428" t="s">
        <v>5189</v>
      </c>
      <c r="AF428" t="s">
        <v>73</v>
      </c>
      <c r="AG428" t="s">
        <v>5190</v>
      </c>
      <c r="AH428" t="s">
        <v>5162</v>
      </c>
      <c r="AI428" t="s">
        <v>76</v>
      </c>
      <c r="AJ428" t="s">
        <v>77</v>
      </c>
      <c r="AK428" t="s">
        <v>5163</v>
      </c>
      <c r="AL428" t="s">
        <v>5164</v>
      </c>
      <c r="AM428" t="s">
        <v>5165</v>
      </c>
      <c r="AN428" t="s">
        <v>81</v>
      </c>
      <c r="AO428" t="s">
        <v>82</v>
      </c>
      <c r="AP428" t="s">
        <v>83</v>
      </c>
      <c r="AQ428">
        <v>2015</v>
      </c>
      <c r="AR428">
        <v>134230</v>
      </c>
      <c r="AS428">
        <v>5446580</v>
      </c>
      <c r="AT428">
        <v>136</v>
      </c>
      <c r="AU428" t="s">
        <v>84</v>
      </c>
      <c r="AV428">
        <v>562</v>
      </c>
      <c r="AW428" t="s">
        <v>85</v>
      </c>
      <c r="AX428" t="s">
        <v>86</v>
      </c>
      <c r="AY428">
        <v>562</v>
      </c>
      <c r="AZ428" t="s">
        <v>5191</v>
      </c>
      <c r="BA428" t="s">
        <v>88</v>
      </c>
      <c r="BC428" t="s">
        <v>5167</v>
      </c>
      <c r="BD428">
        <v>0</v>
      </c>
    </row>
    <row r="429" spans="1:57" hidden="1" x14ac:dyDescent="0.2">
      <c r="A429" t="s">
        <v>5192</v>
      </c>
      <c r="B429" t="s">
        <v>5193</v>
      </c>
      <c r="C429" t="s">
        <v>5152</v>
      </c>
      <c r="D429" t="s">
        <v>5194</v>
      </c>
      <c r="E429" t="s">
        <v>5194</v>
      </c>
      <c r="G429" t="s">
        <v>56</v>
      </c>
      <c r="H429" t="s">
        <v>57</v>
      </c>
      <c r="I429" t="s">
        <v>93</v>
      </c>
      <c r="J429">
        <v>0</v>
      </c>
      <c r="K429" t="s">
        <v>5154</v>
      </c>
      <c r="L429" t="s">
        <v>2384</v>
      </c>
      <c r="M429" t="s">
        <v>7165</v>
      </c>
      <c r="N429" t="str">
        <f t="shared" si="4"/>
        <v>Meat</v>
      </c>
      <c r="O429" s="1" t="s">
        <v>183</v>
      </c>
      <c r="P429" t="s">
        <v>538</v>
      </c>
      <c r="Q429" s="1" t="s">
        <v>166</v>
      </c>
      <c r="R429" s="1" t="s">
        <v>250</v>
      </c>
      <c r="S429" s="1" t="s">
        <v>5139</v>
      </c>
      <c r="T429" s="1">
        <v>33</v>
      </c>
      <c r="U429" s="1">
        <v>1587</v>
      </c>
      <c r="V429" s="1" t="s">
        <v>5155</v>
      </c>
      <c r="W429" s="1">
        <v>7255712</v>
      </c>
      <c r="X429" t="s">
        <v>5195</v>
      </c>
      <c r="Y429" t="s">
        <v>5196</v>
      </c>
      <c r="AA429" t="s">
        <v>68</v>
      </c>
      <c r="AB429" t="s">
        <v>5197</v>
      </c>
      <c r="AC429" t="s">
        <v>5198</v>
      </c>
      <c r="AD429" t="s">
        <v>5199</v>
      </c>
      <c r="AE429" t="s">
        <v>2669</v>
      </c>
      <c r="AF429" t="s">
        <v>73</v>
      </c>
      <c r="AG429" t="s">
        <v>5200</v>
      </c>
      <c r="AH429" t="s">
        <v>5162</v>
      </c>
      <c r="AI429" t="s">
        <v>76</v>
      </c>
      <c r="AJ429" t="s">
        <v>77</v>
      </c>
      <c r="AK429" t="s">
        <v>5163</v>
      </c>
      <c r="AL429" t="s">
        <v>5201</v>
      </c>
      <c r="AM429" t="s">
        <v>5165</v>
      </c>
      <c r="AN429" t="s">
        <v>81</v>
      </c>
      <c r="AO429" t="s">
        <v>82</v>
      </c>
      <c r="AP429" t="s">
        <v>83</v>
      </c>
      <c r="AQ429">
        <v>2015</v>
      </c>
      <c r="AR429">
        <v>83339</v>
      </c>
      <c r="AS429">
        <v>5454203</v>
      </c>
      <c r="AT429">
        <v>172</v>
      </c>
      <c r="AU429" t="s">
        <v>84</v>
      </c>
      <c r="AV429">
        <v>562</v>
      </c>
      <c r="AW429" t="s">
        <v>85</v>
      </c>
      <c r="AX429" t="s">
        <v>86</v>
      </c>
      <c r="AY429">
        <v>562</v>
      </c>
      <c r="AZ429" t="s">
        <v>5202</v>
      </c>
      <c r="BA429" t="s">
        <v>88</v>
      </c>
      <c r="BC429" t="s">
        <v>5167</v>
      </c>
      <c r="BD429">
        <v>0</v>
      </c>
    </row>
    <row r="430" spans="1:57" hidden="1" x14ac:dyDescent="0.2">
      <c r="A430" t="s">
        <v>5203</v>
      </c>
      <c r="B430" t="s">
        <v>5204</v>
      </c>
      <c r="C430" t="s">
        <v>5152</v>
      </c>
      <c r="D430" t="s">
        <v>5205</v>
      </c>
      <c r="E430" t="s">
        <v>5205</v>
      </c>
      <c r="G430" t="s">
        <v>56</v>
      </c>
      <c r="H430" t="s">
        <v>57</v>
      </c>
      <c r="I430" t="s">
        <v>93</v>
      </c>
      <c r="J430">
        <v>0</v>
      </c>
      <c r="K430" t="s">
        <v>5154</v>
      </c>
      <c r="L430" t="s">
        <v>2384</v>
      </c>
      <c r="M430" t="s">
        <v>7165</v>
      </c>
      <c r="N430" t="str">
        <f t="shared" si="4"/>
        <v>Meat</v>
      </c>
      <c r="O430" s="1" t="s">
        <v>183</v>
      </c>
      <c r="P430" t="s">
        <v>538</v>
      </c>
      <c r="Q430" s="1" t="s">
        <v>166</v>
      </c>
      <c r="R430" s="1" t="s">
        <v>250</v>
      </c>
      <c r="S430" s="1" t="s">
        <v>5139</v>
      </c>
      <c r="T430" s="1">
        <v>33</v>
      </c>
      <c r="U430" s="1">
        <v>1587</v>
      </c>
      <c r="V430" s="1" t="s">
        <v>5155</v>
      </c>
      <c r="W430" s="1">
        <v>7255712</v>
      </c>
      <c r="X430" t="s">
        <v>5206</v>
      </c>
      <c r="Y430" t="s">
        <v>5207</v>
      </c>
      <c r="AA430" t="s">
        <v>68</v>
      </c>
      <c r="AB430" t="s">
        <v>5208</v>
      </c>
      <c r="AC430" t="s">
        <v>5209</v>
      </c>
      <c r="AD430" t="s">
        <v>5210</v>
      </c>
      <c r="AE430" t="s">
        <v>2669</v>
      </c>
      <c r="AF430" t="s">
        <v>73</v>
      </c>
      <c r="AG430" t="s">
        <v>5211</v>
      </c>
      <c r="AH430" t="s">
        <v>5162</v>
      </c>
      <c r="AI430" t="s">
        <v>76</v>
      </c>
      <c r="AJ430" t="s">
        <v>77</v>
      </c>
      <c r="AK430" t="s">
        <v>5163</v>
      </c>
      <c r="AL430" t="s">
        <v>5164</v>
      </c>
      <c r="AM430" t="s">
        <v>5165</v>
      </c>
      <c r="AN430" t="s">
        <v>81</v>
      </c>
      <c r="AO430" t="s">
        <v>82</v>
      </c>
      <c r="AP430" t="s">
        <v>83</v>
      </c>
      <c r="AQ430">
        <v>2015</v>
      </c>
      <c r="AR430">
        <v>119275</v>
      </c>
      <c r="AS430">
        <v>5455746</v>
      </c>
      <c r="AT430">
        <v>132</v>
      </c>
      <c r="AU430" t="s">
        <v>84</v>
      </c>
      <c r="AV430">
        <v>562</v>
      </c>
      <c r="AW430" t="s">
        <v>85</v>
      </c>
      <c r="AX430" t="s">
        <v>86</v>
      </c>
      <c r="AY430">
        <v>562</v>
      </c>
      <c r="AZ430" t="s">
        <v>5212</v>
      </c>
      <c r="BA430" t="s">
        <v>88</v>
      </c>
      <c r="BC430" t="s">
        <v>5167</v>
      </c>
      <c r="BD430">
        <v>0</v>
      </c>
    </row>
    <row r="431" spans="1:57" hidden="1" x14ac:dyDescent="0.2">
      <c r="A431" t="s">
        <v>5213</v>
      </c>
      <c r="B431" t="s">
        <v>5214</v>
      </c>
      <c r="C431" t="s">
        <v>5215</v>
      </c>
      <c r="D431" t="s">
        <v>5216</v>
      </c>
      <c r="E431" t="s">
        <v>5216</v>
      </c>
      <c r="G431" t="s">
        <v>56</v>
      </c>
      <c r="H431" t="s">
        <v>57</v>
      </c>
      <c r="I431" t="s">
        <v>93</v>
      </c>
      <c r="J431">
        <v>0</v>
      </c>
      <c r="K431" t="s">
        <v>2384</v>
      </c>
      <c r="L431" t="s">
        <v>2384</v>
      </c>
      <c r="M431" t="s">
        <v>7165</v>
      </c>
      <c r="N431" t="str">
        <f t="shared" si="4"/>
        <v>Meat</v>
      </c>
      <c r="O431" s="1" t="s">
        <v>5217</v>
      </c>
      <c r="P431" t="s">
        <v>5218</v>
      </c>
      <c r="Q431" s="1" t="s">
        <v>166</v>
      </c>
      <c r="R431" s="1" t="s">
        <v>250</v>
      </c>
      <c r="S431" s="1" t="s">
        <v>5139</v>
      </c>
      <c r="T431" s="1">
        <v>5285</v>
      </c>
      <c r="U431" s="1">
        <v>101475</v>
      </c>
      <c r="V431" s="1" t="s">
        <v>169</v>
      </c>
      <c r="W431" s="1">
        <v>7448959</v>
      </c>
      <c r="X431" t="s">
        <v>5219</v>
      </c>
      <c r="Y431" t="s">
        <v>5220</v>
      </c>
      <c r="AA431" t="s">
        <v>68</v>
      </c>
      <c r="AB431" t="s">
        <v>5221</v>
      </c>
      <c r="AC431" t="s">
        <v>5222</v>
      </c>
      <c r="AD431" t="s">
        <v>5223</v>
      </c>
      <c r="AE431" t="s">
        <v>5107</v>
      </c>
      <c r="AF431" t="s">
        <v>73</v>
      </c>
      <c r="AG431" t="s">
        <v>5224</v>
      </c>
      <c r="AH431" t="s">
        <v>75</v>
      </c>
      <c r="AI431" t="s">
        <v>76</v>
      </c>
      <c r="AJ431" t="s">
        <v>77</v>
      </c>
      <c r="AK431" t="s">
        <v>5225</v>
      </c>
      <c r="AL431" t="s">
        <v>156</v>
      </c>
      <c r="AM431" t="s">
        <v>80</v>
      </c>
      <c r="AN431" t="s">
        <v>81</v>
      </c>
      <c r="AO431" t="s">
        <v>82</v>
      </c>
      <c r="AP431" t="s">
        <v>83</v>
      </c>
      <c r="AQ431">
        <v>2015</v>
      </c>
      <c r="AR431">
        <v>102831</v>
      </c>
      <c r="AS431">
        <v>4909808</v>
      </c>
      <c r="AT431">
        <v>123</v>
      </c>
      <c r="AU431" t="s">
        <v>84</v>
      </c>
      <c r="AV431">
        <v>562</v>
      </c>
      <c r="AW431" t="s">
        <v>85</v>
      </c>
      <c r="AX431" t="s">
        <v>86</v>
      </c>
      <c r="AY431">
        <v>562</v>
      </c>
      <c r="AZ431" t="s">
        <v>5226</v>
      </c>
      <c r="BA431" t="s">
        <v>88</v>
      </c>
    </row>
    <row r="432" spans="1:57" hidden="1" x14ac:dyDescent="0.2">
      <c r="A432" t="s">
        <v>5227</v>
      </c>
      <c r="B432" t="s">
        <v>5228</v>
      </c>
      <c r="C432" t="s">
        <v>5229</v>
      </c>
      <c r="D432" t="s">
        <v>5230</v>
      </c>
      <c r="E432" t="s">
        <v>5230</v>
      </c>
      <c r="F432" t="s">
        <v>2035</v>
      </c>
      <c r="G432" t="s">
        <v>56</v>
      </c>
      <c r="H432" t="s">
        <v>57</v>
      </c>
      <c r="I432" t="s">
        <v>93</v>
      </c>
      <c r="J432">
        <v>0</v>
      </c>
      <c r="K432" t="s">
        <v>5041</v>
      </c>
      <c r="L432" t="s">
        <v>5041</v>
      </c>
      <c r="M432" t="s">
        <v>7165</v>
      </c>
      <c r="N432" t="str">
        <f t="shared" si="4"/>
        <v>Meat</v>
      </c>
      <c r="O432" s="1" t="s">
        <v>5231</v>
      </c>
      <c r="P432" t="s">
        <v>5232</v>
      </c>
      <c r="Q432" s="1" t="s">
        <v>144</v>
      </c>
      <c r="R432" s="1" t="s">
        <v>4318</v>
      </c>
      <c r="S432" s="1" t="s">
        <v>4319</v>
      </c>
      <c r="T432" s="1">
        <v>5133</v>
      </c>
      <c r="U432" s="1">
        <v>93573</v>
      </c>
      <c r="V432" s="1" t="s">
        <v>169</v>
      </c>
      <c r="W432" s="1">
        <v>7448959</v>
      </c>
      <c r="X432" t="s">
        <v>5233</v>
      </c>
      <c r="Y432" t="s">
        <v>5234</v>
      </c>
      <c r="AA432" t="s">
        <v>68</v>
      </c>
      <c r="AB432" t="s">
        <v>5235</v>
      </c>
      <c r="AC432" t="s">
        <v>5236</v>
      </c>
      <c r="AD432" t="s">
        <v>5237</v>
      </c>
      <c r="AE432" t="s">
        <v>5189</v>
      </c>
      <c r="AF432" t="s">
        <v>73</v>
      </c>
      <c r="AG432" t="s">
        <v>5238</v>
      </c>
      <c r="AH432" t="s">
        <v>3341</v>
      </c>
      <c r="AI432" t="s">
        <v>76</v>
      </c>
      <c r="AJ432" t="s">
        <v>77</v>
      </c>
      <c r="AK432" t="s">
        <v>5239</v>
      </c>
      <c r="AL432" t="s">
        <v>5240</v>
      </c>
      <c r="AM432" t="s">
        <v>5241</v>
      </c>
      <c r="AN432" t="s">
        <v>81</v>
      </c>
      <c r="AO432" t="s">
        <v>82</v>
      </c>
      <c r="AP432" t="s">
        <v>83</v>
      </c>
      <c r="AQ432">
        <v>2015</v>
      </c>
      <c r="AR432">
        <v>61890</v>
      </c>
      <c r="AS432">
        <v>5094331</v>
      </c>
      <c r="AT432">
        <v>174</v>
      </c>
      <c r="AU432" t="s">
        <v>84</v>
      </c>
      <c r="AV432">
        <v>562</v>
      </c>
      <c r="AW432" t="s">
        <v>85</v>
      </c>
      <c r="AX432" t="s">
        <v>86</v>
      </c>
      <c r="AY432">
        <v>562</v>
      </c>
      <c r="AZ432" t="s">
        <v>5242</v>
      </c>
      <c r="BA432" t="s">
        <v>88</v>
      </c>
    </row>
    <row r="433" spans="1:56" hidden="1" x14ac:dyDescent="0.2">
      <c r="A433" t="s">
        <v>5243</v>
      </c>
      <c r="B433" t="s">
        <v>5244</v>
      </c>
      <c r="C433" t="s">
        <v>5245</v>
      </c>
      <c r="D433" t="s">
        <v>5246</v>
      </c>
      <c r="E433" t="s">
        <v>5246</v>
      </c>
      <c r="G433" t="s">
        <v>56</v>
      </c>
      <c r="H433" t="s">
        <v>57</v>
      </c>
      <c r="I433" t="s">
        <v>93</v>
      </c>
      <c r="J433">
        <v>0</v>
      </c>
      <c r="K433" t="s">
        <v>5247</v>
      </c>
      <c r="L433" t="s">
        <v>5041</v>
      </c>
      <c r="M433" t="s">
        <v>7165</v>
      </c>
      <c r="N433" t="str">
        <f t="shared" si="4"/>
        <v>Meat</v>
      </c>
      <c r="O433" s="1" t="s">
        <v>183</v>
      </c>
      <c r="P433" t="s">
        <v>184</v>
      </c>
      <c r="Q433" s="1" t="s">
        <v>166</v>
      </c>
      <c r="R433" s="1" t="s">
        <v>250</v>
      </c>
      <c r="S433" s="1" t="s">
        <v>5139</v>
      </c>
      <c r="T433" s="1">
        <v>33</v>
      </c>
      <c r="U433" s="1">
        <v>101477</v>
      </c>
      <c r="V433" s="1" t="s">
        <v>5248</v>
      </c>
      <c r="W433" s="1" t="s">
        <v>170</v>
      </c>
      <c r="X433" t="s">
        <v>5249</v>
      </c>
      <c r="Y433" t="s">
        <v>5250</v>
      </c>
      <c r="AA433" t="s">
        <v>68</v>
      </c>
      <c r="AB433" t="s">
        <v>5251</v>
      </c>
      <c r="AC433" t="s">
        <v>5252</v>
      </c>
      <c r="AD433" t="s">
        <v>5253</v>
      </c>
      <c r="AE433" t="s">
        <v>2390</v>
      </c>
      <c r="AF433" t="s">
        <v>73</v>
      </c>
      <c r="AG433" t="s">
        <v>5254</v>
      </c>
      <c r="AH433" t="s">
        <v>5255</v>
      </c>
      <c r="AI433" t="s">
        <v>76</v>
      </c>
      <c r="AJ433" t="s">
        <v>77</v>
      </c>
      <c r="AK433" t="s">
        <v>5178</v>
      </c>
      <c r="AL433" t="s">
        <v>156</v>
      </c>
      <c r="AM433" t="s">
        <v>5256</v>
      </c>
      <c r="AN433" t="s">
        <v>158</v>
      </c>
      <c r="AO433" t="s">
        <v>159</v>
      </c>
      <c r="AP433" t="s">
        <v>83</v>
      </c>
      <c r="AQ433">
        <v>2015</v>
      </c>
      <c r="AR433">
        <v>125587</v>
      </c>
      <c r="AS433">
        <v>5438046</v>
      </c>
      <c r="AT433">
        <v>133</v>
      </c>
      <c r="AU433" t="s">
        <v>84</v>
      </c>
      <c r="AV433">
        <v>562</v>
      </c>
      <c r="AW433" t="s">
        <v>85</v>
      </c>
      <c r="AX433" t="s">
        <v>86</v>
      </c>
      <c r="AY433">
        <v>562</v>
      </c>
      <c r="AZ433" t="s">
        <v>5257</v>
      </c>
      <c r="BA433" t="s">
        <v>88</v>
      </c>
    </row>
    <row r="434" spans="1:56" hidden="1" x14ac:dyDescent="0.2">
      <c r="A434" t="s">
        <v>5258</v>
      </c>
      <c r="B434" t="s">
        <v>5259</v>
      </c>
      <c r="C434" t="s">
        <v>5260</v>
      </c>
      <c r="D434" t="s">
        <v>5261</v>
      </c>
      <c r="E434" t="s">
        <v>5261</v>
      </c>
      <c r="G434" t="s">
        <v>56</v>
      </c>
      <c r="H434" t="s">
        <v>57</v>
      </c>
      <c r="I434" t="s">
        <v>93</v>
      </c>
      <c r="J434">
        <v>0</v>
      </c>
      <c r="K434" t="s">
        <v>2384</v>
      </c>
      <c r="L434" t="s">
        <v>2384</v>
      </c>
      <c r="M434" t="s">
        <v>7165</v>
      </c>
      <c r="N434" t="str">
        <f t="shared" si="4"/>
        <v>Meat</v>
      </c>
      <c r="O434" s="1" t="s">
        <v>3210</v>
      </c>
      <c r="P434" t="s">
        <v>3211</v>
      </c>
      <c r="Q434" s="1" t="s">
        <v>144</v>
      </c>
      <c r="R434" s="1" t="s">
        <v>64</v>
      </c>
      <c r="S434" s="1" t="s">
        <v>675</v>
      </c>
      <c r="T434" s="1">
        <v>6118</v>
      </c>
      <c r="U434" s="1">
        <v>35267</v>
      </c>
      <c r="V434" s="1" t="s">
        <v>169</v>
      </c>
      <c r="W434" s="1">
        <v>7706011</v>
      </c>
      <c r="X434" t="s">
        <v>5262</v>
      </c>
      <c r="Y434" t="s">
        <v>5263</v>
      </c>
      <c r="AA434" t="s">
        <v>68</v>
      </c>
      <c r="AB434" t="s">
        <v>5264</v>
      </c>
      <c r="AC434" t="s">
        <v>5265</v>
      </c>
      <c r="AD434" t="s">
        <v>5266</v>
      </c>
      <c r="AE434" t="s">
        <v>2493</v>
      </c>
      <c r="AF434" t="s">
        <v>73</v>
      </c>
      <c r="AG434" t="s">
        <v>5267</v>
      </c>
      <c r="AH434" t="s">
        <v>75</v>
      </c>
      <c r="AI434" t="s">
        <v>76</v>
      </c>
      <c r="AJ434" t="s">
        <v>77</v>
      </c>
      <c r="AK434" t="s">
        <v>5268</v>
      </c>
      <c r="AL434" t="s">
        <v>156</v>
      </c>
      <c r="AM434" t="s">
        <v>5269</v>
      </c>
      <c r="AN434" t="s">
        <v>81</v>
      </c>
      <c r="AO434" t="s">
        <v>82</v>
      </c>
      <c r="AP434" t="s">
        <v>83</v>
      </c>
      <c r="AQ434">
        <v>2015</v>
      </c>
      <c r="AR434">
        <v>111467</v>
      </c>
      <c r="AS434">
        <v>5389280</v>
      </c>
      <c r="AT434">
        <v>220</v>
      </c>
      <c r="AU434" t="s">
        <v>84</v>
      </c>
      <c r="AV434">
        <v>562</v>
      </c>
      <c r="AW434" t="s">
        <v>85</v>
      </c>
      <c r="AX434" t="s">
        <v>86</v>
      </c>
      <c r="AY434">
        <v>562</v>
      </c>
      <c r="AZ434" t="s">
        <v>5270</v>
      </c>
      <c r="BA434" t="s">
        <v>88</v>
      </c>
      <c r="BC434" t="s">
        <v>5271</v>
      </c>
      <c r="BD434">
        <v>0</v>
      </c>
    </row>
    <row r="435" spans="1:56" hidden="1" x14ac:dyDescent="0.2">
      <c r="A435" t="s">
        <v>5272</v>
      </c>
      <c r="B435" t="s">
        <v>5273</v>
      </c>
      <c r="C435" t="s">
        <v>5260</v>
      </c>
      <c r="D435" t="s">
        <v>5274</v>
      </c>
      <c r="E435" t="s">
        <v>5274</v>
      </c>
      <c r="G435" t="s">
        <v>56</v>
      </c>
      <c r="H435" t="s">
        <v>57</v>
      </c>
      <c r="I435" t="s">
        <v>93</v>
      </c>
      <c r="J435">
        <v>0</v>
      </c>
      <c r="K435" t="s">
        <v>2384</v>
      </c>
      <c r="L435" t="s">
        <v>2384</v>
      </c>
      <c r="M435" t="s">
        <v>7165</v>
      </c>
      <c r="N435" t="str">
        <f t="shared" si="4"/>
        <v>Meat</v>
      </c>
      <c r="O435" s="1" t="s">
        <v>3210</v>
      </c>
      <c r="P435" t="s">
        <v>3211</v>
      </c>
      <c r="Q435" s="1" t="s">
        <v>144</v>
      </c>
      <c r="R435" s="1" t="s">
        <v>64</v>
      </c>
      <c r="S435" s="1" t="s">
        <v>675</v>
      </c>
      <c r="T435" s="1">
        <v>6118</v>
      </c>
      <c r="U435" s="1">
        <v>35267</v>
      </c>
      <c r="V435" s="1" t="s">
        <v>169</v>
      </c>
      <c r="W435" s="1">
        <v>7706011</v>
      </c>
      <c r="X435" t="s">
        <v>5275</v>
      </c>
      <c r="Y435" t="s">
        <v>5276</v>
      </c>
      <c r="AA435" t="s">
        <v>68</v>
      </c>
      <c r="AB435" t="s">
        <v>5277</v>
      </c>
      <c r="AC435" t="s">
        <v>5278</v>
      </c>
      <c r="AD435" t="s">
        <v>5279</v>
      </c>
      <c r="AE435" t="s">
        <v>2390</v>
      </c>
      <c r="AF435" t="s">
        <v>73</v>
      </c>
      <c r="AG435" t="s">
        <v>5280</v>
      </c>
      <c r="AH435" t="s">
        <v>75</v>
      </c>
      <c r="AI435" t="s">
        <v>76</v>
      </c>
      <c r="AJ435" t="s">
        <v>77</v>
      </c>
      <c r="AK435" t="s">
        <v>5268</v>
      </c>
      <c r="AL435" t="s">
        <v>156</v>
      </c>
      <c r="AM435" t="s">
        <v>5269</v>
      </c>
      <c r="AN435" t="s">
        <v>81</v>
      </c>
      <c r="AO435" t="s">
        <v>82</v>
      </c>
      <c r="AP435" t="s">
        <v>83</v>
      </c>
      <c r="AQ435">
        <v>2015</v>
      </c>
      <c r="AR435">
        <v>80407</v>
      </c>
      <c r="AS435">
        <v>5385900</v>
      </c>
      <c r="AT435">
        <v>233</v>
      </c>
      <c r="AU435" t="s">
        <v>84</v>
      </c>
      <c r="AV435">
        <v>562</v>
      </c>
      <c r="AW435" t="s">
        <v>85</v>
      </c>
      <c r="AX435" t="s">
        <v>86</v>
      </c>
      <c r="AY435">
        <v>562</v>
      </c>
      <c r="AZ435" t="s">
        <v>5281</v>
      </c>
      <c r="BA435" t="s">
        <v>88</v>
      </c>
      <c r="BC435" t="s">
        <v>5271</v>
      </c>
      <c r="BD435">
        <v>0</v>
      </c>
    </row>
    <row r="436" spans="1:56" hidden="1" x14ac:dyDescent="0.2">
      <c r="A436" t="s">
        <v>5282</v>
      </c>
      <c r="B436" t="s">
        <v>5283</v>
      </c>
      <c r="C436" t="s">
        <v>5260</v>
      </c>
      <c r="D436" t="s">
        <v>5284</v>
      </c>
      <c r="E436" t="s">
        <v>5284</v>
      </c>
      <c r="G436" t="s">
        <v>56</v>
      </c>
      <c r="H436" t="s">
        <v>57</v>
      </c>
      <c r="I436" t="s">
        <v>93</v>
      </c>
      <c r="J436">
        <v>0</v>
      </c>
      <c r="K436" t="s">
        <v>2384</v>
      </c>
      <c r="L436" t="s">
        <v>2384</v>
      </c>
      <c r="M436" t="s">
        <v>7165</v>
      </c>
      <c r="N436" t="str">
        <f t="shared" si="4"/>
        <v>Meat</v>
      </c>
      <c r="O436" s="1" t="s">
        <v>3210</v>
      </c>
      <c r="P436" t="s">
        <v>3211</v>
      </c>
      <c r="Q436" s="1" t="s">
        <v>144</v>
      </c>
      <c r="R436" s="1" t="s">
        <v>64</v>
      </c>
      <c r="S436" s="1" t="s">
        <v>675</v>
      </c>
      <c r="T436" s="1">
        <v>6118</v>
      </c>
      <c r="U436" s="1">
        <v>35267</v>
      </c>
      <c r="V436" s="1" t="s">
        <v>169</v>
      </c>
      <c r="W436" s="1">
        <v>7706011</v>
      </c>
      <c r="X436" t="s">
        <v>5285</v>
      </c>
      <c r="Y436" t="s">
        <v>5286</v>
      </c>
      <c r="AA436" t="s">
        <v>68</v>
      </c>
      <c r="AB436" t="s">
        <v>5287</v>
      </c>
      <c r="AC436" t="s">
        <v>5288</v>
      </c>
      <c r="AD436" t="s">
        <v>5289</v>
      </c>
      <c r="AE436" t="s">
        <v>2493</v>
      </c>
      <c r="AF436" t="s">
        <v>73</v>
      </c>
      <c r="AG436" t="s">
        <v>5290</v>
      </c>
      <c r="AH436" t="s">
        <v>75</v>
      </c>
      <c r="AI436" t="s">
        <v>76</v>
      </c>
      <c r="AJ436" t="s">
        <v>77</v>
      </c>
      <c r="AK436" t="s">
        <v>5291</v>
      </c>
      <c r="AL436" t="s">
        <v>156</v>
      </c>
      <c r="AM436" t="s">
        <v>5269</v>
      </c>
      <c r="AN436" t="s">
        <v>81</v>
      </c>
      <c r="AO436" t="s">
        <v>82</v>
      </c>
      <c r="AP436" t="s">
        <v>83</v>
      </c>
      <c r="AQ436">
        <v>2015</v>
      </c>
      <c r="AR436">
        <v>113344</v>
      </c>
      <c r="AS436">
        <v>5383870</v>
      </c>
      <c r="AT436">
        <v>213</v>
      </c>
      <c r="AU436" t="s">
        <v>84</v>
      </c>
      <c r="AV436">
        <v>562</v>
      </c>
      <c r="AW436" t="s">
        <v>85</v>
      </c>
      <c r="AX436" t="s">
        <v>86</v>
      </c>
      <c r="AY436">
        <v>562</v>
      </c>
      <c r="AZ436" t="s">
        <v>5292</v>
      </c>
      <c r="BA436" t="s">
        <v>88</v>
      </c>
      <c r="BC436" t="s">
        <v>5271</v>
      </c>
      <c r="BD436">
        <v>1</v>
      </c>
    </row>
    <row r="437" spans="1:56" hidden="1" x14ac:dyDescent="0.2">
      <c r="A437" t="s">
        <v>5293</v>
      </c>
      <c r="B437" t="s">
        <v>5294</v>
      </c>
      <c r="C437" t="s">
        <v>5295</v>
      </c>
      <c r="D437" t="s">
        <v>5296</v>
      </c>
      <c r="E437" t="s">
        <v>5296</v>
      </c>
      <c r="G437" t="s">
        <v>56</v>
      </c>
      <c r="H437" t="s">
        <v>57</v>
      </c>
      <c r="I437" t="s">
        <v>93</v>
      </c>
      <c r="J437">
        <v>0</v>
      </c>
      <c r="K437" t="s">
        <v>5154</v>
      </c>
      <c r="L437" t="s">
        <v>2384</v>
      </c>
      <c r="M437" t="s">
        <v>7165</v>
      </c>
      <c r="N437" t="str">
        <f t="shared" si="4"/>
        <v>Meat</v>
      </c>
      <c r="O437" s="1" t="s">
        <v>183</v>
      </c>
      <c r="P437" t="s">
        <v>184</v>
      </c>
      <c r="Q437" s="1" t="s">
        <v>166</v>
      </c>
      <c r="R437" s="1" t="s">
        <v>250</v>
      </c>
      <c r="S437" s="1" t="s">
        <v>5139</v>
      </c>
      <c r="T437" s="1">
        <v>33</v>
      </c>
      <c r="U437" s="1">
        <v>59323</v>
      </c>
      <c r="V437" s="1" t="s">
        <v>2277</v>
      </c>
      <c r="W437" s="1">
        <v>7760650</v>
      </c>
      <c r="X437" t="s">
        <v>5297</v>
      </c>
      <c r="Y437" t="s">
        <v>5298</v>
      </c>
      <c r="AA437" t="s">
        <v>68</v>
      </c>
      <c r="AB437" t="s">
        <v>5299</v>
      </c>
      <c r="AC437" t="s">
        <v>5300</v>
      </c>
      <c r="AD437" t="s">
        <v>5301</v>
      </c>
      <c r="AE437" t="s">
        <v>5107</v>
      </c>
      <c r="AF437" t="s">
        <v>73</v>
      </c>
      <c r="AG437" t="s">
        <v>5302</v>
      </c>
      <c r="AH437" t="s">
        <v>2173</v>
      </c>
      <c r="AI437" t="s">
        <v>76</v>
      </c>
      <c r="AJ437" t="s">
        <v>77</v>
      </c>
      <c r="AK437" t="s">
        <v>5178</v>
      </c>
      <c r="AL437" t="s">
        <v>156</v>
      </c>
      <c r="AM437" t="s">
        <v>5148</v>
      </c>
      <c r="AN437" t="s">
        <v>158</v>
      </c>
      <c r="AO437" t="s">
        <v>159</v>
      </c>
      <c r="AP437" t="s">
        <v>83</v>
      </c>
      <c r="AQ437">
        <v>2015</v>
      </c>
      <c r="AR437">
        <v>168723</v>
      </c>
      <c r="AS437">
        <v>5324799</v>
      </c>
      <c r="AT437">
        <v>152</v>
      </c>
      <c r="AU437" t="s">
        <v>84</v>
      </c>
      <c r="AV437">
        <v>562</v>
      </c>
      <c r="AW437" t="s">
        <v>85</v>
      </c>
      <c r="AX437" t="s">
        <v>86</v>
      </c>
      <c r="AY437">
        <v>562</v>
      </c>
      <c r="AZ437" t="s">
        <v>5303</v>
      </c>
      <c r="BA437" t="s">
        <v>88</v>
      </c>
    </row>
    <row r="438" spans="1:56" hidden="1" x14ac:dyDescent="0.2">
      <c r="A438" t="s">
        <v>5304</v>
      </c>
      <c r="B438" t="s">
        <v>5305</v>
      </c>
      <c r="C438" t="s">
        <v>5306</v>
      </c>
      <c r="D438" t="s">
        <v>5307</v>
      </c>
      <c r="E438" t="s">
        <v>5307</v>
      </c>
      <c r="G438" t="s">
        <v>56</v>
      </c>
      <c r="H438" t="s">
        <v>57</v>
      </c>
      <c r="I438" t="s">
        <v>93</v>
      </c>
      <c r="J438">
        <v>0</v>
      </c>
      <c r="K438" t="s">
        <v>2384</v>
      </c>
      <c r="L438" t="s">
        <v>2384</v>
      </c>
      <c r="M438" t="s">
        <v>7165</v>
      </c>
      <c r="N438" t="str">
        <f t="shared" si="4"/>
        <v>Meat</v>
      </c>
      <c r="O438" s="1" t="s">
        <v>5217</v>
      </c>
      <c r="P438" t="s">
        <v>5308</v>
      </c>
      <c r="Q438" s="1" t="s">
        <v>166</v>
      </c>
      <c r="R438" s="1" t="s">
        <v>250</v>
      </c>
      <c r="S438" s="1" t="s">
        <v>5139</v>
      </c>
      <c r="T438" s="1">
        <v>8821</v>
      </c>
      <c r="U438" s="1">
        <v>72002</v>
      </c>
      <c r="V438" s="1" t="s">
        <v>5309</v>
      </c>
      <c r="W438" s="1" t="s">
        <v>170</v>
      </c>
      <c r="X438" t="s">
        <v>5310</v>
      </c>
      <c r="Y438" t="s">
        <v>3450</v>
      </c>
      <c r="Z438" t="s">
        <v>3450</v>
      </c>
      <c r="AA438" t="s">
        <v>68</v>
      </c>
      <c r="AB438" t="s">
        <v>5311</v>
      </c>
      <c r="AC438" t="s">
        <v>5312</v>
      </c>
      <c r="AD438" t="s">
        <v>5313</v>
      </c>
      <c r="AE438" t="s">
        <v>5107</v>
      </c>
      <c r="AF438" t="s">
        <v>73</v>
      </c>
      <c r="AH438" t="s">
        <v>5314</v>
      </c>
      <c r="AI438" t="s">
        <v>76</v>
      </c>
      <c r="AJ438" t="s">
        <v>77</v>
      </c>
      <c r="AK438" t="s">
        <v>5315</v>
      </c>
      <c r="AL438" t="s">
        <v>156</v>
      </c>
      <c r="AM438" t="s">
        <v>5316</v>
      </c>
      <c r="AN438" t="s">
        <v>81</v>
      </c>
      <c r="AO438" t="s">
        <v>82</v>
      </c>
      <c r="AP438" t="s">
        <v>3457</v>
      </c>
      <c r="AQ438">
        <v>2015</v>
      </c>
      <c r="AR438">
        <v>84533</v>
      </c>
      <c r="AS438">
        <v>5017702</v>
      </c>
      <c r="AT438">
        <v>134</v>
      </c>
      <c r="AU438" t="s">
        <v>84</v>
      </c>
      <c r="AV438">
        <v>562</v>
      </c>
      <c r="AY438">
        <v>562</v>
      </c>
      <c r="BA438" t="s">
        <v>88</v>
      </c>
    </row>
    <row r="439" spans="1:56" hidden="1" x14ac:dyDescent="0.2">
      <c r="A439" t="s">
        <v>5317</v>
      </c>
      <c r="B439" t="s">
        <v>5318</v>
      </c>
      <c r="C439" t="s">
        <v>5319</v>
      </c>
      <c r="D439" t="s">
        <v>5320</v>
      </c>
      <c r="E439" t="s">
        <v>5320</v>
      </c>
      <c r="G439" t="s">
        <v>56</v>
      </c>
      <c r="H439" t="s">
        <v>57</v>
      </c>
      <c r="I439" t="s">
        <v>93</v>
      </c>
      <c r="J439">
        <v>0</v>
      </c>
      <c r="K439" t="s">
        <v>5321</v>
      </c>
      <c r="L439" t="s">
        <v>5321</v>
      </c>
      <c r="M439" t="s">
        <v>7165</v>
      </c>
      <c r="N439" t="str">
        <f t="shared" si="4"/>
        <v>Meat</v>
      </c>
      <c r="O439" s="1" t="s">
        <v>5322</v>
      </c>
      <c r="P439" t="s">
        <v>5323</v>
      </c>
      <c r="Q439" s="1" t="s">
        <v>166</v>
      </c>
      <c r="R439" s="1" t="s">
        <v>250</v>
      </c>
      <c r="S439" s="1" t="s">
        <v>5139</v>
      </c>
      <c r="T439" s="1">
        <v>10</v>
      </c>
      <c r="U439" s="1">
        <v>2010</v>
      </c>
      <c r="V439" s="1" t="s">
        <v>5324</v>
      </c>
      <c r="W439" s="1">
        <v>7998305</v>
      </c>
      <c r="X439" t="s">
        <v>5325</v>
      </c>
      <c r="Y439" t="s">
        <v>3450</v>
      </c>
      <c r="Z439" t="s">
        <v>3450</v>
      </c>
      <c r="AA439" t="s">
        <v>68</v>
      </c>
      <c r="AB439" t="s">
        <v>5326</v>
      </c>
      <c r="AC439" t="s">
        <v>5327</v>
      </c>
      <c r="AD439" t="s">
        <v>5328</v>
      </c>
      <c r="AE439" t="s">
        <v>642</v>
      </c>
      <c r="AF439" t="s">
        <v>73</v>
      </c>
      <c r="AH439" t="s">
        <v>5329</v>
      </c>
      <c r="AI439" t="s">
        <v>76</v>
      </c>
      <c r="AJ439" t="s">
        <v>77</v>
      </c>
      <c r="AK439" t="s">
        <v>5330</v>
      </c>
      <c r="AL439" t="s">
        <v>5331</v>
      </c>
      <c r="AM439" t="s">
        <v>5332</v>
      </c>
      <c r="AN439" t="s">
        <v>81</v>
      </c>
      <c r="AO439" t="s">
        <v>82</v>
      </c>
      <c r="AP439" t="s">
        <v>3457</v>
      </c>
      <c r="AQ439">
        <v>2016</v>
      </c>
      <c r="AR439">
        <v>210285</v>
      </c>
      <c r="AS439">
        <v>5168139</v>
      </c>
      <c r="AT439">
        <v>75</v>
      </c>
      <c r="AU439" t="s">
        <v>84</v>
      </c>
      <c r="AV439">
        <v>562</v>
      </c>
      <c r="AY439">
        <v>562</v>
      </c>
      <c r="BA439" t="s">
        <v>88</v>
      </c>
    </row>
    <row r="440" spans="1:56" hidden="1" x14ac:dyDescent="0.2">
      <c r="A440" t="s">
        <v>5333</v>
      </c>
      <c r="B440" t="s">
        <v>5334</v>
      </c>
      <c r="C440" t="s">
        <v>5335</v>
      </c>
      <c r="D440" t="s">
        <v>5336</v>
      </c>
      <c r="E440" t="s">
        <v>5336</v>
      </c>
      <c r="G440" t="s">
        <v>56</v>
      </c>
      <c r="H440" t="s">
        <v>57</v>
      </c>
      <c r="I440" t="s">
        <v>93</v>
      </c>
      <c r="J440">
        <v>0</v>
      </c>
      <c r="K440" t="s">
        <v>2036</v>
      </c>
      <c r="L440" t="s">
        <v>2036</v>
      </c>
      <c r="M440" t="s">
        <v>7165</v>
      </c>
      <c r="N440" t="str">
        <f t="shared" si="4"/>
        <v>Meat</v>
      </c>
      <c r="O440" s="1" t="s">
        <v>4872</v>
      </c>
      <c r="P440" t="s">
        <v>4873</v>
      </c>
      <c r="Q440" s="1" t="s">
        <v>4374</v>
      </c>
      <c r="R440" s="1" t="s">
        <v>313</v>
      </c>
      <c r="S440" s="1" t="s">
        <v>4874</v>
      </c>
      <c r="T440" s="1">
        <v>56</v>
      </c>
      <c r="U440" s="1">
        <v>14734</v>
      </c>
      <c r="V440" s="1" t="s">
        <v>169</v>
      </c>
      <c r="W440" s="1">
        <v>8063369</v>
      </c>
      <c r="X440" t="s">
        <v>5337</v>
      </c>
      <c r="Y440" t="s">
        <v>5338</v>
      </c>
      <c r="AA440" t="s">
        <v>68</v>
      </c>
      <c r="AB440" t="s">
        <v>5339</v>
      </c>
      <c r="AC440" t="s">
        <v>5340</v>
      </c>
      <c r="AD440" t="s">
        <v>5341</v>
      </c>
      <c r="AE440" t="s">
        <v>2846</v>
      </c>
      <c r="AF440" t="s">
        <v>73</v>
      </c>
      <c r="AG440" t="s">
        <v>5342</v>
      </c>
      <c r="AH440" t="s">
        <v>75</v>
      </c>
      <c r="AI440" t="s">
        <v>76</v>
      </c>
      <c r="AJ440" t="s">
        <v>77</v>
      </c>
      <c r="AK440" t="s">
        <v>4881</v>
      </c>
      <c r="AL440" t="s">
        <v>107</v>
      </c>
      <c r="AM440" t="s">
        <v>80</v>
      </c>
      <c r="AN440" t="s">
        <v>81</v>
      </c>
      <c r="AO440" t="s">
        <v>82</v>
      </c>
      <c r="AP440" t="s">
        <v>83</v>
      </c>
      <c r="AQ440">
        <v>2016</v>
      </c>
      <c r="AR440">
        <v>164675</v>
      </c>
      <c r="AS440">
        <v>5086675</v>
      </c>
      <c r="AT440">
        <v>88</v>
      </c>
      <c r="AU440" t="s">
        <v>84</v>
      </c>
      <c r="AV440">
        <v>562</v>
      </c>
      <c r="AW440" t="s">
        <v>85</v>
      </c>
      <c r="AX440" t="s">
        <v>86</v>
      </c>
      <c r="AY440">
        <v>562</v>
      </c>
      <c r="AZ440" t="s">
        <v>5343</v>
      </c>
      <c r="BA440" t="s">
        <v>88</v>
      </c>
      <c r="BC440" t="s">
        <v>5344</v>
      </c>
      <c r="BD440">
        <v>2</v>
      </c>
    </row>
    <row r="441" spans="1:56" hidden="1" x14ac:dyDescent="0.2">
      <c r="A441" t="s">
        <v>5345</v>
      </c>
      <c r="B441" t="s">
        <v>5346</v>
      </c>
      <c r="C441" s="2" t="s">
        <v>5347</v>
      </c>
      <c r="D441" t="s">
        <v>5348</v>
      </c>
      <c r="E441" t="s">
        <v>5348</v>
      </c>
      <c r="G441" t="s">
        <v>56</v>
      </c>
      <c r="H441" t="s">
        <v>3391</v>
      </c>
      <c r="I441" t="s">
        <v>58</v>
      </c>
      <c r="J441" t="s">
        <v>5349</v>
      </c>
      <c r="K441" t="s">
        <v>5350</v>
      </c>
      <c r="L441" t="s">
        <v>648</v>
      </c>
      <c r="M441" t="s">
        <v>7165</v>
      </c>
      <c r="N441" t="str">
        <f t="shared" si="4"/>
        <v>Meat</v>
      </c>
      <c r="O441" s="1" t="s">
        <v>3392</v>
      </c>
      <c r="P441" t="s">
        <v>5351</v>
      </c>
      <c r="Q441" s="1" t="s">
        <v>373</v>
      </c>
      <c r="R441" s="1" t="s">
        <v>167</v>
      </c>
      <c r="S441" s="1" t="s">
        <v>3393</v>
      </c>
      <c r="T441" s="1">
        <v>57</v>
      </c>
      <c r="U441" s="1">
        <v>33331</v>
      </c>
      <c r="V441" s="1" t="s">
        <v>169</v>
      </c>
      <c r="W441" s="1">
        <v>8063273</v>
      </c>
      <c r="X441" t="s">
        <v>5352</v>
      </c>
      <c r="Y441" t="s">
        <v>5353</v>
      </c>
      <c r="AA441" t="s">
        <v>68</v>
      </c>
      <c r="AB441" t="s">
        <v>5354</v>
      </c>
      <c r="AC441" t="s">
        <v>5355</v>
      </c>
      <c r="AD441" t="s">
        <v>5356</v>
      </c>
      <c r="AE441" t="s">
        <v>864</v>
      </c>
      <c r="AF441" t="s">
        <v>73</v>
      </c>
      <c r="AG441" t="s">
        <v>5357</v>
      </c>
      <c r="AH441" t="s">
        <v>3402</v>
      </c>
      <c r="AI441" t="s">
        <v>76</v>
      </c>
      <c r="AJ441" t="s">
        <v>77</v>
      </c>
      <c r="AK441" t="s">
        <v>5358</v>
      </c>
      <c r="AL441" t="s">
        <v>364</v>
      </c>
      <c r="AM441" t="s">
        <v>3404</v>
      </c>
      <c r="AN441" t="s">
        <v>81</v>
      </c>
      <c r="AO441" t="s">
        <v>82</v>
      </c>
      <c r="AP441" t="s">
        <v>83</v>
      </c>
      <c r="AQ441">
        <v>2016</v>
      </c>
      <c r="AR441">
        <v>72886</v>
      </c>
      <c r="AS441">
        <v>5771703</v>
      </c>
      <c r="AT441">
        <v>298</v>
      </c>
      <c r="AU441" t="s">
        <v>84</v>
      </c>
      <c r="AV441">
        <v>562</v>
      </c>
      <c r="AW441" t="s">
        <v>85</v>
      </c>
      <c r="AX441" t="s">
        <v>86</v>
      </c>
      <c r="AY441">
        <v>562</v>
      </c>
      <c r="AZ441" t="s">
        <v>5359</v>
      </c>
      <c r="BA441" t="s">
        <v>88</v>
      </c>
    </row>
    <row r="442" spans="1:56" hidden="1" x14ac:dyDescent="0.2">
      <c r="A442" t="s">
        <v>5360</v>
      </c>
      <c r="B442" t="s">
        <v>5361</v>
      </c>
      <c r="C442" t="s">
        <v>5362</v>
      </c>
      <c r="D442" t="s">
        <v>5363</v>
      </c>
      <c r="E442" t="s">
        <v>5363</v>
      </c>
      <c r="G442" t="s">
        <v>56</v>
      </c>
      <c r="H442" t="s">
        <v>57</v>
      </c>
      <c r="I442" t="s">
        <v>93</v>
      </c>
      <c r="J442">
        <v>0</v>
      </c>
      <c r="K442" t="s">
        <v>5350</v>
      </c>
      <c r="L442" t="s">
        <v>648</v>
      </c>
      <c r="M442" t="s">
        <v>7165</v>
      </c>
      <c r="N442" t="str">
        <f t="shared" si="4"/>
        <v>Meat</v>
      </c>
      <c r="O442" s="1" t="s">
        <v>3918</v>
      </c>
      <c r="P442" t="s">
        <v>5364</v>
      </c>
      <c r="Q442" s="1" t="s">
        <v>4374</v>
      </c>
      <c r="R442" s="1" t="s">
        <v>3649</v>
      </c>
      <c r="S442" s="1" t="s">
        <v>3650</v>
      </c>
      <c r="T442" s="1">
        <v>2101</v>
      </c>
      <c r="U442" s="1">
        <v>29895</v>
      </c>
      <c r="V442" s="1" t="s">
        <v>169</v>
      </c>
      <c r="W442" s="1">
        <v>8063273</v>
      </c>
      <c r="X442" t="s">
        <v>5365</v>
      </c>
      <c r="Y442" t="s">
        <v>5366</v>
      </c>
      <c r="AA442" t="s">
        <v>68</v>
      </c>
      <c r="AB442" t="s">
        <v>5367</v>
      </c>
      <c r="AC442" t="s">
        <v>5368</v>
      </c>
      <c r="AD442" t="s">
        <v>5369</v>
      </c>
      <c r="AE442" t="s">
        <v>2905</v>
      </c>
      <c r="AF442" t="s">
        <v>73</v>
      </c>
      <c r="AG442" t="s">
        <v>5370</v>
      </c>
      <c r="AH442" t="s">
        <v>3927</v>
      </c>
      <c r="AI442" t="s">
        <v>76</v>
      </c>
      <c r="AJ442" t="s">
        <v>77</v>
      </c>
      <c r="AK442" t="s">
        <v>5371</v>
      </c>
      <c r="AL442" t="s">
        <v>107</v>
      </c>
      <c r="AM442" t="s">
        <v>3929</v>
      </c>
      <c r="AN442" t="s">
        <v>81</v>
      </c>
      <c r="AO442" t="s">
        <v>82</v>
      </c>
      <c r="AP442" t="s">
        <v>83</v>
      </c>
      <c r="AQ442">
        <v>2016</v>
      </c>
      <c r="AR442">
        <v>389139</v>
      </c>
      <c r="AS442">
        <v>5079825</v>
      </c>
      <c r="AT442">
        <v>64</v>
      </c>
      <c r="AU442" t="s">
        <v>84</v>
      </c>
      <c r="AV442">
        <v>562</v>
      </c>
      <c r="AW442" t="s">
        <v>85</v>
      </c>
      <c r="AX442" t="s">
        <v>86</v>
      </c>
      <c r="AY442">
        <v>562</v>
      </c>
      <c r="AZ442" t="s">
        <v>5372</v>
      </c>
      <c r="BA442" t="s">
        <v>88</v>
      </c>
    </row>
    <row r="443" spans="1:56" hidden="1" x14ac:dyDescent="0.2">
      <c r="A443" t="s">
        <v>5373</v>
      </c>
      <c r="B443" t="s">
        <v>5374</v>
      </c>
      <c r="C443" t="s">
        <v>5335</v>
      </c>
      <c r="D443" t="s">
        <v>5375</v>
      </c>
      <c r="E443" t="s">
        <v>5375</v>
      </c>
      <c r="G443" t="s">
        <v>56</v>
      </c>
      <c r="H443" t="s">
        <v>57</v>
      </c>
      <c r="I443" t="s">
        <v>93</v>
      </c>
      <c r="J443">
        <v>0</v>
      </c>
      <c r="K443" t="s">
        <v>5350</v>
      </c>
      <c r="L443" t="s">
        <v>2036</v>
      </c>
      <c r="M443" t="s">
        <v>7165</v>
      </c>
      <c r="N443" t="str">
        <f t="shared" si="4"/>
        <v>Meat</v>
      </c>
      <c r="O443" s="1" t="s">
        <v>4872</v>
      </c>
      <c r="P443" t="s">
        <v>4873</v>
      </c>
      <c r="Q443" s="1" t="s">
        <v>4374</v>
      </c>
      <c r="R443" s="1" t="s">
        <v>313</v>
      </c>
      <c r="S443" s="1" t="s">
        <v>4874</v>
      </c>
      <c r="T443" s="1">
        <v>56</v>
      </c>
      <c r="U443" s="1">
        <v>14734</v>
      </c>
      <c r="V443" s="1" t="s">
        <v>169</v>
      </c>
      <c r="W443" s="1">
        <v>8063369</v>
      </c>
      <c r="X443" t="s">
        <v>5376</v>
      </c>
      <c r="Y443" t="s">
        <v>5377</v>
      </c>
      <c r="AA443" t="s">
        <v>68</v>
      </c>
      <c r="AB443" t="s">
        <v>5378</v>
      </c>
      <c r="AC443" t="s">
        <v>5379</v>
      </c>
      <c r="AD443" t="s">
        <v>5380</v>
      </c>
      <c r="AE443" t="s">
        <v>2846</v>
      </c>
      <c r="AF443" t="s">
        <v>73</v>
      </c>
      <c r="AG443" t="s">
        <v>5381</v>
      </c>
      <c r="AH443" t="s">
        <v>75</v>
      </c>
      <c r="AI443" t="s">
        <v>76</v>
      </c>
      <c r="AJ443" t="s">
        <v>77</v>
      </c>
      <c r="AK443" t="s">
        <v>4881</v>
      </c>
      <c r="AL443" t="s">
        <v>107</v>
      </c>
      <c r="AM443" t="s">
        <v>80</v>
      </c>
      <c r="AN443" t="s">
        <v>81</v>
      </c>
      <c r="AO443" t="s">
        <v>82</v>
      </c>
      <c r="AP443" t="s">
        <v>83</v>
      </c>
      <c r="AQ443">
        <v>2016</v>
      </c>
      <c r="AR443">
        <v>176460</v>
      </c>
      <c r="AS443">
        <v>5069927</v>
      </c>
      <c r="AT443">
        <v>76</v>
      </c>
      <c r="AU443" t="s">
        <v>84</v>
      </c>
      <c r="AV443">
        <v>562</v>
      </c>
      <c r="AW443" t="s">
        <v>85</v>
      </c>
      <c r="AX443" t="s">
        <v>86</v>
      </c>
      <c r="AY443">
        <v>562</v>
      </c>
      <c r="AZ443" t="s">
        <v>5382</v>
      </c>
      <c r="BA443" t="s">
        <v>88</v>
      </c>
      <c r="BC443" t="s">
        <v>5344</v>
      </c>
      <c r="BD443">
        <v>2</v>
      </c>
    </row>
    <row r="444" spans="1:56" hidden="1" x14ac:dyDescent="0.2">
      <c r="A444" t="s">
        <v>5383</v>
      </c>
      <c r="B444" t="s">
        <v>5384</v>
      </c>
      <c r="C444" t="s">
        <v>5385</v>
      </c>
      <c r="D444" t="s">
        <v>5386</v>
      </c>
      <c r="E444" t="s">
        <v>5386</v>
      </c>
      <c r="G444" t="s">
        <v>56</v>
      </c>
      <c r="H444" t="s">
        <v>57</v>
      </c>
      <c r="I444" t="s">
        <v>93</v>
      </c>
      <c r="J444">
        <v>0</v>
      </c>
      <c r="K444" t="s">
        <v>5350</v>
      </c>
      <c r="L444" t="s">
        <v>5387</v>
      </c>
      <c r="M444" t="s">
        <v>7165</v>
      </c>
      <c r="N444" t="str">
        <f t="shared" si="4"/>
        <v>Meat</v>
      </c>
      <c r="O444" s="1" t="s">
        <v>3261</v>
      </c>
      <c r="P444" t="s">
        <v>5388</v>
      </c>
      <c r="Q444" s="1" t="s">
        <v>144</v>
      </c>
      <c r="R444" s="1" t="s">
        <v>313</v>
      </c>
      <c r="S444" s="1" t="s">
        <v>5389</v>
      </c>
      <c r="T444" s="1">
        <v>10</v>
      </c>
      <c r="U444" s="1">
        <v>37009</v>
      </c>
      <c r="V444" s="1" t="s">
        <v>4903</v>
      </c>
      <c r="W444" s="1">
        <v>8101125</v>
      </c>
      <c r="X444" t="s">
        <v>5390</v>
      </c>
      <c r="Y444" t="s">
        <v>5391</v>
      </c>
      <c r="AA444" t="s">
        <v>68</v>
      </c>
      <c r="AB444" t="s">
        <v>5392</v>
      </c>
      <c r="AC444" t="s">
        <v>5393</v>
      </c>
      <c r="AD444" t="s">
        <v>5394</v>
      </c>
      <c r="AE444" t="s">
        <v>2752</v>
      </c>
      <c r="AF444" t="s">
        <v>73</v>
      </c>
      <c r="AG444" t="s">
        <v>5395</v>
      </c>
      <c r="AI444" t="s">
        <v>76</v>
      </c>
      <c r="AJ444" t="s">
        <v>77</v>
      </c>
      <c r="AK444" t="s">
        <v>5396</v>
      </c>
      <c r="AL444" t="s">
        <v>156</v>
      </c>
      <c r="AM444" t="s">
        <v>531</v>
      </c>
      <c r="AN444" t="s">
        <v>81</v>
      </c>
      <c r="AO444" t="s">
        <v>82</v>
      </c>
      <c r="AP444" t="s">
        <v>83</v>
      </c>
      <c r="AQ444">
        <v>2016</v>
      </c>
      <c r="AR444">
        <v>78679</v>
      </c>
      <c r="AS444">
        <v>4931598</v>
      </c>
      <c r="AT444">
        <v>199</v>
      </c>
      <c r="AU444" t="s">
        <v>84</v>
      </c>
      <c r="AV444">
        <v>562</v>
      </c>
      <c r="AW444" t="s">
        <v>85</v>
      </c>
      <c r="AX444" t="s">
        <v>86</v>
      </c>
      <c r="AY444">
        <v>562</v>
      </c>
      <c r="AZ444" t="s">
        <v>5397</v>
      </c>
      <c r="BA444" t="s">
        <v>88</v>
      </c>
    </row>
    <row r="445" spans="1:56" hidden="1" x14ac:dyDescent="0.2">
      <c r="A445" t="s">
        <v>5398</v>
      </c>
      <c r="B445" t="s">
        <v>5399</v>
      </c>
      <c r="C445" t="s">
        <v>5400</v>
      </c>
      <c r="D445" t="s">
        <v>5401</v>
      </c>
      <c r="E445" t="s">
        <v>5401</v>
      </c>
      <c r="G445" t="s">
        <v>56</v>
      </c>
      <c r="H445" t="s">
        <v>57</v>
      </c>
      <c r="I445" t="s">
        <v>93</v>
      </c>
      <c r="J445">
        <v>0</v>
      </c>
      <c r="K445" t="s">
        <v>5350</v>
      </c>
      <c r="L445" t="s">
        <v>5402</v>
      </c>
      <c r="M445" t="s">
        <v>7169</v>
      </c>
      <c r="N445" t="str">
        <f t="shared" si="4"/>
        <v>Nuts/Seeds</v>
      </c>
      <c r="O445" s="1" t="s">
        <v>3210</v>
      </c>
      <c r="P445" t="s">
        <v>169</v>
      </c>
      <c r="Q445" s="1" t="s">
        <v>4374</v>
      </c>
      <c r="R445" s="1" t="s">
        <v>64</v>
      </c>
      <c r="S445" s="1" t="s">
        <v>675</v>
      </c>
      <c r="T445" s="1">
        <v>6118</v>
      </c>
      <c r="U445" s="1">
        <v>35267</v>
      </c>
      <c r="V445" s="1" t="s">
        <v>169</v>
      </c>
      <c r="W445" s="1">
        <v>8209863</v>
      </c>
      <c r="X445" t="s">
        <v>5403</v>
      </c>
      <c r="Y445" t="s">
        <v>5404</v>
      </c>
      <c r="AA445" t="s">
        <v>68</v>
      </c>
      <c r="AB445" t="s">
        <v>5405</v>
      </c>
      <c r="AC445" t="s">
        <v>5406</v>
      </c>
      <c r="AD445" t="s">
        <v>5407</v>
      </c>
      <c r="AE445" t="s">
        <v>2727</v>
      </c>
      <c r="AF445" t="s">
        <v>73</v>
      </c>
      <c r="AG445" t="s">
        <v>5408</v>
      </c>
      <c r="AH445" t="s">
        <v>75</v>
      </c>
      <c r="AI445" t="s">
        <v>76</v>
      </c>
      <c r="AJ445" t="s">
        <v>77</v>
      </c>
      <c r="AK445" t="s">
        <v>5409</v>
      </c>
      <c r="AL445" t="s">
        <v>156</v>
      </c>
      <c r="AM445" t="s">
        <v>5269</v>
      </c>
      <c r="AN445" t="s">
        <v>81</v>
      </c>
      <c r="AO445" t="s">
        <v>82</v>
      </c>
      <c r="AP445" t="s">
        <v>83</v>
      </c>
      <c r="AQ445">
        <v>2016</v>
      </c>
      <c r="AR445">
        <v>159057</v>
      </c>
      <c r="AS445">
        <v>5017176</v>
      </c>
      <c r="AT445">
        <v>96</v>
      </c>
      <c r="AU445" t="s">
        <v>84</v>
      </c>
      <c r="AV445">
        <v>562</v>
      </c>
      <c r="AW445" t="s">
        <v>85</v>
      </c>
      <c r="AX445" t="s">
        <v>86</v>
      </c>
      <c r="AY445">
        <v>562</v>
      </c>
      <c r="AZ445" t="s">
        <v>5410</v>
      </c>
      <c r="BA445" t="s">
        <v>88</v>
      </c>
      <c r="BC445" t="s">
        <v>5411</v>
      </c>
      <c r="BD445">
        <v>27</v>
      </c>
    </row>
    <row r="446" spans="1:56" hidden="1" x14ac:dyDescent="0.2">
      <c r="A446" t="s">
        <v>5412</v>
      </c>
      <c r="B446" t="s">
        <v>5413</v>
      </c>
      <c r="C446" t="s">
        <v>5414</v>
      </c>
      <c r="D446" t="s">
        <v>5415</v>
      </c>
      <c r="E446" t="s">
        <v>5415</v>
      </c>
      <c r="G446" t="s">
        <v>56</v>
      </c>
      <c r="H446" t="s">
        <v>57</v>
      </c>
      <c r="I446" t="s">
        <v>58</v>
      </c>
      <c r="J446" t="s">
        <v>3228</v>
      </c>
      <c r="K446" t="s">
        <v>5350</v>
      </c>
      <c r="L446" t="s">
        <v>648</v>
      </c>
      <c r="M446" t="s">
        <v>7165</v>
      </c>
      <c r="N446" t="str">
        <f t="shared" si="4"/>
        <v>Meat</v>
      </c>
      <c r="O446" s="1" t="s">
        <v>5416</v>
      </c>
      <c r="P446" t="s">
        <v>5417</v>
      </c>
      <c r="Q446" s="1" t="s">
        <v>126</v>
      </c>
      <c r="R446" s="1" t="s">
        <v>127</v>
      </c>
      <c r="S446" s="1" t="s">
        <v>5418</v>
      </c>
      <c r="T446" s="1">
        <v>443</v>
      </c>
      <c r="U446" s="1">
        <v>2216</v>
      </c>
      <c r="V446" s="1" t="s">
        <v>169</v>
      </c>
      <c r="W446" s="1">
        <v>15705783</v>
      </c>
      <c r="X446" t="s">
        <v>5419</v>
      </c>
      <c r="Y446" t="s">
        <v>5420</v>
      </c>
      <c r="AA446" t="s">
        <v>68</v>
      </c>
      <c r="AB446" t="s">
        <v>5421</v>
      </c>
      <c r="AC446" t="s">
        <v>5422</v>
      </c>
      <c r="AD446" t="s">
        <v>5423</v>
      </c>
      <c r="AE446" t="s">
        <v>864</v>
      </c>
      <c r="AF446" t="s">
        <v>73</v>
      </c>
      <c r="AG446" t="s">
        <v>5424</v>
      </c>
      <c r="AH446" t="s">
        <v>75</v>
      </c>
      <c r="AI446" t="s">
        <v>76</v>
      </c>
      <c r="AJ446" t="s">
        <v>77</v>
      </c>
      <c r="AK446" t="s">
        <v>5425</v>
      </c>
      <c r="AL446" t="s">
        <v>364</v>
      </c>
      <c r="AM446" t="s">
        <v>80</v>
      </c>
      <c r="AN446" t="s">
        <v>81</v>
      </c>
      <c r="AO446" t="s">
        <v>82</v>
      </c>
      <c r="AP446" t="s">
        <v>83</v>
      </c>
      <c r="AQ446">
        <v>2016</v>
      </c>
      <c r="AR446">
        <v>140272</v>
      </c>
      <c r="AS446">
        <v>5119354</v>
      </c>
      <c r="AT446">
        <v>102</v>
      </c>
      <c r="AU446" t="s">
        <v>84</v>
      </c>
      <c r="AV446">
        <v>562</v>
      </c>
      <c r="AW446" t="s">
        <v>85</v>
      </c>
      <c r="AX446" t="s">
        <v>86</v>
      </c>
      <c r="AY446">
        <v>562</v>
      </c>
      <c r="AZ446" t="s">
        <v>5426</v>
      </c>
      <c r="BA446" t="s">
        <v>88</v>
      </c>
      <c r="BC446" t="s">
        <v>5427</v>
      </c>
      <c r="BD446">
        <v>2</v>
      </c>
    </row>
    <row r="447" spans="1:56" hidden="1" x14ac:dyDescent="0.2">
      <c r="A447" t="s">
        <v>5428</v>
      </c>
      <c r="B447" t="s">
        <v>5429</v>
      </c>
      <c r="C447" t="s">
        <v>5414</v>
      </c>
      <c r="D447" t="s">
        <v>5430</v>
      </c>
      <c r="E447" t="s">
        <v>5430</v>
      </c>
      <c r="G447" t="s">
        <v>56</v>
      </c>
      <c r="H447" t="s">
        <v>57</v>
      </c>
      <c r="I447" t="s">
        <v>58</v>
      </c>
      <c r="J447" t="s">
        <v>3228</v>
      </c>
      <c r="K447" t="s">
        <v>648</v>
      </c>
      <c r="L447" t="s">
        <v>648</v>
      </c>
      <c r="M447" t="s">
        <v>7165</v>
      </c>
      <c r="N447" t="str">
        <f t="shared" si="4"/>
        <v>Meat</v>
      </c>
      <c r="O447" s="1" t="s">
        <v>5416</v>
      </c>
      <c r="P447" t="s">
        <v>3180</v>
      </c>
      <c r="Q447" s="1" t="s">
        <v>126</v>
      </c>
      <c r="R447" s="1" t="s">
        <v>127</v>
      </c>
      <c r="S447" s="1" t="s">
        <v>5418</v>
      </c>
      <c r="T447" s="1">
        <v>443</v>
      </c>
      <c r="U447" s="1">
        <v>2216</v>
      </c>
      <c r="V447" s="1" t="s">
        <v>169</v>
      </c>
      <c r="W447" s="1" t="s">
        <v>170</v>
      </c>
      <c r="X447" t="s">
        <v>5431</v>
      </c>
      <c r="Y447" t="s">
        <v>5432</v>
      </c>
      <c r="AA447" t="s">
        <v>68</v>
      </c>
      <c r="AB447" t="s">
        <v>5433</v>
      </c>
      <c r="AC447" t="s">
        <v>5434</v>
      </c>
      <c r="AD447" t="s">
        <v>5435</v>
      </c>
      <c r="AE447" t="s">
        <v>2465</v>
      </c>
      <c r="AF447" t="s">
        <v>73</v>
      </c>
      <c r="AG447" t="s">
        <v>5436</v>
      </c>
      <c r="AH447" t="s">
        <v>75</v>
      </c>
      <c r="AI447" t="s">
        <v>76</v>
      </c>
      <c r="AJ447" t="s">
        <v>77</v>
      </c>
      <c r="AK447" t="s">
        <v>5425</v>
      </c>
      <c r="AL447" t="s">
        <v>364</v>
      </c>
      <c r="AM447" t="s">
        <v>80</v>
      </c>
      <c r="AN447" t="s">
        <v>81</v>
      </c>
      <c r="AO447" t="s">
        <v>82</v>
      </c>
      <c r="AP447" t="s">
        <v>83</v>
      </c>
      <c r="AQ447">
        <v>2016</v>
      </c>
      <c r="AR447">
        <v>115329</v>
      </c>
      <c r="AS447">
        <v>5116516</v>
      </c>
      <c r="AT447">
        <v>103</v>
      </c>
      <c r="AU447" t="s">
        <v>84</v>
      </c>
      <c r="AV447">
        <v>562</v>
      </c>
      <c r="AW447" t="s">
        <v>85</v>
      </c>
      <c r="AX447" t="s">
        <v>86</v>
      </c>
      <c r="AY447">
        <v>562</v>
      </c>
      <c r="AZ447" t="s">
        <v>5437</v>
      </c>
      <c r="BA447" t="s">
        <v>88</v>
      </c>
      <c r="BC447" t="s">
        <v>5427</v>
      </c>
      <c r="BD447">
        <v>2</v>
      </c>
    </row>
    <row r="448" spans="1:56" hidden="1" x14ac:dyDescent="0.2">
      <c r="A448" t="s">
        <v>5438</v>
      </c>
      <c r="B448" t="s">
        <v>5439</v>
      </c>
      <c r="C448" t="s">
        <v>5440</v>
      </c>
      <c r="D448" t="s">
        <v>5441</v>
      </c>
      <c r="E448" t="s">
        <v>5441</v>
      </c>
      <c r="G448" t="s">
        <v>56</v>
      </c>
      <c r="H448" t="s">
        <v>57</v>
      </c>
      <c r="I448" t="s">
        <v>93</v>
      </c>
      <c r="J448">
        <v>0</v>
      </c>
      <c r="K448" t="s">
        <v>5442</v>
      </c>
      <c r="L448" t="s">
        <v>5443</v>
      </c>
      <c r="M448" t="s">
        <v>7169</v>
      </c>
      <c r="N448" t="str">
        <f t="shared" si="4"/>
        <v>Nuts/Seeds</v>
      </c>
      <c r="O448" s="1" t="s">
        <v>5444</v>
      </c>
      <c r="P448" t="s">
        <v>5445</v>
      </c>
      <c r="Q448" s="1" t="s">
        <v>5446</v>
      </c>
      <c r="R448" s="1" t="s">
        <v>4328</v>
      </c>
      <c r="S448" s="1" t="s">
        <v>5447</v>
      </c>
      <c r="T448" s="1">
        <v>154</v>
      </c>
      <c r="U448" s="1">
        <v>30050</v>
      </c>
      <c r="V448" s="1" t="s">
        <v>169</v>
      </c>
      <c r="W448" s="1">
        <v>15706164</v>
      </c>
      <c r="X448" t="s">
        <v>5448</v>
      </c>
      <c r="Y448" t="s">
        <v>5449</v>
      </c>
      <c r="AA448" t="s">
        <v>68</v>
      </c>
      <c r="AB448" t="s">
        <v>5450</v>
      </c>
      <c r="AC448" t="s">
        <v>5451</v>
      </c>
      <c r="AD448" t="s">
        <v>5452</v>
      </c>
      <c r="AE448" t="s">
        <v>2752</v>
      </c>
      <c r="AF448" t="s">
        <v>73</v>
      </c>
      <c r="AG448" t="s">
        <v>5453</v>
      </c>
      <c r="AH448" t="s">
        <v>75</v>
      </c>
      <c r="AI448" t="s">
        <v>76</v>
      </c>
      <c r="AJ448" t="s">
        <v>77</v>
      </c>
      <c r="AK448" t="s">
        <v>5454</v>
      </c>
      <c r="AL448" t="s">
        <v>156</v>
      </c>
      <c r="AM448" t="s">
        <v>80</v>
      </c>
      <c r="AN448" t="s">
        <v>81</v>
      </c>
      <c r="AO448" t="s">
        <v>82</v>
      </c>
      <c r="AP448" t="s">
        <v>83</v>
      </c>
      <c r="AQ448">
        <v>2016</v>
      </c>
      <c r="AR448">
        <v>236316</v>
      </c>
      <c r="AS448">
        <v>4933766</v>
      </c>
      <c r="AT448">
        <v>80</v>
      </c>
      <c r="AU448" t="s">
        <v>84</v>
      </c>
      <c r="AV448">
        <v>562</v>
      </c>
      <c r="AW448" t="s">
        <v>85</v>
      </c>
      <c r="AX448" t="s">
        <v>86</v>
      </c>
      <c r="AY448">
        <v>562</v>
      </c>
      <c r="AZ448" t="s">
        <v>5455</v>
      </c>
      <c r="BA448" t="s">
        <v>88</v>
      </c>
    </row>
    <row r="449" spans="1:57" hidden="1" x14ac:dyDescent="0.2">
      <c r="A449" t="s">
        <v>5456</v>
      </c>
      <c r="B449" t="s">
        <v>5457</v>
      </c>
      <c r="C449" t="s">
        <v>5458</v>
      </c>
      <c r="D449" t="s">
        <v>5459</v>
      </c>
      <c r="E449" t="s">
        <v>5459</v>
      </c>
      <c r="G449" t="s">
        <v>56</v>
      </c>
      <c r="H449" t="s">
        <v>57</v>
      </c>
      <c r="I449" t="s">
        <v>93</v>
      </c>
      <c r="J449">
        <v>0</v>
      </c>
      <c r="K449" t="s">
        <v>5350</v>
      </c>
      <c r="L449" t="s">
        <v>5460</v>
      </c>
      <c r="M449" t="s">
        <v>7165</v>
      </c>
      <c r="N449" t="str">
        <f t="shared" si="4"/>
        <v>Meat</v>
      </c>
      <c r="O449" s="1" t="s">
        <v>5461</v>
      </c>
      <c r="P449" t="s">
        <v>5462</v>
      </c>
      <c r="Q449" s="1" t="s">
        <v>166</v>
      </c>
      <c r="R449" s="1" t="s">
        <v>250</v>
      </c>
      <c r="S449" s="1" t="s">
        <v>5463</v>
      </c>
      <c r="T449" s="1">
        <v>647</v>
      </c>
      <c r="U449" s="1">
        <v>2187</v>
      </c>
      <c r="V449" s="1" t="s">
        <v>169</v>
      </c>
      <c r="W449" s="1">
        <v>8962910</v>
      </c>
      <c r="X449" t="s">
        <v>5464</v>
      </c>
      <c r="Y449" t="s">
        <v>5465</v>
      </c>
      <c r="AA449" t="s">
        <v>68</v>
      </c>
      <c r="AB449" t="s">
        <v>5466</v>
      </c>
      <c r="AC449" t="s">
        <v>5467</v>
      </c>
      <c r="AD449" t="s">
        <v>5468</v>
      </c>
      <c r="AE449" t="s">
        <v>4011</v>
      </c>
      <c r="AF449" t="s">
        <v>73</v>
      </c>
      <c r="AG449" t="s">
        <v>5469</v>
      </c>
      <c r="AH449" t="s">
        <v>5470</v>
      </c>
      <c r="AI449" t="s">
        <v>76</v>
      </c>
      <c r="AJ449" t="s">
        <v>77</v>
      </c>
      <c r="AK449" t="s">
        <v>5471</v>
      </c>
      <c r="AL449" t="s">
        <v>156</v>
      </c>
      <c r="AM449" t="s">
        <v>5472</v>
      </c>
      <c r="AN449" t="s">
        <v>81</v>
      </c>
      <c r="AO449" t="s">
        <v>82</v>
      </c>
      <c r="AP449" t="s">
        <v>83</v>
      </c>
      <c r="AQ449">
        <v>2016</v>
      </c>
      <c r="AR449">
        <v>263598</v>
      </c>
      <c r="AS449">
        <v>5296516</v>
      </c>
      <c r="AT449">
        <v>96</v>
      </c>
      <c r="AU449" t="s">
        <v>84</v>
      </c>
      <c r="AV449">
        <v>562</v>
      </c>
      <c r="AW449" t="s">
        <v>85</v>
      </c>
      <c r="AX449" t="s">
        <v>86</v>
      </c>
      <c r="AY449">
        <v>562</v>
      </c>
      <c r="AZ449" t="s">
        <v>5473</v>
      </c>
      <c r="BA449" t="s">
        <v>88</v>
      </c>
    </row>
    <row r="450" spans="1:57" hidden="1" x14ac:dyDescent="0.2">
      <c r="A450" t="s">
        <v>5474</v>
      </c>
      <c r="B450" t="s">
        <v>5475</v>
      </c>
      <c r="C450" t="s">
        <v>5476</v>
      </c>
      <c r="D450" t="s">
        <v>5477</v>
      </c>
      <c r="E450" t="s">
        <v>5477</v>
      </c>
      <c r="G450" t="s">
        <v>56</v>
      </c>
      <c r="H450" t="s">
        <v>57</v>
      </c>
      <c r="I450" t="s">
        <v>93</v>
      </c>
      <c r="J450">
        <v>0</v>
      </c>
      <c r="K450" t="s">
        <v>5478</v>
      </c>
      <c r="L450" t="s">
        <v>5478</v>
      </c>
      <c r="M450" t="s">
        <v>7165</v>
      </c>
      <c r="N450" t="str">
        <f t="shared" si="4"/>
        <v>Meat</v>
      </c>
      <c r="O450" s="1" t="s">
        <v>5479</v>
      </c>
      <c r="P450" t="s">
        <v>5480</v>
      </c>
      <c r="Q450" s="1" t="s">
        <v>144</v>
      </c>
      <c r="R450" s="1" t="s">
        <v>3649</v>
      </c>
      <c r="S450" s="1" t="s">
        <v>5481</v>
      </c>
      <c r="T450" s="1">
        <v>440</v>
      </c>
      <c r="U450" s="1">
        <v>33484</v>
      </c>
      <c r="V450" s="1" t="s">
        <v>3196</v>
      </c>
      <c r="W450" s="1">
        <v>9279459</v>
      </c>
      <c r="X450" t="s">
        <v>5482</v>
      </c>
      <c r="Y450" t="s">
        <v>5483</v>
      </c>
      <c r="AA450" t="s">
        <v>68</v>
      </c>
      <c r="AB450" t="s">
        <v>5484</v>
      </c>
      <c r="AC450" t="s">
        <v>5485</v>
      </c>
      <c r="AD450" t="s">
        <v>5486</v>
      </c>
      <c r="AE450" t="s">
        <v>4069</v>
      </c>
      <c r="AF450" t="s">
        <v>73</v>
      </c>
      <c r="AG450" t="s">
        <v>5487</v>
      </c>
      <c r="AH450" t="s">
        <v>75</v>
      </c>
      <c r="AI450" t="s">
        <v>76</v>
      </c>
      <c r="AJ450" t="s">
        <v>77</v>
      </c>
      <c r="AK450" t="s">
        <v>5488</v>
      </c>
      <c r="AL450" t="s">
        <v>156</v>
      </c>
      <c r="AM450" t="s">
        <v>80</v>
      </c>
      <c r="AN450" t="s">
        <v>81</v>
      </c>
      <c r="AO450" t="s">
        <v>82</v>
      </c>
      <c r="AP450" t="s">
        <v>83</v>
      </c>
      <c r="AQ450">
        <v>2016</v>
      </c>
      <c r="AR450">
        <v>178620</v>
      </c>
      <c r="AS450">
        <v>5025369</v>
      </c>
      <c r="AT450">
        <v>107</v>
      </c>
      <c r="AU450" t="s">
        <v>84</v>
      </c>
      <c r="AV450">
        <v>562</v>
      </c>
      <c r="AW450" t="s">
        <v>85</v>
      </c>
      <c r="AX450" t="s">
        <v>86</v>
      </c>
      <c r="AY450">
        <v>562</v>
      </c>
      <c r="AZ450" t="s">
        <v>5489</v>
      </c>
      <c r="BA450" t="s">
        <v>88</v>
      </c>
      <c r="BC450" t="s">
        <v>5490</v>
      </c>
      <c r="BD450">
        <v>0</v>
      </c>
    </row>
    <row r="451" spans="1:57" hidden="1" x14ac:dyDescent="0.2">
      <c r="A451" t="s">
        <v>5491</v>
      </c>
      <c r="B451" t="s">
        <v>5492</v>
      </c>
      <c r="C451" t="s">
        <v>5476</v>
      </c>
      <c r="D451" t="s">
        <v>5493</v>
      </c>
      <c r="E451" t="s">
        <v>5493</v>
      </c>
      <c r="G451" t="s">
        <v>56</v>
      </c>
      <c r="H451" t="s">
        <v>57</v>
      </c>
      <c r="I451" t="s">
        <v>93</v>
      </c>
      <c r="J451">
        <v>0</v>
      </c>
      <c r="K451" t="s">
        <v>5478</v>
      </c>
      <c r="L451" t="s">
        <v>5478</v>
      </c>
      <c r="M451" t="s">
        <v>7165</v>
      </c>
      <c r="N451" t="str">
        <f t="shared" si="4"/>
        <v>Meat</v>
      </c>
      <c r="O451" s="1" t="s">
        <v>5479</v>
      </c>
      <c r="P451" t="s">
        <v>5480</v>
      </c>
      <c r="Q451" s="1" t="s">
        <v>144</v>
      </c>
      <c r="R451" s="1" t="s">
        <v>3649</v>
      </c>
      <c r="S451" s="1" t="s">
        <v>5481</v>
      </c>
      <c r="T451" s="1">
        <v>440</v>
      </c>
      <c r="U451" s="1">
        <v>33484</v>
      </c>
      <c r="V451" s="1" t="s">
        <v>3196</v>
      </c>
      <c r="W451" s="1">
        <v>9279459</v>
      </c>
      <c r="X451" t="s">
        <v>5494</v>
      </c>
      <c r="Y451" t="s">
        <v>5495</v>
      </c>
      <c r="AA451" t="s">
        <v>68</v>
      </c>
      <c r="AB451" t="s">
        <v>5496</v>
      </c>
      <c r="AC451" t="s">
        <v>5497</v>
      </c>
      <c r="AD451" t="s">
        <v>5498</v>
      </c>
      <c r="AE451" t="s">
        <v>4069</v>
      </c>
      <c r="AF451" t="s">
        <v>73</v>
      </c>
      <c r="AG451" t="s">
        <v>5499</v>
      </c>
      <c r="AH451" t="s">
        <v>75</v>
      </c>
      <c r="AI451" t="s">
        <v>76</v>
      </c>
      <c r="AJ451" t="s">
        <v>77</v>
      </c>
      <c r="AK451" t="s">
        <v>5488</v>
      </c>
      <c r="AL451" t="s">
        <v>156</v>
      </c>
      <c r="AM451" t="s">
        <v>80</v>
      </c>
      <c r="AN451" t="s">
        <v>81</v>
      </c>
      <c r="AO451" t="s">
        <v>82</v>
      </c>
      <c r="AP451" t="s">
        <v>83</v>
      </c>
      <c r="AQ451">
        <v>2016</v>
      </c>
      <c r="AR451">
        <v>134780</v>
      </c>
      <c r="AS451">
        <v>5030647</v>
      </c>
      <c r="AT451">
        <v>160</v>
      </c>
      <c r="AU451" t="s">
        <v>84</v>
      </c>
      <c r="AV451">
        <v>562</v>
      </c>
      <c r="AW451" t="s">
        <v>85</v>
      </c>
      <c r="AX451" t="s">
        <v>86</v>
      </c>
      <c r="AY451">
        <v>562</v>
      </c>
      <c r="AZ451" t="s">
        <v>5500</v>
      </c>
      <c r="BA451" t="s">
        <v>88</v>
      </c>
      <c r="BC451" t="s">
        <v>5490</v>
      </c>
      <c r="BD451">
        <v>0</v>
      </c>
    </row>
    <row r="452" spans="1:57" hidden="1" x14ac:dyDescent="0.2">
      <c r="A452" t="s">
        <v>5501</v>
      </c>
      <c r="B452" t="s">
        <v>5502</v>
      </c>
      <c r="C452" t="s">
        <v>5476</v>
      </c>
      <c r="D452" t="s">
        <v>5503</v>
      </c>
      <c r="E452" t="s">
        <v>5503</v>
      </c>
      <c r="G452" t="s">
        <v>56</v>
      </c>
      <c r="H452" t="s">
        <v>57</v>
      </c>
      <c r="I452" t="s">
        <v>93</v>
      </c>
      <c r="J452">
        <v>0</v>
      </c>
      <c r="K452" t="s">
        <v>5478</v>
      </c>
      <c r="L452" t="s">
        <v>5478</v>
      </c>
      <c r="M452" t="s">
        <v>7165</v>
      </c>
      <c r="N452" t="str">
        <f t="shared" si="4"/>
        <v>Meat</v>
      </c>
      <c r="O452" s="1" t="s">
        <v>5479</v>
      </c>
      <c r="P452" t="s">
        <v>5480</v>
      </c>
      <c r="Q452" s="1" t="s">
        <v>144</v>
      </c>
      <c r="R452" s="1" t="s">
        <v>3649</v>
      </c>
      <c r="S452" s="1" t="s">
        <v>5481</v>
      </c>
      <c r="T452" s="1">
        <v>440</v>
      </c>
      <c r="U452" s="1">
        <v>33484</v>
      </c>
      <c r="V452" s="1" t="s">
        <v>3196</v>
      </c>
      <c r="W452" s="1">
        <v>9279459</v>
      </c>
      <c r="X452" t="s">
        <v>5504</v>
      </c>
      <c r="Y452" t="s">
        <v>5505</v>
      </c>
      <c r="AA452" t="s">
        <v>68</v>
      </c>
      <c r="AB452" t="s">
        <v>5506</v>
      </c>
      <c r="AC452" t="s">
        <v>5507</v>
      </c>
      <c r="AD452" t="s">
        <v>5508</v>
      </c>
      <c r="AE452" t="s">
        <v>4069</v>
      </c>
      <c r="AF452" t="s">
        <v>73</v>
      </c>
      <c r="AG452" t="s">
        <v>5509</v>
      </c>
      <c r="AH452" t="s">
        <v>75</v>
      </c>
      <c r="AI452" t="s">
        <v>76</v>
      </c>
      <c r="AJ452" t="s">
        <v>77</v>
      </c>
      <c r="AK452" t="s">
        <v>5488</v>
      </c>
      <c r="AL452" t="s">
        <v>156</v>
      </c>
      <c r="AM452" t="s">
        <v>80</v>
      </c>
      <c r="AN452" t="s">
        <v>81</v>
      </c>
      <c r="AO452" t="s">
        <v>82</v>
      </c>
      <c r="AP452" t="s">
        <v>83</v>
      </c>
      <c r="AQ452">
        <v>2016</v>
      </c>
      <c r="AR452">
        <v>125638</v>
      </c>
      <c r="AS452">
        <v>5036327</v>
      </c>
      <c r="AT452">
        <v>118</v>
      </c>
      <c r="AU452" t="s">
        <v>84</v>
      </c>
      <c r="AV452">
        <v>562</v>
      </c>
      <c r="AW452" t="s">
        <v>85</v>
      </c>
      <c r="AX452" t="s">
        <v>86</v>
      </c>
      <c r="AY452">
        <v>562</v>
      </c>
      <c r="AZ452" t="s">
        <v>5510</v>
      </c>
      <c r="BA452" t="s">
        <v>88</v>
      </c>
      <c r="BC452" t="s">
        <v>5490</v>
      </c>
      <c r="BD452">
        <v>0</v>
      </c>
    </row>
    <row r="453" spans="1:57" hidden="1" x14ac:dyDescent="0.2">
      <c r="A453" t="s">
        <v>5511</v>
      </c>
      <c r="B453" t="s">
        <v>5512</v>
      </c>
      <c r="C453" t="s">
        <v>5476</v>
      </c>
      <c r="D453" t="s">
        <v>5513</v>
      </c>
      <c r="E453" t="s">
        <v>5513</v>
      </c>
      <c r="G453" t="s">
        <v>56</v>
      </c>
      <c r="H453" t="s">
        <v>57</v>
      </c>
      <c r="I453" t="s">
        <v>93</v>
      </c>
      <c r="J453">
        <v>0</v>
      </c>
      <c r="K453" t="s">
        <v>5478</v>
      </c>
      <c r="L453" t="s">
        <v>5478</v>
      </c>
      <c r="M453" t="s">
        <v>7165</v>
      </c>
      <c r="N453" t="str">
        <f t="shared" si="4"/>
        <v>Meat</v>
      </c>
      <c r="O453" s="1" t="s">
        <v>5479</v>
      </c>
      <c r="P453" t="s">
        <v>5480</v>
      </c>
      <c r="Q453" s="1" t="s">
        <v>5514</v>
      </c>
      <c r="R453" s="1" t="s">
        <v>3649</v>
      </c>
      <c r="S453" s="1" t="s">
        <v>5481</v>
      </c>
      <c r="T453" s="1">
        <v>440</v>
      </c>
      <c r="U453" s="1">
        <v>33484</v>
      </c>
      <c r="V453" s="1" t="s">
        <v>3196</v>
      </c>
      <c r="W453" s="1">
        <v>9279459</v>
      </c>
      <c r="X453" t="s">
        <v>5515</v>
      </c>
      <c r="Y453" t="s">
        <v>5516</v>
      </c>
      <c r="AA453" t="s">
        <v>68</v>
      </c>
      <c r="AB453" t="s">
        <v>5517</v>
      </c>
      <c r="AC453" t="s">
        <v>5518</v>
      </c>
      <c r="AD453" t="s">
        <v>5519</v>
      </c>
      <c r="AE453" t="s">
        <v>4069</v>
      </c>
      <c r="AF453" t="s">
        <v>73</v>
      </c>
      <c r="AG453" t="s">
        <v>5520</v>
      </c>
      <c r="AH453" t="s">
        <v>75</v>
      </c>
      <c r="AI453" t="s">
        <v>76</v>
      </c>
      <c r="AJ453" t="s">
        <v>77</v>
      </c>
      <c r="AK453" t="s">
        <v>5488</v>
      </c>
      <c r="AL453" t="s">
        <v>156</v>
      </c>
      <c r="AM453" t="s">
        <v>80</v>
      </c>
      <c r="AN453" t="s">
        <v>81</v>
      </c>
      <c r="AO453" t="s">
        <v>82</v>
      </c>
      <c r="AP453" t="s">
        <v>83</v>
      </c>
      <c r="AQ453">
        <v>2016</v>
      </c>
      <c r="AR453">
        <v>138629</v>
      </c>
      <c r="AS453">
        <v>5038213</v>
      </c>
      <c r="AT453">
        <v>112</v>
      </c>
      <c r="AU453" t="s">
        <v>84</v>
      </c>
      <c r="AV453">
        <v>562</v>
      </c>
      <c r="AW453" t="s">
        <v>85</v>
      </c>
      <c r="AX453" t="s">
        <v>86</v>
      </c>
      <c r="AY453">
        <v>562</v>
      </c>
      <c r="AZ453" t="s">
        <v>5521</v>
      </c>
      <c r="BA453" t="s">
        <v>88</v>
      </c>
      <c r="BC453" t="s">
        <v>5490</v>
      </c>
      <c r="BD453">
        <v>0</v>
      </c>
    </row>
    <row r="454" spans="1:57" hidden="1" x14ac:dyDescent="0.2">
      <c r="A454" t="s">
        <v>5522</v>
      </c>
      <c r="B454" t="s">
        <v>5523</v>
      </c>
      <c r="C454" t="s">
        <v>5476</v>
      </c>
      <c r="D454" t="s">
        <v>5524</v>
      </c>
      <c r="E454" t="s">
        <v>5524</v>
      </c>
      <c r="G454" t="s">
        <v>56</v>
      </c>
      <c r="H454" t="s">
        <v>57</v>
      </c>
      <c r="I454" t="s">
        <v>93</v>
      </c>
      <c r="J454">
        <v>0</v>
      </c>
      <c r="K454" t="s">
        <v>5350</v>
      </c>
      <c r="L454" t="s">
        <v>5478</v>
      </c>
      <c r="M454" t="s">
        <v>7165</v>
      </c>
      <c r="N454" t="str">
        <f t="shared" si="4"/>
        <v>Meat</v>
      </c>
      <c r="O454" s="1" t="s">
        <v>5479</v>
      </c>
      <c r="P454" t="s">
        <v>5480</v>
      </c>
      <c r="Q454" s="1" t="s">
        <v>144</v>
      </c>
      <c r="R454" s="1" t="s">
        <v>3649</v>
      </c>
      <c r="S454" s="1" t="s">
        <v>5481</v>
      </c>
      <c r="T454" s="1">
        <v>440</v>
      </c>
      <c r="U454" s="1">
        <v>33484</v>
      </c>
      <c r="V454" s="1" t="s">
        <v>3196</v>
      </c>
      <c r="W454" s="1">
        <v>9279459</v>
      </c>
      <c r="X454" t="s">
        <v>5525</v>
      </c>
      <c r="Y454" t="s">
        <v>5526</v>
      </c>
      <c r="AA454" t="s">
        <v>68</v>
      </c>
      <c r="AB454" t="s">
        <v>5527</v>
      </c>
      <c r="AC454" t="s">
        <v>5528</v>
      </c>
      <c r="AD454" t="s">
        <v>5529</v>
      </c>
      <c r="AE454" t="s">
        <v>5530</v>
      </c>
      <c r="AF454" t="s">
        <v>73</v>
      </c>
      <c r="AG454" t="s">
        <v>5531</v>
      </c>
      <c r="AH454" t="s">
        <v>75</v>
      </c>
      <c r="AI454" t="s">
        <v>76</v>
      </c>
      <c r="AJ454" t="s">
        <v>77</v>
      </c>
      <c r="AK454" t="s">
        <v>5488</v>
      </c>
      <c r="AL454" t="s">
        <v>156</v>
      </c>
      <c r="AM454" t="s">
        <v>80</v>
      </c>
      <c r="AN454" t="s">
        <v>81</v>
      </c>
      <c r="AO454" t="s">
        <v>82</v>
      </c>
      <c r="AP454" t="s">
        <v>83</v>
      </c>
      <c r="AQ454">
        <v>2017</v>
      </c>
      <c r="AR454">
        <v>132361</v>
      </c>
      <c r="AS454">
        <v>5053930</v>
      </c>
      <c r="AT454">
        <v>107</v>
      </c>
      <c r="AU454" t="s">
        <v>84</v>
      </c>
      <c r="AV454">
        <v>562</v>
      </c>
      <c r="AW454" t="s">
        <v>85</v>
      </c>
      <c r="AX454" t="s">
        <v>86</v>
      </c>
      <c r="AY454">
        <v>562</v>
      </c>
      <c r="AZ454" t="s">
        <v>5532</v>
      </c>
      <c r="BA454" t="s">
        <v>88</v>
      </c>
      <c r="BC454" t="s">
        <v>5490</v>
      </c>
      <c r="BD454">
        <v>0</v>
      </c>
    </row>
    <row r="455" spans="1:57" hidden="1" x14ac:dyDescent="0.2">
      <c r="A455" t="s">
        <v>5533</v>
      </c>
      <c r="B455" t="s">
        <v>5534</v>
      </c>
      <c r="C455" t="s">
        <v>5535</v>
      </c>
      <c r="D455" t="s">
        <v>5536</v>
      </c>
      <c r="E455" t="s">
        <v>5536</v>
      </c>
      <c r="G455" t="s">
        <v>56</v>
      </c>
      <c r="H455" t="s">
        <v>57</v>
      </c>
      <c r="I455" t="s">
        <v>93</v>
      </c>
      <c r="J455">
        <v>0</v>
      </c>
      <c r="K455" t="s">
        <v>140</v>
      </c>
      <c r="L455" t="s">
        <v>5537</v>
      </c>
      <c r="M455" t="s">
        <v>7165</v>
      </c>
      <c r="N455" t="str">
        <f t="shared" si="4"/>
        <v>Meat</v>
      </c>
      <c r="O455" s="1" t="s">
        <v>3903</v>
      </c>
      <c r="P455" t="s">
        <v>5538</v>
      </c>
      <c r="Q455" s="1" t="s">
        <v>166</v>
      </c>
      <c r="R455" s="1" t="s">
        <v>250</v>
      </c>
      <c r="S455" s="1" t="s">
        <v>251</v>
      </c>
      <c r="T455" s="1">
        <v>101</v>
      </c>
      <c r="U455" s="1">
        <v>1589</v>
      </c>
      <c r="V455" s="1" t="s">
        <v>169</v>
      </c>
      <c r="W455" s="1">
        <v>9396677</v>
      </c>
      <c r="X455" t="s">
        <v>5539</v>
      </c>
      <c r="Y455" t="s">
        <v>5540</v>
      </c>
      <c r="AA455" t="s">
        <v>68</v>
      </c>
      <c r="AB455" t="s">
        <v>5541</v>
      </c>
      <c r="AC455" t="s">
        <v>5542</v>
      </c>
      <c r="AD455" t="s">
        <v>5543</v>
      </c>
      <c r="AE455" t="s">
        <v>3311</v>
      </c>
      <c r="AF455" t="s">
        <v>73</v>
      </c>
      <c r="AG455" t="s">
        <v>5544</v>
      </c>
      <c r="AH455" t="s">
        <v>75</v>
      </c>
      <c r="AI455" t="s">
        <v>76</v>
      </c>
      <c r="AJ455" t="s">
        <v>77</v>
      </c>
      <c r="AK455" t="s">
        <v>5545</v>
      </c>
      <c r="AL455" t="s">
        <v>107</v>
      </c>
      <c r="AM455" t="s">
        <v>80</v>
      </c>
      <c r="AN455" t="s">
        <v>81</v>
      </c>
      <c r="AO455" t="s">
        <v>82</v>
      </c>
      <c r="AP455" t="s">
        <v>83</v>
      </c>
      <c r="AQ455">
        <v>2017</v>
      </c>
      <c r="AR455">
        <v>145631</v>
      </c>
      <c r="AS455">
        <v>4995377</v>
      </c>
      <c r="AT455">
        <v>177</v>
      </c>
      <c r="AU455" t="s">
        <v>84</v>
      </c>
      <c r="AV455">
        <v>562</v>
      </c>
      <c r="AW455" t="s">
        <v>85</v>
      </c>
      <c r="AX455" t="s">
        <v>86</v>
      </c>
      <c r="AY455">
        <v>562</v>
      </c>
      <c r="AZ455" t="s">
        <v>5546</v>
      </c>
      <c r="BA455" t="s">
        <v>88</v>
      </c>
      <c r="BC455" t="s">
        <v>5547</v>
      </c>
      <c r="BD455">
        <v>22</v>
      </c>
      <c r="BE455">
        <v>30</v>
      </c>
    </row>
    <row r="456" spans="1:57" hidden="1" x14ac:dyDescent="0.2">
      <c r="A456" t="s">
        <v>5548</v>
      </c>
      <c r="B456" t="s">
        <v>5549</v>
      </c>
      <c r="C456" t="s">
        <v>5535</v>
      </c>
      <c r="D456" t="s">
        <v>5550</v>
      </c>
      <c r="E456" t="s">
        <v>5550</v>
      </c>
      <c r="G456" t="s">
        <v>56</v>
      </c>
      <c r="H456" t="s">
        <v>57</v>
      </c>
      <c r="I456" t="s">
        <v>93</v>
      </c>
      <c r="J456">
        <v>0</v>
      </c>
      <c r="K456" t="s">
        <v>140</v>
      </c>
      <c r="L456" t="s">
        <v>5537</v>
      </c>
      <c r="M456" t="s">
        <v>7165</v>
      </c>
      <c r="N456" t="str">
        <f t="shared" si="4"/>
        <v>Meat</v>
      </c>
      <c r="O456" s="1" t="s">
        <v>5551</v>
      </c>
      <c r="P456" t="s">
        <v>5552</v>
      </c>
      <c r="Q456" s="1" t="s">
        <v>144</v>
      </c>
      <c r="R456" s="1" t="s">
        <v>3476</v>
      </c>
      <c r="S456" s="1" t="s">
        <v>5553</v>
      </c>
      <c r="T456" s="1">
        <v>329</v>
      </c>
      <c r="U456" s="1">
        <v>52150</v>
      </c>
      <c r="V456" s="1" t="s">
        <v>960</v>
      </c>
      <c r="W456" s="1">
        <v>9396677</v>
      </c>
      <c r="X456" t="s">
        <v>5554</v>
      </c>
      <c r="Y456" t="s">
        <v>5555</v>
      </c>
      <c r="AA456" t="s">
        <v>68</v>
      </c>
      <c r="AB456" t="s">
        <v>5556</v>
      </c>
      <c r="AC456" t="s">
        <v>5557</v>
      </c>
      <c r="AD456" t="s">
        <v>5558</v>
      </c>
      <c r="AE456" t="s">
        <v>5530</v>
      </c>
      <c r="AF456" t="s">
        <v>73</v>
      </c>
      <c r="AG456" t="s">
        <v>5559</v>
      </c>
      <c r="AH456" t="s">
        <v>5560</v>
      </c>
      <c r="AI456" t="s">
        <v>76</v>
      </c>
      <c r="AJ456" t="s">
        <v>77</v>
      </c>
      <c r="AK456" t="s">
        <v>5561</v>
      </c>
      <c r="AL456" t="s">
        <v>5562</v>
      </c>
      <c r="AM456" t="s">
        <v>5563</v>
      </c>
      <c r="AN456" t="s">
        <v>158</v>
      </c>
      <c r="AO456" t="s">
        <v>159</v>
      </c>
      <c r="AP456" t="s">
        <v>83</v>
      </c>
      <c r="AQ456">
        <v>2017</v>
      </c>
      <c r="AR456">
        <v>67045</v>
      </c>
      <c r="AS456">
        <v>5331905</v>
      </c>
      <c r="AT456">
        <v>330</v>
      </c>
      <c r="AU456" t="s">
        <v>84</v>
      </c>
      <c r="AV456">
        <v>562</v>
      </c>
      <c r="AW456" t="s">
        <v>85</v>
      </c>
      <c r="AX456" t="s">
        <v>86</v>
      </c>
      <c r="AY456">
        <v>562</v>
      </c>
      <c r="AZ456" t="s">
        <v>5564</v>
      </c>
      <c r="BA456" t="s">
        <v>88</v>
      </c>
    </row>
    <row r="457" spans="1:57" hidden="1" x14ac:dyDescent="0.2">
      <c r="A457" t="s">
        <v>5565</v>
      </c>
      <c r="B457" t="s">
        <v>5566</v>
      </c>
      <c r="C457" t="s">
        <v>5567</v>
      </c>
      <c r="D457" t="s">
        <v>5568</v>
      </c>
      <c r="E457" t="s">
        <v>5568</v>
      </c>
      <c r="G457" t="s">
        <v>56</v>
      </c>
      <c r="H457" t="s">
        <v>57</v>
      </c>
      <c r="I457" t="s">
        <v>93</v>
      </c>
      <c r="J457">
        <v>0</v>
      </c>
      <c r="K457" t="s">
        <v>5569</v>
      </c>
      <c r="L457" t="s">
        <v>5569</v>
      </c>
      <c r="M457" t="s">
        <v>60</v>
      </c>
      <c r="N457" t="str">
        <f t="shared" ref="N457:N487" si="5">M457</f>
        <v>Flour</v>
      </c>
      <c r="O457" s="1" t="s">
        <v>95</v>
      </c>
      <c r="P457" t="s">
        <v>96</v>
      </c>
      <c r="Q457" s="1" t="s">
        <v>97</v>
      </c>
      <c r="R457" s="1" t="s">
        <v>64</v>
      </c>
      <c r="S457" s="1" t="s">
        <v>98</v>
      </c>
      <c r="T457" s="1">
        <v>4496</v>
      </c>
      <c r="U457" s="1">
        <v>33427</v>
      </c>
      <c r="V457" s="1" t="s">
        <v>169</v>
      </c>
      <c r="W457" s="1" t="s">
        <v>170</v>
      </c>
      <c r="X457" t="s">
        <v>5570</v>
      </c>
      <c r="Y457" t="s">
        <v>5571</v>
      </c>
      <c r="AA457" t="s">
        <v>68</v>
      </c>
      <c r="AB457" t="s">
        <v>5572</v>
      </c>
      <c r="AC457" t="s">
        <v>5573</v>
      </c>
      <c r="AD457" t="s">
        <v>5574</v>
      </c>
      <c r="AE457" t="s">
        <v>72</v>
      </c>
      <c r="AF457" t="s">
        <v>73</v>
      </c>
      <c r="AG457" t="s">
        <v>5575</v>
      </c>
      <c r="AH457" t="s">
        <v>75</v>
      </c>
      <c r="AI457" t="s">
        <v>76</v>
      </c>
      <c r="AJ457" t="s">
        <v>77</v>
      </c>
      <c r="AK457" t="s">
        <v>106</v>
      </c>
      <c r="AL457" t="s">
        <v>107</v>
      </c>
      <c r="AM457" t="s">
        <v>80</v>
      </c>
      <c r="AN457" t="s">
        <v>81</v>
      </c>
      <c r="AO457" t="s">
        <v>82</v>
      </c>
      <c r="AP457" t="s">
        <v>83</v>
      </c>
      <c r="AQ457">
        <v>2017</v>
      </c>
      <c r="AR457">
        <v>218581</v>
      </c>
      <c r="AS457">
        <v>4983888</v>
      </c>
      <c r="AT457">
        <v>59</v>
      </c>
      <c r="AU457" t="s">
        <v>84</v>
      </c>
      <c r="AV457">
        <v>562</v>
      </c>
      <c r="AW457" t="s">
        <v>85</v>
      </c>
      <c r="AX457" t="s">
        <v>86</v>
      </c>
      <c r="AY457">
        <v>562</v>
      </c>
      <c r="AZ457" t="s">
        <v>5576</v>
      </c>
      <c r="BA457" t="s">
        <v>88</v>
      </c>
      <c r="BC457" t="s">
        <v>109</v>
      </c>
      <c r="BD457">
        <v>2</v>
      </c>
      <c r="BE457">
        <v>31</v>
      </c>
    </row>
    <row r="458" spans="1:57" hidden="1" x14ac:dyDescent="0.2">
      <c r="A458" t="s">
        <v>5577</v>
      </c>
      <c r="B458" t="s">
        <v>5578</v>
      </c>
      <c r="C458" t="s">
        <v>5579</v>
      </c>
      <c r="D458" t="s">
        <v>5580</v>
      </c>
      <c r="E458" t="s">
        <v>5580</v>
      </c>
      <c r="G458" t="s">
        <v>56</v>
      </c>
      <c r="H458" t="s">
        <v>57</v>
      </c>
      <c r="I458" t="s">
        <v>93</v>
      </c>
      <c r="J458">
        <v>0</v>
      </c>
      <c r="K458" t="s">
        <v>5537</v>
      </c>
      <c r="L458" t="s">
        <v>5537</v>
      </c>
      <c r="M458" t="s">
        <v>7165</v>
      </c>
      <c r="N458" t="str">
        <f t="shared" si="5"/>
        <v>Meat</v>
      </c>
      <c r="O458" s="1" t="s">
        <v>3647</v>
      </c>
      <c r="P458" t="s">
        <v>5581</v>
      </c>
      <c r="Q458" s="1" t="s">
        <v>144</v>
      </c>
      <c r="R458" s="8" t="s">
        <v>5582</v>
      </c>
      <c r="S458" s="1" t="s">
        <v>5583</v>
      </c>
      <c r="T458" s="1">
        <v>515</v>
      </c>
      <c r="U458" s="1">
        <v>15599</v>
      </c>
      <c r="V458" s="1" t="s">
        <v>5584</v>
      </c>
      <c r="W458" s="1">
        <v>9529871</v>
      </c>
      <c r="X458" t="s">
        <v>5585</v>
      </c>
      <c r="Y458" t="s">
        <v>5586</v>
      </c>
      <c r="AA458" t="s">
        <v>68</v>
      </c>
      <c r="AB458" t="s">
        <v>5587</v>
      </c>
      <c r="AC458" t="s">
        <v>5588</v>
      </c>
      <c r="AD458" t="s">
        <v>5589</v>
      </c>
      <c r="AE458" t="s">
        <v>3311</v>
      </c>
      <c r="AF458" t="s">
        <v>73</v>
      </c>
      <c r="AG458" t="s">
        <v>5590</v>
      </c>
      <c r="AH458" t="s">
        <v>5591</v>
      </c>
      <c r="AI458" t="s">
        <v>76</v>
      </c>
      <c r="AJ458" t="s">
        <v>77</v>
      </c>
      <c r="AK458" t="s">
        <v>5592</v>
      </c>
      <c r="AL458" t="s">
        <v>5593</v>
      </c>
      <c r="AM458" t="s">
        <v>5594</v>
      </c>
      <c r="AN458" t="s">
        <v>532</v>
      </c>
      <c r="AO458" t="s">
        <v>533</v>
      </c>
      <c r="AP458" t="s">
        <v>83</v>
      </c>
      <c r="AQ458">
        <v>2017</v>
      </c>
      <c r="AR458">
        <v>214313</v>
      </c>
      <c r="AS458">
        <v>5065945</v>
      </c>
      <c r="AT458">
        <v>154</v>
      </c>
      <c r="AU458" t="s">
        <v>84</v>
      </c>
      <c r="AV458">
        <v>562</v>
      </c>
      <c r="AW458" t="s">
        <v>85</v>
      </c>
      <c r="AX458" t="s">
        <v>86</v>
      </c>
      <c r="AY458">
        <v>562</v>
      </c>
      <c r="AZ458" t="s">
        <v>5595</v>
      </c>
      <c r="BA458" t="s">
        <v>88</v>
      </c>
      <c r="BC458" t="s">
        <v>5596</v>
      </c>
      <c r="BD458">
        <v>1</v>
      </c>
    </row>
    <row r="459" spans="1:57" hidden="1" x14ac:dyDescent="0.2">
      <c r="A459" t="s">
        <v>5597</v>
      </c>
      <c r="B459" t="s">
        <v>5598</v>
      </c>
      <c r="C459" t="s">
        <v>5579</v>
      </c>
      <c r="D459" t="s">
        <v>5599</v>
      </c>
      <c r="E459" t="s">
        <v>5599</v>
      </c>
      <c r="G459" t="s">
        <v>56</v>
      </c>
      <c r="H459" t="s">
        <v>57</v>
      </c>
      <c r="I459" t="s">
        <v>93</v>
      </c>
      <c r="J459">
        <v>0</v>
      </c>
      <c r="K459" t="s">
        <v>140</v>
      </c>
      <c r="L459" t="s">
        <v>5537</v>
      </c>
      <c r="M459" t="s">
        <v>7165</v>
      </c>
      <c r="N459" t="str">
        <f t="shared" si="5"/>
        <v>Meat</v>
      </c>
      <c r="O459" s="1" t="s">
        <v>3647</v>
      </c>
      <c r="P459" t="s">
        <v>5581</v>
      </c>
      <c r="Q459" s="1" t="s">
        <v>144</v>
      </c>
      <c r="R459" s="8" t="s">
        <v>5582</v>
      </c>
      <c r="S459" s="1" t="s">
        <v>5583</v>
      </c>
      <c r="T459" s="1">
        <v>515</v>
      </c>
      <c r="U459" s="1">
        <v>15599</v>
      </c>
      <c r="V459" s="1" t="s">
        <v>5584</v>
      </c>
      <c r="W459" s="1">
        <v>9529871</v>
      </c>
      <c r="X459" t="s">
        <v>5600</v>
      </c>
      <c r="Y459" t="s">
        <v>5601</v>
      </c>
      <c r="AA459" t="s">
        <v>68</v>
      </c>
      <c r="AB459" t="s">
        <v>5602</v>
      </c>
      <c r="AC459" t="s">
        <v>5603</v>
      </c>
      <c r="AD459" t="s">
        <v>5604</v>
      </c>
      <c r="AE459" t="s">
        <v>2465</v>
      </c>
      <c r="AF459" t="s">
        <v>73</v>
      </c>
      <c r="AG459" t="s">
        <v>5605</v>
      </c>
      <c r="AH459" t="s">
        <v>5591</v>
      </c>
      <c r="AI459" t="s">
        <v>76</v>
      </c>
      <c r="AJ459" t="s">
        <v>77</v>
      </c>
      <c r="AK459" t="s">
        <v>5592</v>
      </c>
      <c r="AL459" t="s">
        <v>5593</v>
      </c>
      <c r="AM459" t="s">
        <v>5594</v>
      </c>
      <c r="AN459" t="s">
        <v>532</v>
      </c>
      <c r="AO459" t="s">
        <v>533</v>
      </c>
      <c r="AP459" t="s">
        <v>83</v>
      </c>
      <c r="AQ459">
        <v>2017</v>
      </c>
      <c r="AR459">
        <v>200372</v>
      </c>
      <c r="AS459">
        <v>5064535</v>
      </c>
      <c r="AT459">
        <v>143</v>
      </c>
      <c r="AU459" t="s">
        <v>84</v>
      </c>
      <c r="AV459">
        <v>562</v>
      </c>
      <c r="AW459" t="s">
        <v>85</v>
      </c>
      <c r="AX459" t="s">
        <v>86</v>
      </c>
      <c r="AY459">
        <v>562</v>
      </c>
      <c r="AZ459" t="s">
        <v>5606</v>
      </c>
      <c r="BA459" t="s">
        <v>88</v>
      </c>
      <c r="BC459" t="s">
        <v>5596</v>
      </c>
      <c r="BD459">
        <v>0</v>
      </c>
    </row>
    <row r="460" spans="1:57" hidden="1" x14ac:dyDescent="0.2">
      <c r="A460" t="s">
        <v>5607</v>
      </c>
      <c r="B460" t="s">
        <v>5608</v>
      </c>
      <c r="C460" t="s">
        <v>5609</v>
      </c>
      <c r="D460" t="s">
        <v>5610</v>
      </c>
      <c r="E460" t="s">
        <v>5610</v>
      </c>
      <c r="F460" t="s">
        <v>2985</v>
      </c>
      <c r="G460" t="s">
        <v>56</v>
      </c>
      <c r="H460" t="s">
        <v>57</v>
      </c>
      <c r="I460" t="s">
        <v>58</v>
      </c>
      <c r="J460" t="s">
        <v>5611</v>
      </c>
      <c r="K460" t="s">
        <v>140</v>
      </c>
      <c r="L460" t="s">
        <v>5612</v>
      </c>
      <c r="M460" t="s">
        <v>7165</v>
      </c>
      <c r="N460" t="str">
        <f t="shared" si="5"/>
        <v>Meat</v>
      </c>
      <c r="O460" s="1" t="s">
        <v>5613</v>
      </c>
      <c r="P460" t="s">
        <v>5614</v>
      </c>
      <c r="Q460" s="1" t="s">
        <v>4494</v>
      </c>
      <c r="R460" s="1" t="s">
        <v>250</v>
      </c>
      <c r="S460" s="1" t="s">
        <v>751</v>
      </c>
      <c r="T460" s="1">
        <v>17</v>
      </c>
      <c r="U460" s="1">
        <v>2169</v>
      </c>
      <c r="V460" s="1" t="s">
        <v>5615</v>
      </c>
      <c r="W460" s="1">
        <v>9529871</v>
      </c>
      <c r="X460" t="s">
        <v>5616</v>
      </c>
      <c r="Y460" t="s">
        <v>5617</v>
      </c>
      <c r="AA460" t="s">
        <v>68</v>
      </c>
      <c r="AB460" t="s">
        <v>5618</v>
      </c>
      <c r="AC460" t="s">
        <v>5619</v>
      </c>
      <c r="AD460" t="s">
        <v>5620</v>
      </c>
      <c r="AE460" t="s">
        <v>864</v>
      </c>
      <c r="AF460" t="s">
        <v>73</v>
      </c>
      <c r="AG460" t="s">
        <v>5621</v>
      </c>
      <c r="AH460" t="s">
        <v>5622</v>
      </c>
      <c r="AI460" t="s">
        <v>76</v>
      </c>
      <c r="AJ460" t="s">
        <v>77</v>
      </c>
      <c r="AK460" t="s">
        <v>5623</v>
      </c>
      <c r="AL460" t="s">
        <v>5624</v>
      </c>
      <c r="AM460" t="s">
        <v>5625</v>
      </c>
      <c r="AN460" t="s">
        <v>81</v>
      </c>
      <c r="AO460" t="s">
        <v>82</v>
      </c>
      <c r="AP460" t="s">
        <v>83</v>
      </c>
      <c r="AQ460">
        <v>2017</v>
      </c>
      <c r="AR460">
        <v>132165</v>
      </c>
      <c r="AS460">
        <v>5777375</v>
      </c>
      <c r="AT460">
        <v>284</v>
      </c>
      <c r="AU460" t="s">
        <v>84</v>
      </c>
      <c r="AV460">
        <v>562</v>
      </c>
      <c r="AW460" t="s">
        <v>85</v>
      </c>
      <c r="AX460" t="s">
        <v>86</v>
      </c>
      <c r="AY460">
        <v>562</v>
      </c>
      <c r="AZ460" t="s">
        <v>5626</v>
      </c>
      <c r="BA460" t="s">
        <v>88</v>
      </c>
      <c r="BC460" t="s">
        <v>5627</v>
      </c>
      <c r="BD460">
        <v>26</v>
      </c>
      <c r="BE460">
        <v>16</v>
      </c>
    </row>
    <row r="461" spans="1:57" hidden="1" x14ac:dyDescent="0.2">
      <c r="A461" t="s">
        <v>5628</v>
      </c>
      <c r="B461" t="s">
        <v>5629</v>
      </c>
      <c r="C461" t="s">
        <v>5630</v>
      </c>
      <c r="D461" t="s">
        <v>5631</v>
      </c>
      <c r="E461" t="s">
        <v>5631</v>
      </c>
      <c r="G461" t="s">
        <v>56</v>
      </c>
      <c r="H461" t="s">
        <v>57</v>
      </c>
      <c r="I461" t="s">
        <v>58</v>
      </c>
      <c r="J461" t="s">
        <v>5632</v>
      </c>
      <c r="K461" t="s">
        <v>5537</v>
      </c>
      <c r="L461" t="s">
        <v>5537</v>
      </c>
      <c r="M461" t="s">
        <v>7165</v>
      </c>
      <c r="N461" t="str">
        <f t="shared" si="5"/>
        <v>Meat</v>
      </c>
      <c r="O461" s="1" t="s">
        <v>3903</v>
      </c>
      <c r="P461" t="s">
        <v>5633</v>
      </c>
      <c r="Q461" s="1" t="s">
        <v>166</v>
      </c>
      <c r="R461" s="1" t="s">
        <v>250</v>
      </c>
      <c r="S461" s="1" t="s">
        <v>251</v>
      </c>
      <c r="T461" s="1">
        <v>101</v>
      </c>
      <c r="U461" s="1">
        <v>1589</v>
      </c>
      <c r="V461" s="1" t="s">
        <v>5634</v>
      </c>
      <c r="W461" s="1">
        <v>9664487</v>
      </c>
      <c r="X461" t="s">
        <v>5635</v>
      </c>
      <c r="Y461" t="s">
        <v>5636</v>
      </c>
      <c r="AA461" t="s">
        <v>68</v>
      </c>
      <c r="AB461" t="s">
        <v>5637</v>
      </c>
      <c r="AC461" t="s">
        <v>5638</v>
      </c>
      <c r="AD461" t="s">
        <v>5639</v>
      </c>
      <c r="AE461" t="s">
        <v>864</v>
      </c>
      <c r="AF461" t="s">
        <v>73</v>
      </c>
      <c r="AG461" t="s">
        <v>5640</v>
      </c>
      <c r="AH461" t="s">
        <v>5641</v>
      </c>
      <c r="AI461" t="s">
        <v>76</v>
      </c>
      <c r="AJ461" t="s">
        <v>77</v>
      </c>
      <c r="AK461" t="s">
        <v>5642</v>
      </c>
      <c r="AL461" t="s">
        <v>5643</v>
      </c>
      <c r="AM461" t="s">
        <v>5644</v>
      </c>
      <c r="AN461" t="s">
        <v>81</v>
      </c>
      <c r="AO461" t="s">
        <v>82</v>
      </c>
      <c r="AP461" t="s">
        <v>83</v>
      </c>
      <c r="AQ461">
        <v>2017</v>
      </c>
      <c r="AR461">
        <v>119590</v>
      </c>
      <c r="AS461">
        <v>5422313</v>
      </c>
      <c r="AT461">
        <v>121</v>
      </c>
      <c r="AU461" t="s">
        <v>84</v>
      </c>
      <c r="AV461">
        <v>562</v>
      </c>
      <c r="AW461" t="s">
        <v>85</v>
      </c>
      <c r="AX461" t="s">
        <v>86</v>
      </c>
      <c r="AY461">
        <v>562</v>
      </c>
      <c r="AZ461" t="s">
        <v>5645</v>
      </c>
      <c r="BA461" t="s">
        <v>88</v>
      </c>
      <c r="BC461" t="s">
        <v>5646</v>
      </c>
      <c r="BD461">
        <v>0</v>
      </c>
    </row>
    <row r="462" spans="1:57" hidden="1" x14ac:dyDescent="0.2">
      <c r="A462" t="s">
        <v>5647</v>
      </c>
      <c r="B462" t="s">
        <v>5648</v>
      </c>
      <c r="C462" t="s">
        <v>5630</v>
      </c>
      <c r="D462" t="s">
        <v>5649</v>
      </c>
      <c r="E462" t="s">
        <v>5649</v>
      </c>
      <c r="G462" t="s">
        <v>56</v>
      </c>
      <c r="H462" t="s">
        <v>57</v>
      </c>
      <c r="I462" t="s">
        <v>58</v>
      </c>
      <c r="J462" t="s">
        <v>5632</v>
      </c>
      <c r="K462" t="s">
        <v>5650</v>
      </c>
      <c r="L462" t="s">
        <v>5537</v>
      </c>
      <c r="M462" t="s">
        <v>7165</v>
      </c>
      <c r="N462" t="str">
        <f t="shared" si="5"/>
        <v>Meat</v>
      </c>
      <c r="O462" s="1" t="s">
        <v>3903</v>
      </c>
      <c r="P462" t="s">
        <v>5651</v>
      </c>
      <c r="Q462" s="1" t="s">
        <v>166</v>
      </c>
      <c r="R462" s="1" t="s">
        <v>250</v>
      </c>
      <c r="S462" s="1" t="s">
        <v>251</v>
      </c>
      <c r="T462" s="1">
        <v>101</v>
      </c>
      <c r="U462" s="1">
        <v>1589</v>
      </c>
      <c r="V462" s="1" t="s">
        <v>5652</v>
      </c>
      <c r="W462" s="1">
        <v>0</v>
      </c>
      <c r="X462" t="s">
        <v>5653</v>
      </c>
      <c r="Y462" t="s">
        <v>5654</v>
      </c>
      <c r="AA462" t="s">
        <v>68</v>
      </c>
      <c r="AB462" t="s">
        <v>5655</v>
      </c>
      <c r="AC462" t="s">
        <v>5656</v>
      </c>
      <c r="AD462" t="s">
        <v>5657</v>
      </c>
      <c r="AE462" t="s">
        <v>2806</v>
      </c>
      <c r="AF462" t="s">
        <v>73</v>
      </c>
      <c r="AG462" t="s">
        <v>5658</v>
      </c>
      <c r="AH462" t="s">
        <v>5641</v>
      </c>
      <c r="AI462" t="s">
        <v>76</v>
      </c>
      <c r="AJ462" t="s">
        <v>77</v>
      </c>
      <c r="AK462" t="s">
        <v>5659</v>
      </c>
      <c r="AL462" t="s">
        <v>5643</v>
      </c>
      <c r="AM462" t="s">
        <v>5644</v>
      </c>
      <c r="AN462" t="s">
        <v>81</v>
      </c>
      <c r="AO462" t="s">
        <v>82</v>
      </c>
      <c r="AP462" t="s">
        <v>83</v>
      </c>
      <c r="AQ462">
        <v>2017</v>
      </c>
      <c r="AR462">
        <v>92944</v>
      </c>
      <c r="AS462">
        <v>5395643</v>
      </c>
      <c r="AT462">
        <v>172</v>
      </c>
      <c r="AU462" t="s">
        <v>84</v>
      </c>
      <c r="AV462">
        <v>562</v>
      </c>
      <c r="AW462" t="s">
        <v>85</v>
      </c>
      <c r="AX462" t="s">
        <v>86</v>
      </c>
      <c r="AY462">
        <v>562</v>
      </c>
      <c r="AZ462" t="s">
        <v>5660</v>
      </c>
      <c r="BA462" t="s">
        <v>88</v>
      </c>
      <c r="BC462" t="s">
        <v>5646</v>
      </c>
      <c r="BD462">
        <v>0</v>
      </c>
    </row>
    <row r="463" spans="1:57" hidden="1" x14ac:dyDescent="0.2">
      <c r="A463" t="s">
        <v>5661</v>
      </c>
      <c r="B463" t="s">
        <v>5662</v>
      </c>
      <c r="C463" t="s">
        <v>5630</v>
      </c>
      <c r="D463" t="s">
        <v>5663</v>
      </c>
      <c r="E463" t="s">
        <v>5663</v>
      </c>
      <c r="G463" t="s">
        <v>56</v>
      </c>
      <c r="H463" t="s">
        <v>57</v>
      </c>
      <c r="I463" t="s">
        <v>58</v>
      </c>
      <c r="J463" t="s">
        <v>5632</v>
      </c>
      <c r="K463" t="s">
        <v>5537</v>
      </c>
      <c r="L463" t="s">
        <v>5537</v>
      </c>
      <c r="M463" t="s">
        <v>7165</v>
      </c>
      <c r="N463" t="str">
        <f t="shared" si="5"/>
        <v>Meat</v>
      </c>
      <c r="O463" s="1" t="s">
        <v>3903</v>
      </c>
      <c r="P463" t="s">
        <v>5664</v>
      </c>
      <c r="Q463" s="1" t="s">
        <v>166</v>
      </c>
      <c r="R463" s="1" t="s">
        <v>250</v>
      </c>
      <c r="S463" s="1" t="s">
        <v>251</v>
      </c>
      <c r="T463" s="1">
        <v>101</v>
      </c>
      <c r="U463" s="1">
        <v>1589</v>
      </c>
      <c r="V463" s="1" t="s">
        <v>5634</v>
      </c>
      <c r="W463" s="1">
        <v>9664487</v>
      </c>
      <c r="X463" t="s">
        <v>5665</v>
      </c>
      <c r="Y463" t="s">
        <v>5666</v>
      </c>
      <c r="AA463" t="s">
        <v>68</v>
      </c>
      <c r="AB463" t="s">
        <v>5667</v>
      </c>
      <c r="AC463" t="s">
        <v>5668</v>
      </c>
      <c r="AD463" t="s">
        <v>5669</v>
      </c>
      <c r="AE463" t="s">
        <v>2806</v>
      </c>
      <c r="AF463" t="s">
        <v>73</v>
      </c>
      <c r="AG463" t="s">
        <v>5670</v>
      </c>
      <c r="AH463" t="s">
        <v>5671</v>
      </c>
      <c r="AI463" t="s">
        <v>76</v>
      </c>
      <c r="AJ463" t="s">
        <v>77</v>
      </c>
      <c r="AK463" t="s">
        <v>5642</v>
      </c>
      <c r="AL463" t="s">
        <v>5672</v>
      </c>
      <c r="AM463" t="s">
        <v>5673</v>
      </c>
      <c r="AN463" t="s">
        <v>81</v>
      </c>
      <c r="AO463" t="s">
        <v>82</v>
      </c>
      <c r="AP463" t="s">
        <v>83</v>
      </c>
      <c r="AQ463">
        <v>2017</v>
      </c>
      <c r="AR463">
        <v>164017</v>
      </c>
      <c r="AS463">
        <v>5456490</v>
      </c>
      <c r="AT463">
        <v>112</v>
      </c>
      <c r="AU463" t="s">
        <v>84</v>
      </c>
      <c r="AV463">
        <v>562</v>
      </c>
      <c r="AW463" t="s">
        <v>85</v>
      </c>
      <c r="AX463" t="s">
        <v>86</v>
      </c>
      <c r="AY463">
        <v>562</v>
      </c>
      <c r="AZ463" t="s">
        <v>5674</v>
      </c>
      <c r="BA463" t="s">
        <v>88</v>
      </c>
      <c r="BC463" t="s">
        <v>5646</v>
      </c>
      <c r="BD463">
        <v>0</v>
      </c>
    </row>
    <row r="464" spans="1:57" hidden="1" x14ac:dyDescent="0.2">
      <c r="A464" t="s">
        <v>5675</v>
      </c>
      <c r="B464" t="s">
        <v>5676</v>
      </c>
      <c r="C464" t="s">
        <v>5630</v>
      </c>
      <c r="D464" t="s">
        <v>5677</v>
      </c>
      <c r="E464" t="s">
        <v>5677</v>
      </c>
      <c r="G464" t="s">
        <v>56</v>
      </c>
      <c r="H464" t="s">
        <v>57</v>
      </c>
      <c r="I464" t="s">
        <v>58</v>
      </c>
      <c r="J464" t="s">
        <v>5632</v>
      </c>
      <c r="K464" t="s">
        <v>140</v>
      </c>
      <c r="L464" t="s">
        <v>5537</v>
      </c>
      <c r="M464" t="s">
        <v>7165</v>
      </c>
      <c r="N464" t="str">
        <f t="shared" si="5"/>
        <v>Meat</v>
      </c>
      <c r="O464" s="1" t="s">
        <v>3903</v>
      </c>
      <c r="P464" t="s">
        <v>5664</v>
      </c>
      <c r="Q464" s="1" t="s">
        <v>166</v>
      </c>
      <c r="R464" s="1" t="s">
        <v>250</v>
      </c>
      <c r="S464" s="1" t="s">
        <v>251</v>
      </c>
      <c r="T464" s="1">
        <v>101</v>
      </c>
      <c r="U464" s="1">
        <v>1589</v>
      </c>
      <c r="V464" s="1" t="s">
        <v>5634</v>
      </c>
      <c r="W464" s="1">
        <v>9664487</v>
      </c>
      <c r="X464" t="s">
        <v>5678</v>
      </c>
      <c r="Y464" t="s">
        <v>5679</v>
      </c>
      <c r="AA464" t="s">
        <v>68</v>
      </c>
      <c r="AB464" t="s">
        <v>5680</v>
      </c>
      <c r="AC464" t="s">
        <v>5681</v>
      </c>
      <c r="AD464" t="s">
        <v>5682</v>
      </c>
      <c r="AE464" t="s">
        <v>2905</v>
      </c>
      <c r="AF464" t="s">
        <v>73</v>
      </c>
      <c r="AG464" t="s">
        <v>5683</v>
      </c>
      <c r="AH464" t="s">
        <v>5671</v>
      </c>
      <c r="AI464" t="s">
        <v>76</v>
      </c>
      <c r="AJ464" t="s">
        <v>77</v>
      </c>
      <c r="AK464" t="s">
        <v>5642</v>
      </c>
      <c r="AL464" t="s">
        <v>5672</v>
      </c>
      <c r="AM464" t="s">
        <v>5673</v>
      </c>
      <c r="AN464" t="s">
        <v>81</v>
      </c>
      <c r="AO464" t="s">
        <v>82</v>
      </c>
      <c r="AP464" t="s">
        <v>83</v>
      </c>
      <c r="AQ464">
        <v>2017</v>
      </c>
      <c r="AR464">
        <v>134888</v>
      </c>
      <c r="AS464">
        <v>5460607</v>
      </c>
      <c r="AT464">
        <v>173</v>
      </c>
      <c r="AU464" t="s">
        <v>84</v>
      </c>
      <c r="AV464">
        <v>562</v>
      </c>
      <c r="AW464" t="s">
        <v>85</v>
      </c>
      <c r="AX464" t="s">
        <v>86</v>
      </c>
      <c r="AY464">
        <v>562</v>
      </c>
      <c r="AZ464" t="s">
        <v>5684</v>
      </c>
      <c r="BA464" t="s">
        <v>88</v>
      </c>
      <c r="BC464" t="s">
        <v>5646</v>
      </c>
      <c r="BD464">
        <v>1</v>
      </c>
    </row>
    <row r="465" spans="1:56" hidden="1" x14ac:dyDescent="0.2">
      <c r="A465" t="s">
        <v>5685</v>
      </c>
      <c r="B465" t="s">
        <v>5686</v>
      </c>
      <c r="C465" t="s">
        <v>5630</v>
      </c>
      <c r="D465" t="s">
        <v>5687</v>
      </c>
      <c r="E465" t="s">
        <v>5687</v>
      </c>
      <c r="G465" t="s">
        <v>56</v>
      </c>
      <c r="H465" t="s">
        <v>57</v>
      </c>
      <c r="I465" t="s">
        <v>58</v>
      </c>
      <c r="J465" t="s">
        <v>5632</v>
      </c>
      <c r="K465" t="s">
        <v>5537</v>
      </c>
      <c r="L465" t="s">
        <v>5537</v>
      </c>
      <c r="M465" t="s">
        <v>7165</v>
      </c>
      <c r="N465" t="str">
        <f t="shared" si="5"/>
        <v>Meat</v>
      </c>
      <c r="O465" s="1" t="s">
        <v>3903</v>
      </c>
      <c r="P465" t="s">
        <v>5664</v>
      </c>
      <c r="Q465" s="1" t="s">
        <v>166</v>
      </c>
      <c r="R465" s="1" t="s">
        <v>250</v>
      </c>
      <c r="S465" s="1" t="s">
        <v>251</v>
      </c>
      <c r="T465" s="1">
        <v>101</v>
      </c>
      <c r="U465" s="1">
        <v>1589</v>
      </c>
      <c r="V465" s="1" t="s">
        <v>5634</v>
      </c>
      <c r="W465" s="1">
        <v>9664487</v>
      </c>
      <c r="X465" t="s">
        <v>5688</v>
      </c>
      <c r="Y465" t="s">
        <v>5689</v>
      </c>
      <c r="AA465" t="s">
        <v>68</v>
      </c>
      <c r="AB465" t="s">
        <v>5690</v>
      </c>
      <c r="AC465" t="s">
        <v>5691</v>
      </c>
      <c r="AD465" t="s">
        <v>5692</v>
      </c>
      <c r="AE465" t="s">
        <v>152</v>
      </c>
      <c r="AF465" t="s">
        <v>73</v>
      </c>
      <c r="AG465" t="s">
        <v>5693</v>
      </c>
      <c r="AH465" t="s">
        <v>5671</v>
      </c>
      <c r="AI465" t="s">
        <v>76</v>
      </c>
      <c r="AJ465" t="s">
        <v>77</v>
      </c>
      <c r="AK465" t="s">
        <v>5694</v>
      </c>
      <c r="AL465" t="s">
        <v>5672</v>
      </c>
      <c r="AM465" t="s">
        <v>5673</v>
      </c>
      <c r="AN465" t="s">
        <v>158</v>
      </c>
      <c r="AO465" t="s">
        <v>159</v>
      </c>
      <c r="AP465" t="s">
        <v>83</v>
      </c>
      <c r="AQ465">
        <v>2017</v>
      </c>
      <c r="AR465">
        <v>151303</v>
      </c>
      <c r="AS465">
        <v>5462718</v>
      </c>
      <c r="AT465">
        <v>123</v>
      </c>
      <c r="AU465" t="s">
        <v>84</v>
      </c>
      <c r="AV465">
        <v>562</v>
      </c>
      <c r="AW465" t="s">
        <v>85</v>
      </c>
      <c r="AX465" t="s">
        <v>86</v>
      </c>
      <c r="AY465">
        <v>562</v>
      </c>
      <c r="AZ465" t="s">
        <v>5695</v>
      </c>
      <c r="BA465" t="s">
        <v>88</v>
      </c>
      <c r="BC465" t="s">
        <v>5646</v>
      </c>
      <c r="BD465">
        <v>0</v>
      </c>
    </row>
    <row r="466" spans="1:56" hidden="1" x14ac:dyDescent="0.2">
      <c r="A466" t="s">
        <v>5696</v>
      </c>
      <c r="B466" t="s">
        <v>5697</v>
      </c>
      <c r="C466" t="s">
        <v>5698</v>
      </c>
      <c r="D466" t="s">
        <v>5699</v>
      </c>
      <c r="E466" t="s">
        <v>5699</v>
      </c>
      <c r="G466" t="s">
        <v>56</v>
      </c>
      <c r="H466" t="s">
        <v>57</v>
      </c>
      <c r="I466" t="s">
        <v>93</v>
      </c>
      <c r="J466">
        <v>0</v>
      </c>
      <c r="K466" t="s">
        <v>5442</v>
      </c>
      <c r="L466" t="s">
        <v>5443</v>
      </c>
      <c r="M466" t="s">
        <v>7169</v>
      </c>
      <c r="N466" t="str">
        <f t="shared" si="5"/>
        <v>Nuts/Seeds</v>
      </c>
      <c r="O466" s="1" t="s">
        <v>3134</v>
      </c>
      <c r="P466" t="s">
        <v>5700</v>
      </c>
      <c r="Q466" s="1" t="s">
        <v>144</v>
      </c>
      <c r="R466" s="1" t="s">
        <v>64</v>
      </c>
      <c r="S466" s="1" t="s">
        <v>98</v>
      </c>
      <c r="T466" s="1">
        <v>162</v>
      </c>
      <c r="U466" s="1">
        <v>1544</v>
      </c>
      <c r="V466" s="1" t="s">
        <v>169</v>
      </c>
      <c r="W466" s="1">
        <v>9664487</v>
      </c>
      <c r="X466" t="s">
        <v>5701</v>
      </c>
      <c r="Y466" t="s">
        <v>5702</v>
      </c>
      <c r="AA466" t="s">
        <v>68</v>
      </c>
      <c r="AB466" t="s">
        <v>5703</v>
      </c>
      <c r="AC466" t="s">
        <v>5704</v>
      </c>
      <c r="AD466" t="s">
        <v>5705</v>
      </c>
      <c r="AE466" t="s">
        <v>2905</v>
      </c>
      <c r="AF466" t="s">
        <v>73</v>
      </c>
      <c r="AG466" t="s">
        <v>5706</v>
      </c>
      <c r="AH466" t="s">
        <v>75</v>
      </c>
      <c r="AI466" t="s">
        <v>76</v>
      </c>
      <c r="AJ466" t="s">
        <v>77</v>
      </c>
      <c r="AK466" t="s">
        <v>5707</v>
      </c>
      <c r="AL466" t="s">
        <v>156</v>
      </c>
      <c r="AM466" t="s">
        <v>80</v>
      </c>
      <c r="AN466" t="s">
        <v>81</v>
      </c>
      <c r="AO466" t="s">
        <v>82</v>
      </c>
      <c r="AP466" t="s">
        <v>83</v>
      </c>
      <c r="AQ466">
        <v>2017</v>
      </c>
      <c r="AR466">
        <v>189557</v>
      </c>
      <c r="AS466">
        <v>5124305</v>
      </c>
      <c r="AT466">
        <v>84</v>
      </c>
      <c r="AU466" t="s">
        <v>84</v>
      </c>
      <c r="AV466">
        <v>562</v>
      </c>
      <c r="AW466" t="s">
        <v>85</v>
      </c>
      <c r="AX466" t="s">
        <v>86</v>
      </c>
      <c r="AY466">
        <v>562</v>
      </c>
      <c r="AZ466" t="s">
        <v>5708</v>
      </c>
      <c r="BA466" t="s">
        <v>88</v>
      </c>
    </row>
    <row r="467" spans="1:56" hidden="1" x14ac:dyDescent="0.2">
      <c r="A467" t="s">
        <v>5709</v>
      </c>
      <c r="B467" t="s">
        <v>5710</v>
      </c>
      <c r="C467" t="s">
        <v>5711</v>
      </c>
      <c r="D467" t="s">
        <v>5712</v>
      </c>
      <c r="E467" t="s">
        <v>5712</v>
      </c>
      <c r="G467" t="s">
        <v>56</v>
      </c>
      <c r="H467" t="s">
        <v>57</v>
      </c>
      <c r="I467" t="s">
        <v>93</v>
      </c>
      <c r="J467">
        <v>0</v>
      </c>
      <c r="K467" t="s">
        <v>140</v>
      </c>
      <c r="L467" t="s">
        <v>5537</v>
      </c>
      <c r="M467" t="s">
        <v>7165</v>
      </c>
      <c r="N467" t="str">
        <f t="shared" si="5"/>
        <v>Meat</v>
      </c>
      <c r="O467" s="1" t="s">
        <v>5713</v>
      </c>
      <c r="P467" t="s">
        <v>5714</v>
      </c>
      <c r="Q467" s="1" t="s">
        <v>126</v>
      </c>
      <c r="R467" s="1" t="s">
        <v>127</v>
      </c>
      <c r="S467" s="1" t="s">
        <v>5715</v>
      </c>
      <c r="T467" s="1">
        <v>691</v>
      </c>
      <c r="U467" s="1">
        <v>52838</v>
      </c>
      <c r="V467" s="1" t="s">
        <v>5716</v>
      </c>
      <c r="W467" s="1">
        <v>9664487</v>
      </c>
      <c r="X467" t="s">
        <v>5717</v>
      </c>
      <c r="Y467" t="s">
        <v>5718</v>
      </c>
      <c r="AA467" t="s">
        <v>68</v>
      </c>
      <c r="AB467" t="s">
        <v>5719</v>
      </c>
      <c r="AC467" t="s">
        <v>5720</v>
      </c>
      <c r="AD467" t="s">
        <v>5721</v>
      </c>
      <c r="AE467" t="s">
        <v>4106</v>
      </c>
      <c r="AF467" t="s">
        <v>73</v>
      </c>
      <c r="AG467" t="s">
        <v>5722</v>
      </c>
      <c r="AH467" t="s">
        <v>5723</v>
      </c>
      <c r="AI467" t="s">
        <v>76</v>
      </c>
      <c r="AJ467" t="s">
        <v>77</v>
      </c>
      <c r="AK467" t="s">
        <v>5724</v>
      </c>
      <c r="AL467" t="s">
        <v>3115</v>
      </c>
      <c r="AM467" t="s">
        <v>5725</v>
      </c>
      <c r="AN467" t="s">
        <v>81</v>
      </c>
      <c r="AO467" t="s">
        <v>82</v>
      </c>
      <c r="AP467" t="s">
        <v>83</v>
      </c>
      <c r="AQ467">
        <v>2017</v>
      </c>
      <c r="AR467">
        <v>181104</v>
      </c>
      <c r="AS467">
        <v>5320323</v>
      </c>
      <c r="AT467">
        <v>90</v>
      </c>
      <c r="AU467" t="s">
        <v>84</v>
      </c>
      <c r="AV467">
        <v>562</v>
      </c>
      <c r="AW467" t="s">
        <v>85</v>
      </c>
      <c r="AX467" t="s">
        <v>86</v>
      </c>
      <c r="AY467">
        <v>562</v>
      </c>
      <c r="AZ467" t="s">
        <v>5726</v>
      </c>
      <c r="BA467" t="s">
        <v>88</v>
      </c>
    </row>
    <row r="468" spans="1:56" hidden="1" x14ac:dyDescent="0.2">
      <c r="A468" t="s">
        <v>5727</v>
      </c>
      <c r="B468" t="s">
        <v>5728</v>
      </c>
      <c r="C468" t="s">
        <v>5711</v>
      </c>
      <c r="D468" t="s">
        <v>5729</v>
      </c>
      <c r="E468" t="s">
        <v>5729</v>
      </c>
      <c r="G468" t="s">
        <v>56</v>
      </c>
      <c r="H468" t="s">
        <v>57</v>
      </c>
      <c r="I468" t="s">
        <v>93</v>
      </c>
      <c r="J468">
        <v>0</v>
      </c>
      <c r="K468" t="s">
        <v>140</v>
      </c>
      <c r="L468" t="s">
        <v>5537</v>
      </c>
      <c r="M468" t="s">
        <v>7165</v>
      </c>
      <c r="N468" t="str">
        <f t="shared" si="5"/>
        <v>Meat</v>
      </c>
      <c r="O468" s="1" t="s">
        <v>248</v>
      </c>
      <c r="P468" t="s">
        <v>5730</v>
      </c>
      <c r="Q468" s="1" t="s">
        <v>166</v>
      </c>
      <c r="R468" s="1" t="s">
        <v>250</v>
      </c>
      <c r="S468" s="1" t="s">
        <v>251</v>
      </c>
      <c r="T468" s="1">
        <v>3589</v>
      </c>
      <c r="U468" s="1">
        <v>35160</v>
      </c>
      <c r="V468" s="1" t="s">
        <v>960</v>
      </c>
      <c r="W468" s="1">
        <v>9664487</v>
      </c>
      <c r="X468" t="s">
        <v>5731</v>
      </c>
      <c r="Y468" t="s">
        <v>5732</v>
      </c>
      <c r="AA468" t="s">
        <v>68</v>
      </c>
      <c r="AB468" t="s">
        <v>5733</v>
      </c>
      <c r="AC468" t="s">
        <v>5734</v>
      </c>
      <c r="AD468" t="s">
        <v>5735</v>
      </c>
      <c r="AE468" t="s">
        <v>2905</v>
      </c>
      <c r="AF468" t="s">
        <v>73</v>
      </c>
      <c r="AG468" t="s">
        <v>5736</v>
      </c>
      <c r="AH468" t="s">
        <v>967</v>
      </c>
      <c r="AI468" t="s">
        <v>76</v>
      </c>
      <c r="AJ468" t="s">
        <v>77</v>
      </c>
      <c r="AK468" t="s">
        <v>5737</v>
      </c>
      <c r="AL468" t="s">
        <v>5738</v>
      </c>
      <c r="AM468" t="s">
        <v>5739</v>
      </c>
      <c r="AN468" t="s">
        <v>81</v>
      </c>
      <c r="AO468" t="s">
        <v>82</v>
      </c>
      <c r="AP468" t="s">
        <v>83</v>
      </c>
      <c r="AQ468">
        <v>2017</v>
      </c>
      <c r="AR468">
        <v>357710</v>
      </c>
      <c r="AS468">
        <v>5220142</v>
      </c>
      <c r="AT468">
        <v>85</v>
      </c>
      <c r="AU468" t="s">
        <v>84</v>
      </c>
      <c r="AV468">
        <v>562</v>
      </c>
      <c r="AW468" t="s">
        <v>85</v>
      </c>
      <c r="AX468" t="s">
        <v>86</v>
      </c>
      <c r="AY468">
        <v>562</v>
      </c>
      <c r="AZ468" t="s">
        <v>5740</v>
      </c>
      <c r="BA468" t="s">
        <v>88</v>
      </c>
    </row>
    <row r="469" spans="1:56" hidden="1" x14ac:dyDescent="0.2">
      <c r="A469" t="s">
        <v>5741</v>
      </c>
      <c r="B469" t="s">
        <v>5742</v>
      </c>
      <c r="C469" t="s">
        <v>5743</v>
      </c>
      <c r="D469" t="s">
        <v>5744</v>
      </c>
      <c r="E469" t="s">
        <v>5744</v>
      </c>
      <c r="G469" t="s">
        <v>56</v>
      </c>
      <c r="H469" t="s">
        <v>57</v>
      </c>
      <c r="I469" t="s">
        <v>93</v>
      </c>
      <c r="J469">
        <v>0</v>
      </c>
      <c r="K469" t="s">
        <v>140</v>
      </c>
      <c r="L469" t="s">
        <v>5745</v>
      </c>
      <c r="M469" t="s">
        <v>7165</v>
      </c>
      <c r="N469" t="str">
        <f t="shared" si="5"/>
        <v>Meat</v>
      </c>
      <c r="O469" s="1" t="s">
        <v>4285</v>
      </c>
      <c r="P469" t="s">
        <v>5746</v>
      </c>
      <c r="Q469" s="1" t="s">
        <v>3090</v>
      </c>
      <c r="R469" s="1" t="s">
        <v>127</v>
      </c>
      <c r="S469" s="1" t="s">
        <v>5747</v>
      </c>
      <c r="T469" s="1">
        <v>442</v>
      </c>
      <c r="U469" s="1">
        <v>1629</v>
      </c>
      <c r="V469" s="1" t="s">
        <v>169</v>
      </c>
      <c r="W469" s="1">
        <v>9786539</v>
      </c>
      <c r="X469" t="s">
        <v>5748</v>
      </c>
      <c r="Y469" t="s">
        <v>5749</v>
      </c>
      <c r="AA469" t="s">
        <v>68</v>
      </c>
      <c r="AB469" t="s">
        <v>5750</v>
      </c>
      <c r="AC469" t="s">
        <v>5751</v>
      </c>
      <c r="AD469" t="s">
        <v>5752</v>
      </c>
      <c r="AE469" t="s">
        <v>4069</v>
      </c>
      <c r="AF469" t="s">
        <v>73</v>
      </c>
      <c r="AG469" t="s">
        <v>5753</v>
      </c>
      <c r="AH469" t="s">
        <v>75</v>
      </c>
      <c r="AI469" t="s">
        <v>76</v>
      </c>
      <c r="AJ469" t="s">
        <v>77</v>
      </c>
      <c r="AK469" t="s">
        <v>5754</v>
      </c>
      <c r="AL469" t="s">
        <v>156</v>
      </c>
      <c r="AM469" t="s">
        <v>80</v>
      </c>
      <c r="AN469" t="s">
        <v>81</v>
      </c>
      <c r="AO469" t="s">
        <v>82</v>
      </c>
      <c r="AP469" t="s">
        <v>83</v>
      </c>
      <c r="AQ469">
        <v>2017</v>
      </c>
      <c r="AR469">
        <v>75692</v>
      </c>
      <c r="AS469">
        <v>5042456</v>
      </c>
      <c r="AT469">
        <v>164</v>
      </c>
      <c r="AU469" t="s">
        <v>84</v>
      </c>
      <c r="AV469">
        <v>562</v>
      </c>
      <c r="AW469" t="s">
        <v>85</v>
      </c>
      <c r="AX469" t="s">
        <v>86</v>
      </c>
      <c r="AY469">
        <v>562</v>
      </c>
      <c r="AZ469" t="s">
        <v>5755</v>
      </c>
      <c r="BA469" t="s">
        <v>88</v>
      </c>
      <c r="BC469" t="s">
        <v>5756</v>
      </c>
      <c r="BD469">
        <v>1</v>
      </c>
    </row>
    <row r="470" spans="1:56" hidden="1" x14ac:dyDescent="0.2">
      <c r="A470" t="s">
        <v>5757</v>
      </c>
      <c r="B470" t="s">
        <v>5758</v>
      </c>
      <c r="C470" t="s">
        <v>5759</v>
      </c>
      <c r="D470" t="s">
        <v>5760</v>
      </c>
      <c r="E470" t="s">
        <v>5760</v>
      </c>
      <c r="G470" t="s">
        <v>56</v>
      </c>
      <c r="H470" t="s">
        <v>57</v>
      </c>
      <c r="I470" t="s">
        <v>93</v>
      </c>
      <c r="J470">
        <v>0</v>
      </c>
      <c r="K470" t="s">
        <v>140</v>
      </c>
      <c r="L470" t="s">
        <v>5745</v>
      </c>
      <c r="M470" t="s">
        <v>7165</v>
      </c>
      <c r="N470" t="str">
        <f t="shared" si="5"/>
        <v>Meat</v>
      </c>
      <c r="O470" s="1" t="s">
        <v>4872</v>
      </c>
      <c r="P470" t="s">
        <v>4873</v>
      </c>
      <c r="Q470" s="1" t="s">
        <v>144</v>
      </c>
      <c r="R470" s="1" t="s">
        <v>313</v>
      </c>
      <c r="S470" s="1" t="s">
        <v>4874</v>
      </c>
      <c r="T470" s="1">
        <v>56</v>
      </c>
      <c r="U470" s="1">
        <v>14734</v>
      </c>
      <c r="V470" s="1" t="s">
        <v>169</v>
      </c>
      <c r="W470" s="1" t="s">
        <v>170</v>
      </c>
      <c r="X470" t="s">
        <v>5761</v>
      </c>
      <c r="Y470" t="s">
        <v>5762</v>
      </c>
      <c r="AA470" t="s">
        <v>68</v>
      </c>
      <c r="AB470" t="s">
        <v>5763</v>
      </c>
      <c r="AC470" t="s">
        <v>5764</v>
      </c>
      <c r="AD470" t="s">
        <v>5765</v>
      </c>
      <c r="AE470" t="s">
        <v>3311</v>
      </c>
      <c r="AF470" t="s">
        <v>73</v>
      </c>
      <c r="AG470" t="s">
        <v>5766</v>
      </c>
      <c r="AH470" t="s">
        <v>75</v>
      </c>
      <c r="AI470" t="s">
        <v>76</v>
      </c>
      <c r="AJ470" t="s">
        <v>77</v>
      </c>
      <c r="AK470" t="s">
        <v>4881</v>
      </c>
      <c r="AL470" t="s">
        <v>107</v>
      </c>
      <c r="AM470" t="s">
        <v>80</v>
      </c>
      <c r="AN470" t="s">
        <v>81</v>
      </c>
      <c r="AO470" t="s">
        <v>82</v>
      </c>
      <c r="AP470" t="s">
        <v>83</v>
      </c>
      <c r="AQ470">
        <v>2017</v>
      </c>
      <c r="AR470">
        <v>181766</v>
      </c>
      <c r="AS470">
        <v>5112020</v>
      </c>
      <c r="AT470">
        <v>90</v>
      </c>
      <c r="AU470" t="s">
        <v>84</v>
      </c>
      <c r="AV470">
        <v>562</v>
      </c>
      <c r="AW470" t="s">
        <v>85</v>
      </c>
      <c r="AX470" t="s">
        <v>86</v>
      </c>
      <c r="AY470">
        <v>562</v>
      </c>
      <c r="AZ470" t="s">
        <v>5767</v>
      </c>
      <c r="BA470" t="s">
        <v>88</v>
      </c>
    </row>
    <row r="471" spans="1:56" hidden="1" x14ac:dyDescent="0.2">
      <c r="A471" t="s">
        <v>5768</v>
      </c>
      <c r="B471" t="s">
        <v>5769</v>
      </c>
      <c r="C471" t="s">
        <v>5759</v>
      </c>
      <c r="D471" t="s">
        <v>5770</v>
      </c>
      <c r="E471" t="s">
        <v>5770</v>
      </c>
      <c r="G471" t="s">
        <v>56</v>
      </c>
      <c r="H471" t="s">
        <v>57</v>
      </c>
      <c r="I471" t="s">
        <v>93</v>
      </c>
      <c r="J471">
        <v>0</v>
      </c>
      <c r="K471" t="s">
        <v>140</v>
      </c>
      <c r="L471" t="s">
        <v>5745</v>
      </c>
      <c r="M471" t="s">
        <v>7165</v>
      </c>
      <c r="N471" t="str">
        <f t="shared" si="5"/>
        <v>Meat</v>
      </c>
      <c r="O471" s="1" t="s">
        <v>4285</v>
      </c>
      <c r="P471" t="s">
        <v>4286</v>
      </c>
      <c r="Q471" s="1" t="s">
        <v>3090</v>
      </c>
      <c r="R471" s="1" t="s">
        <v>127</v>
      </c>
      <c r="S471" s="1" t="s">
        <v>5747</v>
      </c>
      <c r="T471" s="1">
        <v>442</v>
      </c>
      <c r="U471" s="1">
        <v>1629</v>
      </c>
      <c r="V471" s="1" t="s">
        <v>169</v>
      </c>
      <c r="W471" s="1">
        <v>9786539</v>
      </c>
      <c r="X471" t="s">
        <v>5771</v>
      </c>
      <c r="Y471" t="s">
        <v>5772</v>
      </c>
      <c r="AA471" t="s">
        <v>68</v>
      </c>
      <c r="AB471" t="s">
        <v>5773</v>
      </c>
      <c r="AC471" t="s">
        <v>5774</v>
      </c>
      <c r="AD471" t="s">
        <v>5775</v>
      </c>
      <c r="AE471" t="s">
        <v>2905</v>
      </c>
      <c r="AF471" t="s">
        <v>73</v>
      </c>
      <c r="AG471" t="s">
        <v>5776</v>
      </c>
      <c r="AH471" t="s">
        <v>75</v>
      </c>
      <c r="AI471" t="s">
        <v>76</v>
      </c>
      <c r="AJ471" t="s">
        <v>77</v>
      </c>
      <c r="AK471" t="s">
        <v>5777</v>
      </c>
      <c r="AL471" t="s">
        <v>156</v>
      </c>
      <c r="AM471" t="s">
        <v>80</v>
      </c>
      <c r="AN471" t="s">
        <v>81</v>
      </c>
      <c r="AO471" t="s">
        <v>82</v>
      </c>
      <c r="AP471" t="s">
        <v>83</v>
      </c>
      <c r="AQ471">
        <v>2017</v>
      </c>
      <c r="AR471">
        <v>115155</v>
      </c>
      <c r="AS471">
        <v>5012758</v>
      </c>
      <c r="AT471">
        <v>105</v>
      </c>
      <c r="AU471" t="s">
        <v>84</v>
      </c>
      <c r="AV471">
        <v>562</v>
      </c>
      <c r="AW471" t="s">
        <v>85</v>
      </c>
      <c r="AX471" t="s">
        <v>86</v>
      </c>
      <c r="AY471">
        <v>562</v>
      </c>
      <c r="AZ471" t="s">
        <v>5778</v>
      </c>
      <c r="BA471" t="s">
        <v>88</v>
      </c>
      <c r="BC471" t="s">
        <v>5756</v>
      </c>
      <c r="BD471">
        <v>1</v>
      </c>
    </row>
    <row r="472" spans="1:56" hidden="1" x14ac:dyDescent="0.2">
      <c r="A472" t="s">
        <v>5779</v>
      </c>
      <c r="B472" t="s">
        <v>5780</v>
      </c>
      <c r="C472" t="s">
        <v>5781</v>
      </c>
      <c r="D472" t="s">
        <v>5782</v>
      </c>
      <c r="E472" t="s">
        <v>5782</v>
      </c>
      <c r="G472" t="s">
        <v>56</v>
      </c>
      <c r="H472" t="s">
        <v>57</v>
      </c>
      <c r="I472" t="s">
        <v>93</v>
      </c>
      <c r="J472">
        <v>0</v>
      </c>
      <c r="K472" t="s">
        <v>140</v>
      </c>
      <c r="L472" t="s">
        <v>5745</v>
      </c>
      <c r="M472" t="s">
        <v>7165</v>
      </c>
      <c r="N472" t="str">
        <f t="shared" si="5"/>
        <v>Meat</v>
      </c>
      <c r="O472" s="1" t="s">
        <v>142</v>
      </c>
      <c r="P472" t="s">
        <v>5783</v>
      </c>
      <c r="Q472" s="1" t="s">
        <v>144</v>
      </c>
      <c r="R472" s="8" t="s">
        <v>270</v>
      </c>
      <c r="S472" s="1" t="s">
        <v>3959</v>
      </c>
      <c r="T472" s="1">
        <v>332</v>
      </c>
      <c r="U472" s="1">
        <v>44442</v>
      </c>
      <c r="V472" s="1" t="s">
        <v>5784</v>
      </c>
      <c r="W472" s="1">
        <v>9815226</v>
      </c>
      <c r="X472" t="s">
        <v>5785</v>
      </c>
      <c r="Y472" t="s">
        <v>5786</v>
      </c>
      <c r="AA472" t="s">
        <v>68</v>
      </c>
      <c r="AB472" t="s">
        <v>5787</v>
      </c>
      <c r="AC472" t="s">
        <v>5788</v>
      </c>
      <c r="AD472" t="s">
        <v>5789</v>
      </c>
      <c r="AE472" t="s">
        <v>4011</v>
      </c>
      <c r="AF472" t="s">
        <v>73</v>
      </c>
      <c r="AG472" t="s">
        <v>5790</v>
      </c>
      <c r="AH472" t="s">
        <v>5791</v>
      </c>
      <c r="AI472" t="s">
        <v>76</v>
      </c>
      <c r="AJ472" t="s">
        <v>77</v>
      </c>
      <c r="AK472" t="s">
        <v>3968</v>
      </c>
      <c r="AL472" t="s">
        <v>156</v>
      </c>
      <c r="AM472" t="s">
        <v>5792</v>
      </c>
      <c r="AN472" t="s">
        <v>532</v>
      </c>
      <c r="AO472" t="s">
        <v>533</v>
      </c>
      <c r="AP472" t="s">
        <v>83</v>
      </c>
      <c r="AQ472">
        <v>2017</v>
      </c>
      <c r="AR472">
        <v>104156</v>
      </c>
      <c r="AS472">
        <v>5266228</v>
      </c>
      <c r="AT472">
        <v>209</v>
      </c>
      <c r="AU472" t="s">
        <v>84</v>
      </c>
      <c r="AV472">
        <v>562</v>
      </c>
      <c r="AW472" t="s">
        <v>85</v>
      </c>
      <c r="AX472" t="s">
        <v>86</v>
      </c>
      <c r="AY472">
        <v>562</v>
      </c>
      <c r="AZ472" t="s">
        <v>5793</v>
      </c>
      <c r="BA472" t="s">
        <v>88</v>
      </c>
    </row>
    <row r="473" spans="1:56" hidden="1" x14ac:dyDescent="0.2">
      <c r="A473" t="s">
        <v>5794</v>
      </c>
      <c r="B473" t="s">
        <v>5795</v>
      </c>
      <c r="C473" t="s">
        <v>5781</v>
      </c>
      <c r="D473" t="s">
        <v>5796</v>
      </c>
      <c r="E473" t="s">
        <v>5796</v>
      </c>
      <c r="F473" t="s">
        <v>2035</v>
      </c>
      <c r="G473" t="s">
        <v>56</v>
      </c>
      <c r="H473" t="s">
        <v>57</v>
      </c>
      <c r="I473" t="s">
        <v>93</v>
      </c>
      <c r="J473">
        <v>0</v>
      </c>
      <c r="K473" t="s">
        <v>140</v>
      </c>
      <c r="L473" t="s">
        <v>5745</v>
      </c>
      <c r="M473" t="s">
        <v>7165</v>
      </c>
      <c r="N473" t="str">
        <f t="shared" si="5"/>
        <v>Meat</v>
      </c>
      <c r="O473" s="1" t="s">
        <v>3261</v>
      </c>
      <c r="P473" t="s">
        <v>5797</v>
      </c>
      <c r="Q473" s="1" t="s">
        <v>126</v>
      </c>
      <c r="R473" s="1" t="s">
        <v>3263</v>
      </c>
      <c r="S473" s="1" t="s">
        <v>3264</v>
      </c>
      <c r="T473" s="1">
        <v>10</v>
      </c>
      <c r="U473" s="1">
        <v>57446</v>
      </c>
      <c r="V473" s="1" t="s">
        <v>5798</v>
      </c>
      <c r="W473" s="1">
        <v>9815226</v>
      </c>
      <c r="X473" t="s">
        <v>5799</v>
      </c>
      <c r="Y473" t="s">
        <v>5800</v>
      </c>
      <c r="AA473" t="s">
        <v>68</v>
      </c>
      <c r="AB473" t="s">
        <v>5801</v>
      </c>
      <c r="AC473" t="s">
        <v>5802</v>
      </c>
      <c r="AD473" t="s">
        <v>5803</v>
      </c>
      <c r="AE473" t="s">
        <v>3311</v>
      </c>
      <c r="AF473" t="s">
        <v>73</v>
      </c>
      <c r="AG473" t="s">
        <v>5804</v>
      </c>
      <c r="AH473" t="s">
        <v>5805</v>
      </c>
      <c r="AI473" t="s">
        <v>76</v>
      </c>
      <c r="AJ473" t="s">
        <v>77</v>
      </c>
      <c r="AK473" t="s">
        <v>5806</v>
      </c>
      <c r="AL473" t="s">
        <v>156</v>
      </c>
      <c r="AM473" t="s">
        <v>5807</v>
      </c>
      <c r="AN473" t="s">
        <v>81</v>
      </c>
      <c r="AO473" t="s">
        <v>82</v>
      </c>
      <c r="AP473" t="s">
        <v>83</v>
      </c>
      <c r="AQ473">
        <v>2017</v>
      </c>
      <c r="AR473">
        <v>75279</v>
      </c>
      <c r="AS473">
        <v>5005173</v>
      </c>
      <c r="AT473">
        <v>201</v>
      </c>
      <c r="AU473" t="s">
        <v>84</v>
      </c>
      <c r="AV473">
        <v>562</v>
      </c>
      <c r="AW473" t="s">
        <v>85</v>
      </c>
      <c r="AX473" t="s">
        <v>86</v>
      </c>
      <c r="AY473">
        <v>562</v>
      </c>
      <c r="AZ473" t="s">
        <v>5808</v>
      </c>
      <c r="BA473" t="s">
        <v>88</v>
      </c>
    </row>
    <row r="474" spans="1:56" hidden="1" x14ac:dyDescent="0.2">
      <c r="A474" t="s">
        <v>5809</v>
      </c>
      <c r="B474" t="s">
        <v>5810</v>
      </c>
      <c r="C474" t="s">
        <v>5811</v>
      </c>
      <c r="D474" t="s">
        <v>5812</v>
      </c>
      <c r="E474" t="s">
        <v>5812</v>
      </c>
      <c r="G474" t="s">
        <v>56</v>
      </c>
      <c r="H474" t="s">
        <v>57</v>
      </c>
      <c r="I474" t="s">
        <v>93</v>
      </c>
      <c r="J474">
        <v>0</v>
      </c>
      <c r="K474" t="s">
        <v>140</v>
      </c>
      <c r="L474" t="s">
        <v>5745</v>
      </c>
      <c r="M474" t="s">
        <v>7165</v>
      </c>
      <c r="N474" t="str">
        <f t="shared" si="5"/>
        <v>Meat</v>
      </c>
      <c r="O474" s="1" t="s">
        <v>4872</v>
      </c>
      <c r="P474" t="s">
        <v>169</v>
      </c>
      <c r="Q474" s="1" t="s">
        <v>4374</v>
      </c>
      <c r="R474" s="1" t="s">
        <v>64</v>
      </c>
      <c r="S474" s="1" t="s">
        <v>5813</v>
      </c>
      <c r="T474" s="1">
        <v>223</v>
      </c>
      <c r="U474" s="1">
        <v>178070</v>
      </c>
      <c r="V474" s="1" t="s">
        <v>169</v>
      </c>
      <c r="W474" s="1">
        <v>9858682</v>
      </c>
      <c r="X474" t="s">
        <v>5814</v>
      </c>
      <c r="Y474" t="s">
        <v>5815</v>
      </c>
      <c r="AA474" t="s">
        <v>68</v>
      </c>
      <c r="AB474" t="s">
        <v>5816</v>
      </c>
      <c r="AC474" t="s">
        <v>5817</v>
      </c>
      <c r="AD474" t="s">
        <v>5818</v>
      </c>
      <c r="AE474" t="s">
        <v>152</v>
      </c>
      <c r="AF474" t="s">
        <v>73</v>
      </c>
      <c r="AG474" t="s">
        <v>5819</v>
      </c>
      <c r="AI474" t="s">
        <v>76</v>
      </c>
      <c r="AJ474" t="s">
        <v>77</v>
      </c>
      <c r="AK474" t="s">
        <v>5820</v>
      </c>
      <c r="AL474" t="s">
        <v>107</v>
      </c>
      <c r="AM474" t="s">
        <v>531</v>
      </c>
      <c r="AN474" t="s">
        <v>532</v>
      </c>
      <c r="AO474" t="s">
        <v>533</v>
      </c>
      <c r="AP474" t="s">
        <v>83</v>
      </c>
      <c r="AQ474">
        <v>2017</v>
      </c>
      <c r="AR474">
        <v>123527</v>
      </c>
      <c r="AS474">
        <v>5042751</v>
      </c>
      <c r="AT474">
        <v>161</v>
      </c>
      <c r="AU474" t="s">
        <v>84</v>
      </c>
      <c r="AV474">
        <v>562</v>
      </c>
      <c r="AW474" t="s">
        <v>85</v>
      </c>
      <c r="AX474" t="s">
        <v>86</v>
      </c>
      <c r="AY474">
        <v>562</v>
      </c>
      <c r="AZ474" t="s">
        <v>5821</v>
      </c>
      <c r="BA474" t="s">
        <v>88</v>
      </c>
    </row>
    <row r="475" spans="1:56" hidden="1" x14ac:dyDescent="0.2">
      <c r="A475" t="s">
        <v>5822</v>
      </c>
      <c r="B475" t="s">
        <v>5823</v>
      </c>
      <c r="C475" t="s">
        <v>5824</v>
      </c>
      <c r="D475" t="s">
        <v>5825</v>
      </c>
      <c r="E475" t="s">
        <v>5825</v>
      </c>
      <c r="G475" t="s">
        <v>56</v>
      </c>
      <c r="H475" t="s">
        <v>57</v>
      </c>
      <c r="I475" t="s">
        <v>93</v>
      </c>
      <c r="J475">
        <v>0</v>
      </c>
      <c r="K475" t="s">
        <v>140</v>
      </c>
      <c r="L475" t="s">
        <v>5745</v>
      </c>
      <c r="M475" t="s">
        <v>7165</v>
      </c>
      <c r="N475" t="str">
        <f t="shared" si="5"/>
        <v>Meat</v>
      </c>
      <c r="O475" s="1" t="s">
        <v>4768</v>
      </c>
      <c r="P475" t="s">
        <v>5826</v>
      </c>
      <c r="Q475" s="1" t="s">
        <v>144</v>
      </c>
      <c r="R475" s="1" t="s">
        <v>64</v>
      </c>
      <c r="S475" s="1" t="s">
        <v>5827</v>
      </c>
      <c r="T475" s="1">
        <v>295</v>
      </c>
      <c r="U475" s="1">
        <v>33518</v>
      </c>
      <c r="V475" s="1" t="s">
        <v>169</v>
      </c>
      <c r="W475" s="1">
        <v>9907087</v>
      </c>
      <c r="X475" t="s">
        <v>5828</v>
      </c>
      <c r="Y475" t="s">
        <v>5829</v>
      </c>
      <c r="AA475" t="s">
        <v>68</v>
      </c>
      <c r="AB475" t="s">
        <v>5830</v>
      </c>
      <c r="AC475" t="s">
        <v>5831</v>
      </c>
      <c r="AD475" t="s">
        <v>5832</v>
      </c>
      <c r="AE475" t="s">
        <v>2752</v>
      </c>
      <c r="AF475" t="s">
        <v>73</v>
      </c>
      <c r="AG475" t="s">
        <v>5833</v>
      </c>
      <c r="AH475" t="s">
        <v>75</v>
      </c>
      <c r="AI475" t="s">
        <v>76</v>
      </c>
      <c r="AJ475" t="s">
        <v>77</v>
      </c>
      <c r="AK475" t="s">
        <v>5834</v>
      </c>
      <c r="AL475" t="s">
        <v>107</v>
      </c>
      <c r="AM475" t="s">
        <v>80</v>
      </c>
      <c r="AN475" t="s">
        <v>81</v>
      </c>
      <c r="AO475" t="s">
        <v>82</v>
      </c>
      <c r="AP475" t="s">
        <v>83</v>
      </c>
      <c r="AQ475">
        <v>2017</v>
      </c>
      <c r="AR475">
        <v>114552</v>
      </c>
      <c r="AS475">
        <v>4883444</v>
      </c>
      <c r="AT475">
        <v>112</v>
      </c>
      <c r="AU475" t="s">
        <v>84</v>
      </c>
      <c r="AV475">
        <v>562</v>
      </c>
      <c r="AW475" t="s">
        <v>85</v>
      </c>
      <c r="AX475" t="s">
        <v>86</v>
      </c>
      <c r="AY475">
        <v>562</v>
      </c>
      <c r="AZ475" t="s">
        <v>5835</v>
      </c>
      <c r="BA475" t="s">
        <v>88</v>
      </c>
      <c r="BC475" t="s">
        <v>5836</v>
      </c>
      <c r="BD475">
        <v>23</v>
      </c>
    </row>
    <row r="476" spans="1:56" hidden="1" x14ac:dyDescent="0.2">
      <c r="A476" t="s">
        <v>5837</v>
      </c>
      <c r="B476" t="s">
        <v>5838</v>
      </c>
      <c r="C476" t="s">
        <v>5824</v>
      </c>
      <c r="D476" t="s">
        <v>5839</v>
      </c>
      <c r="E476" t="s">
        <v>5839</v>
      </c>
      <c r="G476" t="s">
        <v>56</v>
      </c>
      <c r="H476" t="s">
        <v>57</v>
      </c>
      <c r="I476" t="s">
        <v>93</v>
      </c>
      <c r="J476">
        <v>0</v>
      </c>
      <c r="K476" t="s">
        <v>140</v>
      </c>
      <c r="L476" t="s">
        <v>5745</v>
      </c>
      <c r="M476" t="s">
        <v>7165</v>
      </c>
      <c r="N476" t="str">
        <f t="shared" si="5"/>
        <v>Meat</v>
      </c>
      <c r="O476" s="1" t="s">
        <v>4768</v>
      </c>
      <c r="P476" t="s">
        <v>5826</v>
      </c>
      <c r="Q476" s="1" t="s">
        <v>144</v>
      </c>
      <c r="R476" s="1" t="s">
        <v>64</v>
      </c>
      <c r="S476" s="1" t="s">
        <v>5827</v>
      </c>
      <c r="T476" s="1">
        <v>12653</v>
      </c>
      <c r="U476" s="1">
        <v>33518</v>
      </c>
      <c r="V476" s="1" t="s">
        <v>169</v>
      </c>
      <c r="W476" s="1">
        <v>9907087</v>
      </c>
      <c r="X476" t="s">
        <v>5840</v>
      </c>
      <c r="Y476" t="s">
        <v>5841</v>
      </c>
      <c r="AA476" t="s">
        <v>68</v>
      </c>
      <c r="AB476" t="s">
        <v>5842</v>
      </c>
      <c r="AC476" t="s">
        <v>5843</v>
      </c>
      <c r="AD476" t="s">
        <v>5844</v>
      </c>
      <c r="AE476" t="s">
        <v>2752</v>
      </c>
      <c r="AF476" t="s">
        <v>73</v>
      </c>
      <c r="AG476" t="s">
        <v>5845</v>
      </c>
      <c r="AH476" t="s">
        <v>75</v>
      </c>
      <c r="AI476" t="s">
        <v>76</v>
      </c>
      <c r="AJ476" t="s">
        <v>77</v>
      </c>
      <c r="AK476" t="s">
        <v>5846</v>
      </c>
      <c r="AL476" t="s">
        <v>107</v>
      </c>
      <c r="AM476" t="s">
        <v>80</v>
      </c>
      <c r="AN476" t="s">
        <v>81</v>
      </c>
      <c r="AO476" t="s">
        <v>82</v>
      </c>
      <c r="AP476" t="s">
        <v>83</v>
      </c>
      <c r="AQ476">
        <v>2017</v>
      </c>
      <c r="AR476">
        <v>141524</v>
      </c>
      <c r="AS476">
        <v>4752944</v>
      </c>
      <c r="AT476">
        <v>97</v>
      </c>
      <c r="AU476" t="s">
        <v>84</v>
      </c>
      <c r="AV476">
        <v>562</v>
      </c>
      <c r="AW476" t="s">
        <v>85</v>
      </c>
      <c r="AX476" t="s">
        <v>86</v>
      </c>
      <c r="AY476">
        <v>562</v>
      </c>
      <c r="AZ476" t="s">
        <v>5847</v>
      </c>
      <c r="BA476" t="s">
        <v>88</v>
      </c>
      <c r="BC476" t="s">
        <v>5836</v>
      </c>
      <c r="BD476">
        <v>23</v>
      </c>
    </row>
    <row r="477" spans="1:56" hidden="1" x14ac:dyDescent="0.2">
      <c r="A477" t="s">
        <v>5848</v>
      </c>
      <c r="B477" t="s">
        <v>5849</v>
      </c>
      <c r="C477" t="s">
        <v>5850</v>
      </c>
      <c r="D477" t="s">
        <v>5851</v>
      </c>
      <c r="E477" t="s">
        <v>5851</v>
      </c>
      <c r="G477" t="s">
        <v>56</v>
      </c>
      <c r="H477" t="s">
        <v>57</v>
      </c>
      <c r="I477" t="s">
        <v>93</v>
      </c>
      <c r="J477">
        <v>0</v>
      </c>
      <c r="K477" t="s">
        <v>140</v>
      </c>
      <c r="L477" t="s">
        <v>5852</v>
      </c>
      <c r="M477" t="s">
        <v>7165</v>
      </c>
      <c r="N477" t="str">
        <f t="shared" si="5"/>
        <v>Meat</v>
      </c>
      <c r="O477" s="1" t="s">
        <v>3635</v>
      </c>
      <c r="P477" t="s">
        <v>169</v>
      </c>
      <c r="Q477" s="1" t="s">
        <v>126</v>
      </c>
      <c r="R477" s="1" t="s">
        <v>434</v>
      </c>
      <c r="S477" s="1" t="s">
        <v>5853</v>
      </c>
      <c r="T477" s="1">
        <v>4058</v>
      </c>
      <c r="U477" s="1">
        <v>178073</v>
      </c>
      <c r="V477" s="1" t="s">
        <v>169</v>
      </c>
      <c r="W477" s="1">
        <v>10286324</v>
      </c>
      <c r="X477" t="s">
        <v>5854</v>
      </c>
      <c r="Y477" t="s">
        <v>5855</v>
      </c>
      <c r="AA477" t="s">
        <v>68</v>
      </c>
      <c r="AB477" t="s">
        <v>5856</v>
      </c>
      <c r="AC477" t="s">
        <v>5857</v>
      </c>
      <c r="AD477" t="s">
        <v>5858</v>
      </c>
      <c r="AE477" t="s">
        <v>152</v>
      </c>
      <c r="AF477" t="s">
        <v>73</v>
      </c>
      <c r="AG477" t="s">
        <v>5859</v>
      </c>
      <c r="AH477" t="s">
        <v>75</v>
      </c>
      <c r="AI477" t="s">
        <v>76</v>
      </c>
      <c r="AJ477" t="s">
        <v>77</v>
      </c>
      <c r="AK477" t="s">
        <v>5860</v>
      </c>
      <c r="AL477" t="s">
        <v>156</v>
      </c>
      <c r="AM477" t="s">
        <v>80</v>
      </c>
      <c r="AN477" t="s">
        <v>81</v>
      </c>
      <c r="AO477" t="s">
        <v>82</v>
      </c>
      <c r="AP477" t="s">
        <v>83</v>
      </c>
      <c r="AQ477">
        <v>2017</v>
      </c>
      <c r="AR477">
        <v>147238</v>
      </c>
      <c r="AS477">
        <v>5363835</v>
      </c>
      <c r="AT477">
        <v>172</v>
      </c>
      <c r="AU477" t="s">
        <v>84</v>
      </c>
      <c r="AV477">
        <v>562</v>
      </c>
      <c r="AW477" t="s">
        <v>85</v>
      </c>
      <c r="AX477" t="s">
        <v>86</v>
      </c>
      <c r="AY477">
        <v>562</v>
      </c>
      <c r="AZ477" t="s">
        <v>5861</v>
      </c>
      <c r="BA477" t="s">
        <v>88</v>
      </c>
    </row>
    <row r="478" spans="1:56" hidden="1" x14ac:dyDescent="0.2">
      <c r="A478" t="s">
        <v>5862</v>
      </c>
      <c r="B478" t="s">
        <v>5863</v>
      </c>
      <c r="C478" t="s">
        <v>5864</v>
      </c>
      <c r="D478" t="s">
        <v>5865</v>
      </c>
      <c r="E478" t="s">
        <v>5865</v>
      </c>
      <c r="G478" t="s">
        <v>56</v>
      </c>
      <c r="H478" t="s">
        <v>57</v>
      </c>
      <c r="I478" t="s">
        <v>93</v>
      </c>
      <c r="J478">
        <v>0</v>
      </c>
      <c r="K478" t="s">
        <v>140</v>
      </c>
      <c r="L478" t="s">
        <v>5852</v>
      </c>
      <c r="M478" t="s">
        <v>7165</v>
      </c>
      <c r="N478" t="str">
        <f t="shared" si="5"/>
        <v>Meat</v>
      </c>
      <c r="O478" s="1" t="s">
        <v>448</v>
      </c>
      <c r="P478" t="s">
        <v>4485</v>
      </c>
      <c r="Q478" s="1" t="s">
        <v>3090</v>
      </c>
      <c r="R478" s="1" t="s">
        <v>434</v>
      </c>
      <c r="S478" s="1" t="s">
        <v>451</v>
      </c>
      <c r="T478" s="1">
        <v>25</v>
      </c>
      <c r="U478" s="1">
        <v>30074</v>
      </c>
      <c r="V478" s="1" t="s">
        <v>3196</v>
      </c>
      <c r="W478" s="1">
        <v>9907087</v>
      </c>
      <c r="X478" t="s">
        <v>5866</v>
      </c>
      <c r="Y478" t="s">
        <v>5867</v>
      </c>
      <c r="AA478" t="s">
        <v>68</v>
      </c>
      <c r="AB478" t="s">
        <v>5868</v>
      </c>
      <c r="AC478" t="s">
        <v>5869</v>
      </c>
      <c r="AD478" t="s">
        <v>5870</v>
      </c>
      <c r="AE478" t="s">
        <v>4106</v>
      </c>
      <c r="AF478" t="s">
        <v>73</v>
      </c>
      <c r="AG478" t="s">
        <v>5871</v>
      </c>
      <c r="AH478" t="s">
        <v>75</v>
      </c>
      <c r="AI478" t="s">
        <v>76</v>
      </c>
      <c r="AJ478" t="s">
        <v>77</v>
      </c>
      <c r="AK478" t="s">
        <v>5872</v>
      </c>
      <c r="AL478" t="s">
        <v>156</v>
      </c>
      <c r="AM478" t="s">
        <v>80</v>
      </c>
      <c r="AN478" t="s">
        <v>81</v>
      </c>
      <c r="AO478" t="s">
        <v>82</v>
      </c>
      <c r="AP478" t="s">
        <v>83</v>
      </c>
      <c r="AQ478">
        <v>2017</v>
      </c>
      <c r="AR478">
        <v>117869</v>
      </c>
      <c r="AS478">
        <v>5606292</v>
      </c>
      <c r="AT478">
        <v>251</v>
      </c>
      <c r="AU478" t="s">
        <v>84</v>
      </c>
      <c r="AV478">
        <v>562</v>
      </c>
      <c r="AW478" t="s">
        <v>85</v>
      </c>
      <c r="AX478" t="s">
        <v>86</v>
      </c>
      <c r="AY478">
        <v>562</v>
      </c>
      <c r="AZ478" t="s">
        <v>5873</v>
      </c>
      <c r="BA478" t="s">
        <v>88</v>
      </c>
      <c r="BC478" t="s">
        <v>461</v>
      </c>
      <c r="BD478">
        <v>34</v>
      </c>
    </row>
    <row r="479" spans="1:56" hidden="1" x14ac:dyDescent="0.2">
      <c r="A479" t="s">
        <v>5874</v>
      </c>
      <c r="B479" t="s">
        <v>5875</v>
      </c>
      <c r="C479" t="s">
        <v>5876</v>
      </c>
      <c r="D479" t="s">
        <v>5877</v>
      </c>
      <c r="E479" t="s">
        <v>5877</v>
      </c>
      <c r="G479" t="s">
        <v>56</v>
      </c>
      <c r="H479" t="s">
        <v>57</v>
      </c>
      <c r="I479" t="s">
        <v>93</v>
      </c>
      <c r="J479">
        <v>0</v>
      </c>
      <c r="K479" t="s">
        <v>140</v>
      </c>
      <c r="L479" t="s">
        <v>5878</v>
      </c>
      <c r="M479" t="s">
        <v>7165</v>
      </c>
      <c r="N479" t="str">
        <f t="shared" si="5"/>
        <v>Meat</v>
      </c>
      <c r="O479" s="1" t="s">
        <v>5461</v>
      </c>
      <c r="P479" t="s">
        <v>5879</v>
      </c>
      <c r="Q479" s="1" t="s">
        <v>166</v>
      </c>
      <c r="R479" s="1" t="s">
        <v>250</v>
      </c>
      <c r="S479" s="1" t="s">
        <v>5880</v>
      </c>
      <c r="T479" s="1">
        <v>647</v>
      </c>
      <c r="U479" s="1">
        <v>30617</v>
      </c>
      <c r="V479" s="1" t="s">
        <v>169</v>
      </c>
      <c r="W479" s="1" t="s">
        <v>5881</v>
      </c>
      <c r="X479" t="s">
        <v>5882</v>
      </c>
      <c r="Y479" t="s">
        <v>5883</v>
      </c>
      <c r="AA479" t="s">
        <v>68</v>
      </c>
      <c r="AB479" t="s">
        <v>5884</v>
      </c>
      <c r="AC479" t="s">
        <v>5885</v>
      </c>
      <c r="AD479" t="s">
        <v>5886</v>
      </c>
      <c r="AE479" t="s">
        <v>4011</v>
      </c>
      <c r="AF479" t="s">
        <v>73</v>
      </c>
      <c r="AG479" t="s">
        <v>5887</v>
      </c>
      <c r="AH479" t="s">
        <v>5470</v>
      </c>
      <c r="AI479" t="s">
        <v>76</v>
      </c>
      <c r="AJ479" t="s">
        <v>77</v>
      </c>
      <c r="AK479" t="s">
        <v>5888</v>
      </c>
      <c r="AL479" t="s">
        <v>156</v>
      </c>
      <c r="AM479" t="s">
        <v>5472</v>
      </c>
      <c r="AN479" t="s">
        <v>81</v>
      </c>
      <c r="AO479" t="s">
        <v>82</v>
      </c>
      <c r="AP479" t="s">
        <v>83</v>
      </c>
      <c r="AQ479">
        <v>2017</v>
      </c>
      <c r="AR479">
        <v>121621</v>
      </c>
      <c r="AS479">
        <v>5307646</v>
      </c>
      <c r="AT479">
        <v>137</v>
      </c>
      <c r="AU479" t="s">
        <v>84</v>
      </c>
      <c r="AV479">
        <v>562</v>
      </c>
      <c r="AW479" t="s">
        <v>85</v>
      </c>
      <c r="AX479" t="s">
        <v>86</v>
      </c>
      <c r="AY479">
        <v>562</v>
      </c>
      <c r="AZ479" t="s">
        <v>5889</v>
      </c>
      <c r="BA479" t="s">
        <v>88</v>
      </c>
    </row>
    <row r="480" spans="1:56" hidden="1" x14ac:dyDescent="0.2">
      <c r="A480" t="s">
        <v>5890</v>
      </c>
      <c r="B480" t="s">
        <v>5891</v>
      </c>
      <c r="C480" t="s">
        <v>5892</v>
      </c>
      <c r="D480" t="s">
        <v>5893</v>
      </c>
      <c r="E480" t="s">
        <v>5893</v>
      </c>
      <c r="G480" t="s">
        <v>56</v>
      </c>
      <c r="H480" t="s">
        <v>57</v>
      </c>
      <c r="I480" t="s">
        <v>93</v>
      </c>
      <c r="J480">
        <v>0</v>
      </c>
      <c r="K480" t="s">
        <v>140</v>
      </c>
      <c r="L480" t="s">
        <v>5894</v>
      </c>
      <c r="M480" t="s">
        <v>7165</v>
      </c>
      <c r="N480" t="str">
        <f t="shared" si="5"/>
        <v>Meat</v>
      </c>
      <c r="O480" s="1" t="s">
        <v>4872</v>
      </c>
      <c r="P480" t="s">
        <v>4873</v>
      </c>
      <c r="Q480" s="1" t="s">
        <v>144</v>
      </c>
      <c r="R480" s="1" t="s">
        <v>313</v>
      </c>
      <c r="S480" s="1" t="s">
        <v>4874</v>
      </c>
      <c r="T480" s="1">
        <v>56</v>
      </c>
      <c r="U480" s="1">
        <v>14734</v>
      </c>
      <c r="V480" s="1" t="s">
        <v>169</v>
      </c>
      <c r="W480" s="1">
        <v>9907087</v>
      </c>
      <c r="X480" t="s">
        <v>5895</v>
      </c>
      <c r="Y480" t="s">
        <v>5896</v>
      </c>
      <c r="AA480" t="s">
        <v>68</v>
      </c>
      <c r="AB480" t="s">
        <v>5897</v>
      </c>
      <c r="AC480" t="s">
        <v>5898</v>
      </c>
      <c r="AD480" t="s">
        <v>5899</v>
      </c>
      <c r="AE480" t="s">
        <v>2846</v>
      </c>
      <c r="AF480" t="s">
        <v>73</v>
      </c>
      <c r="AG480" t="s">
        <v>5900</v>
      </c>
      <c r="AH480" t="s">
        <v>75</v>
      </c>
      <c r="AI480" t="s">
        <v>76</v>
      </c>
      <c r="AJ480" t="s">
        <v>77</v>
      </c>
      <c r="AK480" t="s">
        <v>4881</v>
      </c>
      <c r="AL480" t="s">
        <v>107</v>
      </c>
      <c r="AM480" t="s">
        <v>80</v>
      </c>
      <c r="AN480" t="s">
        <v>81</v>
      </c>
      <c r="AO480" t="s">
        <v>82</v>
      </c>
      <c r="AP480" t="s">
        <v>83</v>
      </c>
      <c r="AQ480">
        <v>2017</v>
      </c>
      <c r="AR480">
        <v>94808</v>
      </c>
      <c r="AS480">
        <v>5026671</v>
      </c>
      <c r="AT480">
        <v>153</v>
      </c>
      <c r="AU480" t="s">
        <v>84</v>
      </c>
      <c r="AV480">
        <v>562</v>
      </c>
      <c r="AW480" t="s">
        <v>85</v>
      </c>
      <c r="AX480" t="s">
        <v>86</v>
      </c>
      <c r="AY480">
        <v>562</v>
      </c>
      <c r="AZ480" t="s">
        <v>5901</v>
      </c>
      <c r="BA480" t="s">
        <v>88</v>
      </c>
      <c r="BC480" t="s">
        <v>5344</v>
      </c>
      <c r="BD480">
        <v>5</v>
      </c>
    </row>
    <row r="481" spans="1:57" hidden="1" x14ac:dyDescent="0.2">
      <c r="A481" t="s">
        <v>5902</v>
      </c>
      <c r="B481" t="s">
        <v>5903</v>
      </c>
      <c r="C481" t="s">
        <v>5904</v>
      </c>
      <c r="D481" t="s">
        <v>5905</v>
      </c>
      <c r="E481" t="s">
        <v>5905</v>
      </c>
      <c r="G481" t="s">
        <v>56</v>
      </c>
      <c r="H481" t="s">
        <v>57</v>
      </c>
      <c r="I481" t="s">
        <v>93</v>
      </c>
      <c r="J481">
        <v>0</v>
      </c>
      <c r="K481" t="s">
        <v>140</v>
      </c>
      <c r="L481" t="s">
        <v>5906</v>
      </c>
      <c r="M481" t="s">
        <v>7165</v>
      </c>
      <c r="N481" t="str">
        <f t="shared" si="5"/>
        <v>Meat</v>
      </c>
      <c r="O481" s="1" t="s">
        <v>3903</v>
      </c>
      <c r="P481" t="s">
        <v>5907</v>
      </c>
      <c r="Q481" s="1" t="s">
        <v>166</v>
      </c>
      <c r="R481" s="1" t="s">
        <v>250</v>
      </c>
      <c r="S481" s="1" t="s">
        <v>251</v>
      </c>
      <c r="T481" s="1">
        <v>101</v>
      </c>
      <c r="U481" s="1">
        <v>1589</v>
      </c>
      <c r="V481" s="1" t="s">
        <v>5908</v>
      </c>
      <c r="W481" s="1">
        <v>9907087</v>
      </c>
      <c r="X481" t="s">
        <v>5909</v>
      </c>
      <c r="Y481" t="s">
        <v>5910</v>
      </c>
      <c r="AA481" t="s">
        <v>68</v>
      </c>
      <c r="AB481" t="s">
        <v>5911</v>
      </c>
      <c r="AC481" t="s">
        <v>5912</v>
      </c>
      <c r="AD481" t="s">
        <v>5913</v>
      </c>
      <c r="AE481" t="s">
        <v>2846</v>
      </c>
      <c r="AF481" t="s">
        <v>73</v>
      </c>
      <c r="AG481" t="s">
        <v>5914</v>
      </c>
      <c r="AH481" t="s">
        <v>154</v>
      </c>
      <c r="AI481" t="s">
        <v>76</v>
      </c>
      <c r="AJ481" t="s">
        <v>77</v>
      </c>
      <c r="AK481" t="s">
        <v>5915</v>
      </c>
      <c r="AL481" t="s">
        <v>107</v>
      </c>
      <c r="AM481" t="s">
        <v>157</v>
      </c>
      <c r="AN481" t="s">
        <v>81</v>
      </c>
      <c r="AO481" t="s">
        <v>82</v>
      </c>
      <c r="AP481" t="s">
        <v>83</v>
      </c>
      <c r="AQ481">
        <v>2017</v>
      </c>
      <c r="AR481">
        <v>97112</v>
      </c>
      <c r="AS481">
        <v>5076994</v>
      </c>
      <c r="AT481">
        <v>196</v>
      </c>
      <c r="AU481" t="s">
        <v>84</v>
      </c>
      <c r="AV481">
        <v>562</v>
      </c>
      <c r="AW481" t="s">
        <v>85</v>
      </c>
      <c r="AX481" t="s">
        <v>86</v>
      </c>
      <c r="AY481">
        <v>562</v>
      </c>
      <c r="AZ481" t="s">
        <v>5916</v>
      </c>
      <c r="BA481" t="s">
        <v>88</v>
      </c>
      <c r="BC481" t="s">
        <v>5547</v>
      </c>
      <c r="BD481">
        <v>22</v>
      </c>
      <c r="BE481">
        <v>30</v>
      </c>
    </row>
    <row r="482" spans="1:57" hidden="1" x14ac:dyDescent="0.2">
      <c r="A482" t="s">
        <v>5917</v>
      </c>
      <c r="B482" t="s">
        <v>5918</v>
      </c>
      <c r="C482" t="s">
        <v>5919</v>
      </c>
      <c r="D482" t="s">
        <v>5920</v>
      </c>
      <c r="E482" t="s">
        <v>5920</v>
      </c>
      <c r="G482" t="s">
        <v>56</v>
      </c>
      <c r="H482" t="s">
        <v>57</v>
      </c>
      <c r="I482" t="s">
        <v>93</v>
      </c>
      <c r="J482">
        <v>0</v>
      </c>
      <c r="K482" t="s">
        <v>140</v>
      </c>
      <c r="L482" t="s">
        <v>5745</v>
      </c>
      <c r="M482" t="s">
        <v>7165</v>
      </c>
      <c r="N482" t="str">
        <f t="shared" si="5"/>
        <v>Meat</v>
      </c>
      <c r="O482" s="1" t="s">
        <v>183</v>
      </c>
      <c r="P482" t="s">
        <v>184</v>
      </c>
      <c r="Q482" s="1" t="s">
        <v>166</v>
      </c>
      <c r="R482" s="1" t="s">
        <v>250</v>
      </c>
      <c r="S482" s="1" t="s">
        <v>5139</v>
      </c>
      <c r="T482" s="1">
        <v>33</v>
      </c>
      <c r="U482" s="1">
        <v>178071</v>
      </c>
      <c r="V482" s="1" t="s">
        <v>169</v>
      </c>
      <c r="W482" s="1">
        <v>10442042</v>
      </c>
      <c r="X482" t="s">
        <v>5921</v>
      </c>
      <c r="Y482" t="s">
        <v>5922</v>
      </c>
      <c r="AA482" t="s">
        <v>68</v>
      </c>
      <c r="AB482" t="s">
        <v>5923</v>
      </c>
      <c r="AC482" t="s">
        <v>5924</v>
      </c>
      <c r="AD482" t="s">
        <v>5925</v>
      </c>
      <c r="AE482" t="s">
        <v>2846</v>
      </c>
      <c r="AF482" t="s">
        <v>73</v>
      </c>
      <c r="AG482" t="s">
        <v>5926</v>
      </c>
      <c r="AH482" t="s">
        <v>75</v>
      </c>
      <c r="AI482" t="s">
        <v>76</v>
      </c>
      <c r="AJ482" t="s">
        <v>77</v>
      </c>
      <c r="AK482" t="s">
        <v>5927</v>
      </c>
      <c r="AL482" t="s">
        <v>156</v>
      </c>
      <c r="AM482" t="s">
        <v>80</v>
      </c>
      <c r="AN482" t="s">
        <v>81</v>
      </c>
      <c r="AO482" t="s">
        <v>82</v>
      </c>
      <c r="AP482" t="s">
        <v>83</v>
      </c>
      <c r="AQ482">
        <v>2017</v>
      </c>
      <c r="AR482">
        <v>69048</v>
      </c>
      <c r="AS482">
        <v>5185697</v>
      </c>
      <c r="AT482">
        <v>198</v>
      </c>
      <c r="AU482" t="s">
        <v>84</v>
      </c>
      <c r="AV482">
        <v>562</v>
      </c>
      <c r="AW482" t="s">
        <v>85</v>
      </c>
      <c r="AX482" t="s">
        <v>86</v>
      </c>
      <c r="AY482">
        <v>562</v>
      </c>
      <c r="AZ482" t="s">
        <v>5928</v>
      </c>
      <c r="BA482" t="s">
        <v>88</v>
      </c>
    </row>
    <row r="483" spans="1:57" hidden="1" x14ac:dyDescent="0.2">
      <c r="A483" t="s">
        <v>5929</v>
      </c>
      <c r="B483" t="s">
        <v>5930</v>
      </c>
      <c r="C483" t="s">
        <v>5864</v>
      </c>
      <c r="D483" t="s">
        <v>5931</v>
      </c>
      <c r="E483" t="s">
        <v>5931</v>
      </c>
      <c r="G483" t="s">
        <v>56</v>
      </c>
      <c r="H483" t="s">
        <v>57</v>
      </c>
      <c r="I483" t="s">
        <v>93</v>
      </c>
      <c r="J483">
        <v>0</v>
      </c>
      <c r="K483" t="s">
        <v>140</v>
      </c>
      <c r="L483" t="s">
        <v>5852</v>
      </c>
      <c r="M483" t="s">
        <v>7165</v>
      </c>
      <c r="N483" t="str">
        <f t="shared" si="5"/>
        <v>Meat</v>
      </c>
      <c r="O483" s="1" t="s">
        <v>208</v>
      </c>
      <c r="P483" t="s">
        <v>209</v>
      </c>
      <c r="Q483" s="1" t="s">
        <v>166</v>
      </c>
      <c r="R483" s="1" t="s">
        <v>167</v>
      </c>
      <c r="S483" s="1" t="s">
        <v>210</v>
      </c>
      <c r="T483" s="1">
        <v>675</v>
      </c>
      <c r="U483" s="1">
        <v>14960</v>
      </c>
      <c r="V483" s="1" t="s">
        <v>169</v>
      </c>
      <c r="W483" s="1">
        <v>10444301</v>
      </c>
      <c r="X483" t="s">
        <v>5932</v>
      </c>
      <c r="Y483" t="s">
        <v>5933</v>
      </c>
      <c r="AA483" t="s">
        <v>68</v>
      </c>
      <c r="AB483" t="s">
        <v>5934</v>
      </c>
      <c r="AC483" t="s">
        <v>5935</v>
      </c>
      <c r="AD483" t="s">
        <v>5936</v>
      </c>
      <c r="AE483" t="s">
        <v>4011</v>
      </c>
      <c r="AF483" t="s">
        <v>73</v>
      </c>
      <c r="AG483" t="s">
        <v>5937</v>
      </c>
      <c r="AH483" t="s">
        <v>75</v>
      </c>
      <c r="AI483" t="s">
        <v>76</v>
      </c>
      <c r="AJ483" t="s">
        <v>77</v>
      </c>
      <c r="AK483" t="s">
        <v>5938</v>
      </c>
      <c r="AL483" t="s">
        <v>156</v>
      </c>
      <c r="AM483" t="s">
        <v>80</v>
      </c>
      <c r="AN483" t="s">
        <v>81</v>
      </c>
      <c r="AO483" t="s">
        <v>82</v>
      </c>
      <c r="AP483" t="s">
        <v>83</v>
      </c>
      <c r="AQ483">
        <v>2017</v>
      </c>
      <c r="AR483">
        <v>104903</v>
      </c>
      <c r="AS483">
        <v>5516808</v>
      </c>
      <c r="AT483">
        <v>207</v>
      </c>
      <c r="AU483" t="s">
        <v>84</v>
      </c>
      <c r="AV483">
        <v>562</v>
      </c>
      <c r="AW483" t="s">
        <v>85</v>
      </c>
      <c r="AX483" t="s">
        <v>86</v>
      </c>
      <c r="AY483">
        <v>562</v>
      </c>
      <c r="AZ483" t="s">
        <v>5939</v>
      </c>
      <c r="BA483" t="s">
        <v>88</v>
      </c>
    </row>
    <row r="484" spans="1:57" hidden="1" x14ac:dyDescent="0.2">
      <c r="A484" t="s">
        <v>5940</v>
      </c>
      <c r="B484" t="s">
        <v>5941</v>
      </c>
      <c r="C484" t="s">
        <v>5942</v>
      </c>
      <c r="D484" t="s">
        <v>5943</v>
      </c>
      <c r="E484" t="s">
        <v>5943</v>
      </c>
      <c r="G484" t="s">
        <v>56</v>
      </c>
      <c r="H484" t="s">
        <v>57</v>
      </c>
      <c r="I484" t="s">
        <v>93</v>
      </c>
      <c r="J484">
        <v>0</v>
      </c>
      <c r="K484" t="s">
        <v>140</v>
      </c>
      <c r="L484" t="s">
        <v>5745</v>
      </c>
      <c r="M484" t="s">
        <v>7165</v>
      </c>
      <c r="N484" t="str">
        <f t="shared" si="5"/>
        <v>Meat</v>
      </c>
      <c r="O484" s="1" t="s">
        <v>4838</v>
      </c>
      <c r="P484" t="s">
        <v>4839</v>
      </c>
      <c r="Q484" s="1" t="s">
        <v>144</v>
      </c>
      <c r="R484" s="1" t="s">
        <v>270</v>
      </c>
      <c r="S484" s="1" t="s">
        <v>4840</v>
      </c>
      <c r="T484" s="1">
        <v>2387</v>
      </c>
      <c r="U484" s="1">
        <v>32410</v>
      </c>
      <c r="V484" s="1" t="s">
        <v>5944</v>
      </c>
      <c r="W484" s="1">
        <v>10442042</v>
      </c>
      <c r="X484" t="s">
        <v>5945</v>
      </c>
      <c r="Y484" t="s">
        <v>5946</v>
      </c>
      <c r="AA484" t="s">
        <v>68</v>
      </c>
      <c r="AB484" t="s">
        <v>5947</v>
      </c>
      <c r="AC484" t="s">
        <v>5948</v>
      </c>
      <c r="AD484" t="s">
        <v>5949</v>
      </c>
      <c r="AE484" t="s">
        <v>4011</v>
      </c>
      <c r="AF484" t="s">
        <v>73</v>
      </c>
      <c r="AG484" t="s">
        <v>5950</v>
      </c>
      <c r="AH484" t="s">
        <v>2778</v>
      </c>
      <c r="AI484" t="s">
        <v>76</v>
      </c>
      <c r="AJ484" t="s">
        <v>77</v>
      </c>
      <c r="AK484" t="s">
        <v>5951</v>
      </c>
      <c r="AL484" t="s">
        <v>3115</v>
      </c>
      <c r="AM484" t="s">
        <v>5952</v>
      </c>
      <c r="AN484" t="s">
        <v>81</v>
      </c>
      <c r="AO484" t="s">
        <v>82</v>
      </c>
      <c r="AP484" t="s">
        <v>83</v>
      </c>
      <c r="AQ484">
        <v>2017</v>
      </c>
      <c r="AR484">
        <v>138550</v>
      </c>
      <c r="AS484">
        <v>5319760</v>
      </c>
      <c r="AT484">
        <v>108</v>
      </c>
      <c r="AU484" t="s">
        <v>84</v>
      </c>
      <c r="AV484">
        <v>562</v>
      </c>
      <c r="AW484" t="s">
        <v>85</v>
      </c>
      <c r="AX484" t="s">
        <v>86</v>
      </c>
      <c r="AY484">
        <v>562</v>
      </c>
      <c r="AZ484" t="s">
        <v>5953</v>
      </c>
      <c r="BA484" t="s">
        <v>88</v>
      </c>
      <c r="BC484" t="s">
        <v>5954</v>
      </c>
      <c r="BD484">
        <v>1</v>
      </c>
    </row>
    <row r="485" spans="1:57" hidden="1" x14ac:dyDescent="0.2">
      <c r="A485" t="s">
        <v>5955</v>
      </c>
      <c r="B485" t="s">
        <v>5956</v>
      </c>
      <c r="C485" t="s">
        <v>5942</v>
      </c>
      <c r="D485" t="s">
        <v>5957</v>
      </c>
      <c r="E485" t="s">
        <v>5957</v>
      </c>
      <c r="G485" t="s">
        <v>56</v>
      </c>
      <c r="H485" t="s">
        <v>57</v>
      </c>
      <c r="I485" t="s">
        <v>93</v>
      </c>
      <c r="J485">
        <v>0</v>
      </c>
      <c r="K485" t="s">
        <v>5745</v>
      </c>
      <c r="L485" t="s">
        <v>5745</v>
      </c>
      <c r="M485" t="s">
        <v>7165</v>
      </c>
      <c r="N485" t="str">
        <f t="shared" si="5"/>
        <v>Meat</v>
      </c>
      <c r="O485" s="1" t="s">
        <v>4838</v>
      </c>
      <c r="P485" t="s">
        <v>4839</v>
      </c>
      <c r="Q485" s="1" t="s">
        <v>144</v>
      </c>
      <c r="R485" s="1" t="s">
        <v>270</v>
      </c>
      <c r="S485" s="1" t="s">
        <v>4840</v>
      </c>
      <c r="T485" s="1">
        <v>2387</v>
      </c>
      <c r="U485" s="1">
        <v>32410</v>
      </c>
      <c r="V485" s="1" t="s">
        <v>5944</v>
      </c>
      <c r="W485" s="1">
        <v>10442042</v>
      </c>
      <c r="X485" t="s">
        <v>5958</v>
      </c>
      <c r="Y485" t="s">
        <v>5959</v>
      </c>
      <c r="AA485" t="s">
        <v>68</v>
      </c>
      <c r="AB485" t="s">
        <v>5960</v>
      </c>
      <c r="AC485" t="s">
        <v>5961</v>
      </c>
      <c r="AD485" t="s">
        <v>5962</v>
      </c>
      <c r="AE485" t="s">
        <v>4011</v>
      </c>
      <c r="AF485" t="s">
        <v>73</v>
      </c>
      <c r="AG485" t="s">
        <v>5963</v>
      </c>
      <c r="AH485" t="s">
        <v>2778</v>
      </c>
      <c r="AI485" t="s">
        <v>76</v>
      </c>
      <c r="AJ485" t="s">
        <v>77</v>
      </c>
      <c r="AK485" t="s">
        <v>5964</v>
      </c>
      <c r="AL485" t="s">
        <v>3115</v>
      </c>
      <c r="AM485" t="s">
        <v>5952</v>
      </c>
      <c r="AN485" t="s">
        <v>81</v>
      </c>
      <c r="AO485" t="s">
        <v>82</v>
      </c>
      <c r="AP485" t="s">
        <v>83</v>
      </c>
      <c r="AQ485">
        <v>2017</v>
      </c>
      <c r="AR485">
        <v>141378</v>
      </c>
      <c r="AS485">
        <v>5311373</v>
      </c>
      <c r="AT485">
        <v>124</v>
      </c>
      <c r="AU485" t="s">
        <v>84</v>
      </c>
      <c r="AV485">
        <v>562</v>
      </c>
      <c r="AW485" t="s">
        <v>85</v>
      </c>
      <c r="AX485" t="s">
        <v>86</v>
      </c>
      <c r="AY485">
        <v>562</v>
      </c>
      <c r="AZ485" t="s">
        <v>5965</v>
      </c>
      <c r="BA485" t="s">
        <v>88</v>
      </c>
      <c r="BC485" t="s">
        <v>5954</v>
      </c>
      <c r="BD485">
        <v>1</v>
      </c>
    </row>
    <row r="486" spans="1:57" hidden="1" x14ac:dyDescent="0.2">
      <c r="A486" t="s">
        <v>5966</v>
      </c>
      <c r="B486" t="s">
        <v>5967</v>
      </c>
      <c r="C486" t="s">
        <v>5968</v>
      </c>
      <c r="D486" t="s">
        <v>5969</v>
      </c>
      <c r="E486" t="s">
        <v>5969</v>
      </c>
      <c r="G486" t="s">
        <v>56</v>
      </c>
      <c r="H486" t="s">
        <v>57</v>
      </c>
      <c r="I486" t="s">
        <v>93</v>
      </c>
      <c r="J486">
        <v>0</v>
      </c>
      <c r="K486" t="s">
        <v>140</v>
      </c>
      <c r="L486" t="s">
        <v>5970</v>
      </c>
      <c r="M486" t="s">
        <v>7165</v>
      </c>
      <c r="N486" t="str">
        <f t="shared" si="5"/>
        <v>Meat</v>
      </c>
      <c r="O486" s="1" t="s">
        <v>183</v>
      </c>
      <c r="P486" t="s">
        <v>184</v>
      </c>
      <c r="Q486" s="1" t="s">
        <v>4350</v>
      </c>
      <c r="R486" s="1" t="s">
        <v>185</v>
      </c>
      <c r="S486" s="1" t="s">
        <v>186</v>
      </c>
      <c r="T486" s="1">
        <v>33</v>
      </c>
      <c r="U486" s="1">
        <v>1587</v>
      </c>
      <c r="V486" s="1" t="s">
        <v>169</v>
      </c>
      <c r="W486" s="1">
        <v>10286324</v>
      </c>
      <c r="X486" t="s">
        <v>5971</v>
      </c>
      <c r="Y486" t="s">
        <v>5972</v>
      </c>
      <c r="AA486" t="s">
        <v>68</v>
      </c>
      <c r="AB486" t="s">
        <v>5973</v>
      </c>
      <c r="AC486" t="s">
        <v>5974</v>
      </c>
      <c r="AD486" t="s">
        <v>5975</v>
      </c>
      <c r="AE486" t="s">
        <v>2806</v>
      </c>
      <c r="AF486" t="s">
        <v>73</v>
      </c>
      <c r="AG486" t="s">
        <v>5976</v>
      </c>
      <c r="AI486" t="s">
        <v>76</v>
      </c>
      <c r="AJ486" t="s">
        <v>77</v>
      </c>
      <c r="AK486" t="s">
        <v>5977</v>
      </c>
      <c r="AL486" t="s">
        <v>156</v>
      </c>
      <c r="AM486" t="s">
        <v>531</v>
      </c>
      <c r="AN486" t="s">
        <v>532</v>
      </c>
      <c r="AO486" t="s">
        <v>533</v>
      </c>
      <c r="AP486" t="s">
        <v>83</v>
      </c>
      <c r="AQ486">
        <v>2017</v>
      </c>
      <c r="AR486">
        <v>133325</v>
      </c>
      <c r="AS486">
        <v>5589391</v>
      </c>
      <c r="AT486">
        <v>247</v>
      </c>
      <c r="AU486" t="s">
        <v>84</v>
      </c>
      <c r="AV486">
        <v>562</v>
      </c>
      <c r="AW486" t="s">
        <v>85</v>
      </c>
      <c r="AX486" t="s">
        <v>86</v>
      </c>
      <c r="AY486">
        <v>562</v>
      </c>
      <c r="AZ486" t="s">
        <v>5978</v>
      </c>
      <c r="BA486" t="s">
        <v>88</v>
      </c>
      <c r="BC486" t="s">
        <v>535</v>
      </c>
      <c r="BD486">
        <v>0</v>
      </c>
    </row>
    <row r="487" spans="1:57" hidden="1" x14ac:dyDescent="0.2">
      <c r="A487" t="s">
        <v>5979</v>
      </c>
      <c r="B487" t="s">
        <v>5980</v>
      </c>
      <c r="C487" t="s">
        <v>5981</v>
      </c>
      <c r="D487" t="s">
        <v>5982</v>
      </c>
      <c r="E487" t="s">
        <v>5982</v>
      </c>
      <c r="G487" t="s">
        <v>56</v>
      </c>
      <c r="H487" t="s">
        <v>57</v>
      </c>
      <c r="I487" t="s">
        <v>58</v>
      </c>
      <c r="J487" t="s">
        <v>4347</v>
      </c>
      <c r="K487" t="s">
        <v>140</v>
      </c>
      <c r="L487" t="s">
        <v>5983</v>
      </c>
      <c r="M487" t="s">
        <v>7165</v>
      </c>
      <c r="N487" t="str">
        <f t="shared" si="5"/>
        <v>Meat</v>
      </c>
      <c r="O487" s="1" t="s">
        <v>3848</v>
      </c>
      <c r="P487" t="s">
        <v>5984</v>
      </c>
      <c r="Q487" s="1" t="s">
        <v>144</v>
      </c>
      <c r="R487" s="1" t="s">
        <v>313</v>
      </c>
      <c r="S487" s="1" t="s">
        <v>5985</v>
      </c>
      <c r="T487" s="1">
        <v>441</v>
      </c>
      <c r="U487" s="1">
        <v>42499</v>
      </c>
      <c r="V487" s="1" t="e">
        <v>#N/A</v>
      </c>
      <c r="W487" s="1" t="e">
        <v>#N/A</v>
      </c>
      <c r="X487" t="s">
        <v>5986</v>
      </c>
      <c r="Y487" t="s">
        <v>5987</v>
      </c>
      <c r="AA487" t="s">
        <v>68</v>
      </c>
      <c r="AB487" t="s">
        <v>5988</v>
      </c>
      <c r="AC487" t="s">
        <v>5989</v>
      </c>
      <c r="AD487" t="s">
        <v>5990</v>
      </c>
      <c r="AE487" t="s">
        <v>4106</v>
      </c>
      <c r="AF487" t="s">
        <v>73</v>
      </c>
      <c r="AG487" t="s">
        <v>5991</v>
      </c>
      <c r="AH487" t="s">
        <v>75</v>
      </c>
      <c r="AI487" t="s">
        <v>76</v>
      </c>
      <c r="AJ487" t="s">
        <v>77</v>
      </c>
      <c r="AK487" t="s">
        <v>5992</v>
      </c>
      <c r="AL487" t="s">
        <v>79</v>
      </c>
      <c r="AM487" t="s">
        <v>80</v>
      </c>
      <c r="AN487" t="s">
        <v>81</v>
      </c>
      <c r="AO487" t="s">
        <v>82</v>
      </c>
      <c r="AP487" t="s">
        <v>83</v>
      </c>
      <c r="AQ487">
        <v>2017</v>
      </c>
      <c r="AR487">
        <v>91836</v>
      </c>
      <c r="AS487">
        <v>5317558</v>
      </c>
      <c r="AT487">
        <v>317</v>
      </c>
      <c r="AU487" t="s">
        <v>84</v>
      </c>
      <c r="AV487">
        <v>562</v>
      </c>
      <c r="AW487" t="s">
        <v>85</v>
      </c>
      <c r="AX487" t="s">
        <v>86</v>
      </c>
      <c r="AY487">
        <v>562</v>
      </c>
      <c r="AZ487" t="s">
        <v>5993</v>
      </c>
      <c r="BA487" t="s">
        <v>88</v>
      </c>
    </row>
    <row r="488" spans="1:57" hidden="1" x14ac:dyDescent="0.2">
      <c r="A488" t="s">
        <v>5994</v>
      </c>
      <c r="B488" t="s">
        <v>5995</v>
      </c>
      <c r="C488" t="s">
        <v>5996</v>
      </c>
      <c r="D488" t="s">
        <v>5997</v>
      </c>
      <c r="E488" t="s">
        <v>5997</v>
      </c>
      <c r="G488" t="s">
        <v>56</v>
      </c>
      <c r="H488" t="s">
        <v>57</v>
      </c>
      <c r="I488" t="s">
        <v>93</v>
      </c>
      <c r="J488">
        <v>0</v>
      </c>
      <c r="K488" t="s">
        <v>447</v>
      </c>
      <c r="L488" t="s">
        <v>5998</v>
      </c>
      <c r="M488" t="s">
        <v>7165</v>
      </c>
      <c r="N488" t="s">
        <v>7172</v>
      </c>
      <c r="O488" s="1" t="s">
        <v>448</v>
      </c>
      <c r="P488" t="s">
        <v>449</v>
      </c>
      <c r="Q488" s="1" t="s">
        <v>4462</v>
      </c>
      <c r="R488" s="1" t="s">
        <v>434</v>
      </c>
      <c r="S488" s="1" t="s">
        <v>451</v>
      </c>
      <c r="T488" s="1">
        <v>25</v>
      </c>
      <c r="U488" s="1">
        <v>30074</v>
      </c>
      <c r="V488" s="1" t="s">
        <v>169</v>
      </c>
      <c r="W488" s="1">
        <v>10762625</v>
      </c>
      <c r="X488" t="s">
        <v>5999</v>
      </c>
      <c r="Y488" t="s">
        <v>6000</v>
      </c>
      <c r="AA488" t="s">
        <v>68</v>
      </c>
      <c r="AB488" t="s">
        <v>6001</v>
      </c>
      <c r="AC488" t="s">
        <v>6002</v>
      </c>
      <c r="AD488" t="s">
        <v>6003</v>
      </c>
      <c r="AE488" t="s">
        <v>4300</v>
      </c>
      <c r="AF488" t="s">
        <v>73</v>
      </c>
      <c r="AG488" t="s">
        <v>6004</v>
      </c>
      <c r="AI488" t="s">
        <v>76</v>
      </c>
      <c r="AJ488" t="s">
        <v>77</v>
      </c>
      <c r="AK488" t="s">
        <v>6005</v>
      </c>
      <c r="AL488" t="s">
        <v>156</v>
      </c>
      <c r="AM488" t="s">
        <v>531</v>
      </c>
      <c r="AN488" t="s">
        <v>532</v>
      </c>
      <c r="AO488" t="s">
        <v>533</v>
      </c>
      <c r="AP488" t="s">
        <v>83</v>
      </c>
      <c r="AQ488">
        <v>2018</v>
      </c>
      <c r="AR488">
        <v>49695</v>
      </c>
      <c r="AS488">
        <v>5624422</v>
      </c>
      <c r="AT488">
        <v>461</v>
      </c>
      <c r="AU488" t="s">
        <v>84</v>
      </c>
      <c r="AV488">
        <v>562</v>
      </c>
      <c r="AW488" t="s">
        <v>85</v>
      </c>
      <c r="AX488" t="s">
        <v>86</v>
      </c>
      <c r="AY488">
        <v>562</v>
      </c>
      <c r="AZ488" t="s">
        <v>6006</v>
      </c>
      <c r="BA488" t="s">
        <v>88</v>
      </c>
    </row>
    <row r="489" spans="1:57" hidden="1" x14ac:dyDescent="0.2">
      <c r="A489" t="s">
        <v>6007</v>
      </c>
      <c r="B489" t="s">
        <v>6008</v>
      </c>
      <c r="C489" t="s">
        <v>6009</v>
      </c>
      <c r="D489" t="s">
        <v>6010</v>
      </c>
      <c r="E489" t="s">
        <v>6010</v>
      </c>
      <c r="G489" t="s">
        <v>56</v>
      </c>
      <c r="H489" t="s">
        <v>57</v>
      </c>
      <c r="I489" t="s">
        <v>93</v>
      </c>
      <c r="J489">
        <v>0</v>
      </c>
      <c r="K489" t="s">
        <v>447</v>
      </c>
      <c r="L489" t="s">
        <v>6011</v>
      </c>
      <c r="M489" t="s">
        <v>7165</v>
      </c>
      <c r="N489" t="s">
        <v>7172</v>
      </c>
      <c r="O489" s="1" t="s">
        <v>183</v>
      </c>
      <c r="P489" t="s">
        <v>6012</v>
      </c>
      <c r="Q489" s="1" t="s">
        <v>3090</v>
      </c>
      <c r="R489" s="1" t="s">
        <v>185</v>
      </c>
      <c r="S489" s="1" t="s">
        <v>6013</v>
      </c>
      <c r="T489" s="1">
        <v>33</v>
      </c>
      <c r="U489" s="1">
        <v>1587</v>
      </c>
      <c r="V489" s="1" t="s">
        <v>169</v>
      </c>
      <c r="W489" s="1">
        <v>10981249</v>
      </c>
      <c r="X489" t="s">
        <v>6014</v>
      </c>
      <c r="Y489" t="s">
        <v>6015</v>
      </c>
      <c r="AA489" t="s">
        <v>68</v>
      </c>
      <c r="AB489" t="s">
        <v>6016</v>
      </c>
      <c r="AC489" t="s">
        <v>6017</v>
      </c>
      <c r="AD489" t="s">
        <v>6018</v>
      </c>
      <c r="AE489" t="s">
        <v>4300</v>
      </c>
      <c r="AF489" t="s">
        <v>73</v>
      </c>
      <c r="AG489" t="s">
        <v>6019</v>
      </c>
      <c r="AH489" t="s">
        <v>75</v>
      </c>
      <c r="AI489" t="s">
        <v>76</v>
      </c>
      <c r="AJ489" t="s">
        <v>77</v>
      </c>
      <c r="AK489" t="s">
        <v>6020</v>
      </c>
      <c r="AL489" t="s">
        <v>156</v>
      </c>
      <c r="AM489" t="s">
        <v>80</v>
      </c>
      <c r="AN489" t="s">
        <v>81</v>
      </c>
      <c r="AO489" t="s">
        <v>82</v>
      </c>
      <c r="AP489" t="s">
        <v>83</v>
      </c>
      <c r="AQ489">
        <v>2018</v>
      </c>
      <c r="AR489">
        <v>63807</v>
      </c>
      <c r="AS489">
        <v>5455586</v>
      </c>
      <c r="AT489">
        <v>452</v>
      </c>
      <c r="AU489" t="s">
        <v>84</v>
      </c>
      <c r="AV489">
        <v>562</v>
      </c>
      <c r="AW489" t="s">
        <v>85</v>
      </c>
      <c r="AX489" t="s">
        <v>86</v>
      </c>
      <c r="AY489">
        <v>562</v>
      </c>
      <c r="AZ489" t="s">
        <v>6021</v>
      </c>
      <c r="BA489" t="s">
        <v>88</v>
      </c>
      <c r="BC489" t="s">
        <v>6022</v>
      </c>
      <c r="BD489">
        <v>2</v>
      </c>
    </row>
    <row r="490" spans="1:57" hidden="1" x14ac:dyDescent="0.2">
      <c r="A490" t="s">
        <v>6023</v>
      </c>
      <c r="B490" t="s">
        <v>6024</v>
      </c>
      <c r="C490" t="s">
        <v>6009</v>
      </c>
      <c r="D490" t="s">
        <v>6025</v>
      </c>
      <c r="E490" t="s">
        <v>6025</v>
      </c>
      <c r="G490" t="s">
        <v>56</v>
      </c>
      <c r="H490" t="s">
        <v>57</v>
      </c>
      <c r="I490" t="s">
        <v>93</v>
      </c>
      <c r="J490">
        <v>0</v>
      </c>
      <c r="K490" t="s">
        <v>447</v>
      </c>
      <c r="L490" t="s">
        <v>6011</v>
      </c>
      <c r="M490" t="s">
        <v>7165</v>
      </c>
      <c r="N490" t="s">
        <v>7172</v>
      </c>
      <c r="O490" s="1" t="s">
        <v>183</v>
      </c>
      <c r="P490" t="s">
        <v>6012</v>
      </c>
      <c r="Q490" s="1" t="s">
        <v>3090</v>
      </c>
      <c r="R490" s="1" t="s">
        <v>185</v>
      </c>
      <c r="S490" s="1" t="s">
        <v>6013</v>
      </c>
      <c r="T490" s="1">
        <v>33</v>
      </c>
      <c r="U490" s="1">
        <v>1587</v>
      </c>
      <c r="V490" s="1" t="s">
        <v>169</v>
      </c>
      <c r="W490" s="1">
        <v>10981249</v>
      </c>
      <c r="X490" t="s">
        <v>6026</v>
      </c>
      <c r="Y490" t="s">
        <v>6027</v>
      </c>
      <c r="AA490" t="s">
        <v>68</v>
      </c>
      <c r="AB490" t="s">
        <v>6028</v>
      </c>
      <c r="AC490" t="s">
        <v>6029</v>
      </c>
      <c r="AD490" t="s">
        <v>6030</v>
      </c>
      <c r="AE490" t="s">
        <v>4300</v>
      </c>
      <c r="AF490" t="s">
        <v>73</v>
      </c>
      <c r="AG490" t="s">
        <v>6031</v>
      </c>
      <c r="AH490" t="s">
        <v>75</v>
      </c>
      <c r="AI490" t="s">
        <v>76</v>
      </c>
      <c r="AJ490" t="s">
        <v>77</v>
      </c>
      <c r="AK490" t="s">
        <v>6032</v>
      </c>
      <c r="AL490" t="s">
        <v>156</v>
      </c>
      <c r="AM490" t="s">
        <v>80</v>
      </c>
      <c r="AN490" t="s">
        <v>81</v>
      </c>
      <c r="AO490" t="s">
        <v>82</v>
      </c>
      <c r="AP490" t="s">
        <v>83</v>
      </c>
      <c r="AQ490">
        <v>2018</v>
      </c>
      <c r="AR490">
        <v>63917</v>
      </c>
      <c r="AS490">
        <v>5493775</v>
      </c>
      <c r="AT490">
        <v>292</v>
      </c>
      <c r="AU490" t="s">
        <v>84</v>
      </c>
      <c r="AV490">
        <v>562</v>
      </c>
      <c r="AW490" t="s">
        <v>85</v>
      </c>
      <c r="AX490" t="s">
        <v>86</v>
      </c>
      <c r="AY490">
        <v>562</v>
      </c>
      <c r="AZ490" t="s">
        <v>6033</v>
      </c>
      <c r="BA490" t="s">
        <v>88</v>
      </c>
      <c r="BC490" t="s">
        <v>6022</v>
      </c>
      <c r="BD490">
        <v>2</v>
      </c>
    </row>
    <row r="491" spans="1:57" hidden="1" x14ac:dyDescent="0.2">
      <c r="A491" t="s">
        <v>6034</v>
      </c>
      <c r="B491" t="s">
        <v>6035</v>
      </c>
      <c r="C491" t="s">
        <v>6009</v>
      </c>
      <c r="D491" t="s">
        <v>6036</v>
      </c>
      <c r="E491" t="s">
        <v>6036</v>
      </c>
      <c r="G491" t="s">
        <v>56</v>
      </c>
      <c r="H491" t="s">
        <v>57</v>
      </c>
      <c r="I491" t="s">
        <v>93</v>
      </c>
      <c r="J491">
        <v>0</v>
      </c>
      <c r="K491" t="s">
        <v>406</v>
      </c>
      <c r="L491" t="s">
        <v>406</v>
      </c>
      <c r="M491" t="s">
        <v>7165</v>
      </c>
      <c r="N491" t="s">
        <v>7172</v>
      </c>
      <c r="O491" s="1" t="s">
        <v>3194</v>
      </c>
      <c r="P491" t="s">
        <v>6037</v>
      </c>
      <c r="Q491" s="1" t="s">
        <v>166</v>
      </c>
      <c r="R491" s="1" t="s">
        <v>167</v>
      </c>
      <c r="S491" s="1" t="s">
        <v>168</v>
      </c>
      <c r="T491" s="1">
        <v>1817</v>
      </c>
      <c r="U491" s="1">
        <v>61940</v>
      </c>
      <c r="V491" s="1" t="s">
        <v>3196</v>
      </c>
      <c r="W491" s="1">
        <v>10981249</v>
      </c>
      <c r="X491" t="s">
        <v>6038</v>
      </c>
      <c r="Y491" t="s">
        <v>6039</v>
      </c>
      <c r="AA491" t="s">
        <v>68</v>
      </c>
      <c r="AB491" t="s">
        <v>6040</v>
      </c>
      <c r="AC491" t="s">
        <v>6041</v>
      </c>
      <c r="AD491" t="s">
        <v>6042</v>
      </c>
      <c r="AE491" t="s">
        <v>4300</v>
      </c>
      <c r="AF491" t="s">
        <v>73</v>
      </c>
      <c r="AG491" t="s">
        <v>6043</v>
      </c>
      <c r="AH491" t="s">
        <v>75</v>
      </c>
      <c r="AI491" t="s">
        <v>76</v>
      </c>
      <c r="AJ491" t="s">
        <v>77</v>
      </c>
      <c r="AK491" t="s">
        <v>6044</v>
      </c>
      <c r="AM491" t="s">
        <v>80</v>
      </c>
      <c r="AN491" t="s">
        <v>81</v>
      </c>
      <c r="AO491" t="s">
        <v>82</v>
      </c>
      <c r="AP491" t="s">
        <v>83</v>
      </c>
      <c r="AQ491">
        <v>2018</v>
      </c>
      <c r="AR491">
        <v>67780</v>
      </c>
      <c r="AS491">
        <v>5068790</v>
      </c>
      <c r="AT491">
        <v>185</v>
      </c>
      <c r="AU491" t="s">
        <v>84</v>
      </c>
      <c r="AV491">
        <v>562</v>
      </c>
      <c r="AW491" t="s">
        <v>85</v>
      </c>
      <c r="AX491" t="s">
        <v>86</v>
      </c>
      <c r="AY491">
        <v>562</v>
      </c>
      <c r="AZ491" t="s">
        <v>6045</v>
      </c>
      <c r="BA491" t="s">
        <v>88</v>
      </c>
      <c r="BC491" t="s">
        <v>6046</v>
      </c>
      <c r="BD491">
        <v>1</v>
      </c>
    </row>
    <row r="492" spans="1:57" hidden="1" x14ac:dyDescent="0.2">
      <c r="A492" t="s">
        <v>6047</v>
      </c>
      <c r="B492" t="s">
        <v>6048</v>
      </c>
      <c r="C492" s="10" t="s">
        <v>6009</v>
      </c>
      <c r="D492" t="s">
        <v>6049</v>
      </c>
      <c r="E492" t="s">
        <v>6049</v>
      </c>
      <c r="G492" t="s">
        <v>56</v>
      </c>
      <c r="H492" t="s">
        <v>57</v>
      </c>
      <c r="I492" t="s">
        <v>93</v>
      </c>
      <c r="J492">
        <v>0</v>
      </c>
      <c r="K492" t="s">
        <v>406</v>
      </c>
      <c r="L492" t="s">
        <v>406</v>
      </c>
      <c r="M492" t="s">
        <v>7165</v>
      </c>
      <c r="N492" t="s">
        <v>7172</v>
      </c>
      <c r="O492" s="1" t="s">
        <v>3194</v>
      </c>
      <c r="P492" t="s">
        <v>6037</v>
      </c>
      <c r="Q492" s="1" t="s">
        <v>166</v>
      </c>
      <c r="R492" s="1" t="s">
        <v>167</v>
      </c>
      <c r="S492" s="1" t="e">
        <v>#N/A</v>
      </c>
      <c r="T492" s="1">
        <v>1817</v>
      </c>
      <c r="U492" s="1">
        <v>61940</v>
      </c>
      <c r="V492" s="1" t="s">
        <v>3196</v>
      </c>
      <c r="W492" s="1">
        <v>10981249</v>
      </c>
      <c r="X492" t="s">
        <v>6050</v>
      </c>
      <c r="Y492" t="s">
        <v>6051</v>
      </c>
      <c r="AA492" t="s">
        <v>68</v>
      </c>
      <c r="AB492" t="s">
        <v>6052</v>
      </c>
      <c r="AC492" t="s">
        <v>6053</v>
      </c>
      <c r="AD492" t="s">
        <v>6054</v>
      </c>
      <c r="AE492" t="s">
        <v>2846</v>
      </c>
      <c r="AF492" t="s">
        <v>73</v>
      </c>
      <c r="AG492" t="s">
        <v>6055</v>
      </c>
      <c r="AH492" t="s">
        <v>75</v>
      </c>
      <c r="AI492" t="s">
        <v>76</v>
      </c>
      <c r="AJ492" t="s">
        <v>77</v>
      </c>
      <c r="AK492" t="s">
        <v>414</v>
      </c>
      <c r="AL492" t="s">
        <v>107</v>
      </c>
      <c r="AM492" t="s">
        <v>80</v>
      </c>
      <c r="AN492" t="s">
        <v>81</v>
      </c>
      <c r="AO492" t="s">
        <v>82</v>
      </c>
      <c r="AP492" t="s">
        <v>83</v>
      </c>
      <c r="AQ492">
        <v>2018</v>
      </c>
      <c r="AR492">
        <v>131424</v>
      </c>
      <c r="AS492">
        <v>5067076</v>
      </c>
      <c r="AT492">
        <v>144</v>
      </c>
      <c r="AU492" t="s">
        <v>84</v>
      </c>
      <c r="AV492">
        <v>562</v>
      </c>
      <c r="AW492" t="s">
        <v>85</v>
      </c>
      <c r="AX492" t="s">
        <v>86</v>
      </c>
      <c r="AY492">
        <v>562</v>
      </c>
      <c r="AZ492" t="s">
        <v>6056</v>
      </c>
      <c r="BA492" t="s">
        <v>88</v>
      </c>
      <c r="BC492" t="s">
        <v>6046</v>
      </c>
      <c r="BD492">
        <v>1</v>
      </c>
    </row>
    <row r="493" spans="1:57" hidden="1" x14ac:dyDescent="0.2">
      <c r="A493" t="s">
        <v>6057</v>
      </c>
      <c r="B493" t="s">
        <v>6058</v>
      </c>
      <c r="C493" s="2" t="s">
        <v>6059</v>
      </c>
      <c r="D493" t="s">
        <v>6060</v>
      </c>
      <c r="E493" s="2" t="s">
        <v>6061</v>
      </c>
      <c r="F493" t="s">
        <v>2985</v>
      </c>
      <c r="G493" t="s">
        <v>56</v>
      </c>
      <c r="H493" t="s">
        <v>57</v>
      </c>
      <c r="I493" t="s">
        <v>58</v>
      </c>
      <c r="J493" t="s">
        <v>6062</v>
      </c>
      <c r="K493" t="s">
        <v>352</v>
      </c>
      <c r="L493" t="s">
        <v>352</v>
      </c>
      <c r="M493" t="s">
        <v>7165</v>
      </c>
      <c r="N493" t="s">
        <v>7172</v>
      </c>
      <c r="O493" s="1" t="s">
        <v>4039</v>
      </c>
      <c r="P493" t="s">
        <v>6063</v>
      </c>
      <c r="Q493" s="1" t="s">
        <v>144</v>
      </c>
      <c r="R493" s="1" t="s">
        <v>355</v>
      </c>
      <c r="S493" s="1" t="s">
        <v>356</v>
      </c>
      <c r="T493" s="1">
        <v>1294</v>
      </c>
      <c r="U493" s="1">
        <v>64900</v>
      </c>
      <c r="V493" s="1" t="s">
        <v>3265</v>
      </c>
      <c r="W493" s="1">
        <v>11077347</v>
      </c>
      <c r="X493" t="s">
        <v>6064</v>
      </c>
      <c r="Y493" t="s">
        <v>6065</v>
      </c>
      <c r="AA493" t="s">
        <v>68</v>
      </c>
      <c r="AB493" t="s">
        <v>6066</v>
      </c>
      <c r="AC493" t="s">
        <v>6067</v>
      </c>
      <c r="AD493" t="s">
        <v>6068</v>
      </c>
      <c r="AE493" t="s">
        <v>864</v>
      </c>
      <c r="AF493" t="s">
        <v>73</v>
      </c>
      <c r="AG493" t="s">
        <v>6069</v>
      </c>
      <c r="AH493" t="s">
        <v>3402</v>
      </c>
      <c r="AI493" t="s">
        <v>76</v>
      </c>
      <c r="AJ493" t="s">
        <v>77</v>
      </c>
      <c r="AK493" t="s">
        <v>6070</v>
      </c>
      <c r="AL493" t="s">
        <v>6071</v>
      </c>
      <c r="AM493" t="s">
        <v>3404</v>
      </c>
      <c r="AN493" t="s">
        <v>81</v>
      </c>
      <c r="AO493" t="s">
        <v>82</v>
      </c>
      <c r="AP493" t="s">
        <v>83</v>
      </c>
      <c r="AQ493">
        <v>2018</v>
      </c>
      <c r="AR493">
        <v>86406</v>
      </c>
      <c r="AS493">
        <v>5083333</v>
      </c>
      <c r="AT493">
        <v>191</v>
      </c>
      <c r="AU493" t="s">
        <v>84</v>
      </c>
      <c r="AV493">
        <v>562</v>
      </c>
      <c r="AW493" t="s">
        <v>85</v>
      </c>
      <c r="AX493" t="s">
        <v>86</v>
      </c>
      <c r="AY493">
        <v>562</v>
      </c>
      <c r="AZ493" t="s">
        <v>6072</v>
      </c>
      <c r="BA493" t="s">
        <v>88</v>
      </c>
    </row>
    <row r="494" spans="1:57" hidden="1" x14ac:dyDescent="0.2">
      <c r="A494" t="s">
        <v>6073</v>
      </c>
      <c r="B494" t="s">
        <v>6074</v>
      </c>
      <c r="C494" t="s">
        <v>6075</v>
      </c>
      <c r="D494" t="s">
        <v>6076</v>
      </c>
      <c r="E494" s="2" t="s">
        <v>6077</v>
      </c>
      <c r="G494" t="s">
        <v>56</v>
      </c>
      <c r="H494" t="s">
        <v>57</v>
      </c>
      <c r="I494" t="s">
        <v>93</v>
      </c>
      <c r="J494">
        <v>0</v>
      </c>
      <c r="K494" t="s">
        <v>352</v>
      </c>
      <c r="L494" t="s">
        <v>352</v>
      </c>
      <c r="M494" t="s">
        <v>7165</v>
      </c>
      <c r="N494" t="s">
        <v>7172</v>
      </c>
      <c r="O494" s="1" t="s">
        <v>353</v>
      </c>
      <c r="P494" t="s">
        <v>354</v>
      </c>
      <c r="Q494" s="1" t="s">
        <v>144</v>
      </c>
      <c r="R494" s="1" t="s">
        <v>355</v>
      </c>
      <c r="S494" s="1" t="s">
        <v>356</v>
      </c>
      <c r="T494" s="1">
        <v>155</v>
      </c>
      <c r="U494" s="1">
        <v>1607</v>
      </c>
      <c r="V494" s="1" t="s">
        <v>169</v>
      </c>
      <c r="W494" s="1">
        <v>11077347</v>
      </c>
      <c r="X494" t="s">
        <v>6078</v>
      </c>
      <c r="Y494" t="s">
        <v>6079</v>
      </c>
      <c r="AA494" t="s">
        <v>68</v>
      </c>
      <c r="AB494" t="s">
        <v>6080</v>
      </c>
      <c r="AC494" t="s">
        <v>6081</v>
      </c>
      <c r="AD494" t="s">
        <v>6082</v>
      </c>
      <c r="AE494" t="s">
        <v>2465</v>
      </c>
      <c r="AF494" t="s">
        <v>73</v>
      </c>
      <c r="AG494" t="s">
        <v>6083</v>
      </c>
      <c r="AH494" t="s">
        <v>75</v>
      </c>
      <c r="AI494" t="s">
        <v>76</v>
      </c>
      <c r="AJ494" t="s">
        <v>77</v>
      </c>
      <c r="AK494" t="s">
        <v>363</v>
      </c>
      <c r="AL494" t="s">
        <v>156</v>
      </c>
      <c r="AM494" t="s">
        <v>80</v>
      </c>
      <c r="AN494" t="s">
        <v>81</v>
      </c>
      <c r="AO494" t="s">
        <v>82</v>
      </c>
      <c r="AP494" t="s">
        <v>83</v>
      </c>
      <c r="AQ494">
        <v>2018</v>
      </c>
      <c r="AR494">
        <v>88122</v>
      </c>
      <c r="AS494">
        <v>5110103</v>
      </c>
      <c r="AT494">
        <v>176</v>
      </c>
      <c r="AU494" t="s">
        <v>84</v>
      </c>
      <c r="AV494">
        <v>562</v>
      </c>
      <c r="AW494" t="s">
        <v>85</v>
      </c>
      <c r="AX494" t="s">
        <v>86</v>
      </c>
      <c r="AY494">
        <v>562</v>
      </c>
      <c r="AZ494" t="s">
        <v>6084</v>
      </c>
      <c r="BA494" t="s">
        <v>88</v>
      </c>
    </row>
    <row r="495" spans="1:57" hidden="1" x14ac:dyDescent="0.2">
      <c r="A495" t="s">
        <v>6085</v>
      </c>
      <c r="B495" t="s">
        <v>6086</v>
      </c>
      <c r="C495" t="s">
        <v>6087</v>
      </c>
      <c r="D495" t="s">
        <v>6088</v>
      </c>
      <c r="E495" t="s">
        <v>6088</v>
      </c>
      <c r="G495" t="s">
        <v>56</v>
      </c>
      <c r="H495" t="s">
        <v>57</v>
      </c>
      <c r="I495" t="s">
        <v>93</v>
      </c>
      <c r="J495">
        <v>0</v>
      </c>
      <c r="K495" t="s">
        <v>140</v>
      </c>
      <c r="L495" t="s">
        <v>6089</v>
      </c>
      <c r="M495" t="s">
        <v>7165</v>
      </c>
      <c r="N495" t="str">
        <f t="shared" ref="N495:N497" si="6">M495</f>
        <v>Meat</v>
      </c>
      <c r="O495" s="1" t="s">
        <v>268</v>
      </c>
      <c r="P495" t="s">
        <v>269</v>
      </c>
      <c r="Q495" s="1" t="s">
        <v>144</v>
      </c>
      <c r="R495" s="1" t="s">
        <v>270</v>
      </c>
      <c r="S495" s="1" t="s">
        <v>271</v>
      </c>
      <c r="T495" s="1">
        <v>677</v>
      </c>
      <c r="U495" s="1">
        <v>30630</v>
      </c>
      <c r="V495" s="1" t="s">
        <v>6090</v>
      </c>
      <c r="W495" s="1">
        <v>11121965</v>
      </c>
      <c r="X495" t="s">
        <v>6091</v>
      </c>
      <c r="Y495" t="s">
        <v>6092</v>
      </c>
      <c r="AA495" t="s">
        <v>68</v>
      </c>
      <c r="AB495" t="s">
        <v>6093</v>
      </c>
      <c r="AC495" t="s">
        <v>6094</v>
      </c>
      <c r="AD495" t="s">
        <v>6095</v>
      </c>
      <c r="AE495" t="s">
        <v>4011</v>
      </c>
      <c r="AF495" t="s">
        <v>73</v>
      </c>
      <c r="AG495" t="s">
        <v>6096</v>
      </c>
      <c r="AH495" t="s">
        <v>279</v>
      </c>
      <c r="AI495" t="s">
        <v>76</v>
      </c>
      <c r="AJ495" t="s">
        <v>77</v>
      </c>
      <c r="AK495" t="s">
        <v>280</v>
      </c>
      <c r="AL495" t="s">
        <v>156</v>
      </c>
      <c r="AM495" t="s">
        <v>281</v>
      </c>
      <c r="AN495" t="s">
        <v>81</v>
      </c>
      <c r="AO495" t="s">
        <v>82</v>
      </c>
      <c r="AP495" t="s">
        <v>83</v>
      </c>
      <c r="AQ495">
        <v>2018</v>
      </c>
      <c r="AR495">
        <v>130181</v>
      </c>
      <c r="AS495">
        <v>5279840</v>
      </c>
      <c r="AT495">
        <v>196</v>
      </c>
      <c r="AU495" t="s">
        <v>84</v>
      </c>
      <c r="AV495">
        <v>562</v>
      </c>
      <c r="AW495" t="s">
        <v>85</v>
      </c>
      <c r="AX495" t="s">
        <v>86</v>
      </c>
      <c r="AY495">
        <v>562</v>
      </c>
      <c r="AZ495" t="s">
        <v>6097</v>
      </c>
      <c r="BA495" t="s">
        <v>88</v>
      </c>
      <c r="BC495" t="s">
        <v>283</v>
      </c>
      <c r="BD495">
        <v>3</v>
      </c>
    </row>
    <row r="496" spans="1:57" hidden="1" x14ac:dyDescent="0.2">
      <c r="A496" t="s">
        <v>6098</v>
      </c>
      <c r="B496" t="s">
        <v>6099</v>
      </c>
      <c r="C496" t="s">
        <v>6087</v>
      </c>
      <c r="D496" t="s">
        <v>6100</v>
      </c>
      <c r="E496" t="s">
        <v>6100</v>
      </c>
      <c r="G496" t="s">
        <v>56</v>
      </c>
      <c r="H496" t="s">
        <v>57</v>
      </c>
      <c r="I496" t="s">
        <v>93</v>
      </c>
      <c r="J496">
        <v>0</v>
      </c>
      <c r="K496" t="s">
        <v>6089</v>
      </c>
      <c r="L496" t="s">
        <v>6089</v>
      </c>
      <c r="M496" t="s">
        <v>7165</v>
      </c>
      <c r="N496" t="str">
        <f t="shared" si="6"/>
        <v>Meat</v>
      </c>
      <c r="O496" s="1" t="s">
        <v>268</v>
      </c>
      <c r="P496" t="s">
        <v>354</v>
      </c>
      <c r="Q496" s="1" t="s">
        <v>144</v>
      </c>
      <c r="R496" s="1" t="s">
        <v>270</v>
      </c>
      <c r="S496" s="1" t="s">
        <v>271</v>
      </c>
      <c r="T496" s="1">
        <v>677</v>
      </c>
      <c r="U496" s="1">
        <v>30630</v>
      </c>
      <c r="V496" s="1" t="s">
        <v>6101</v>
      </c>
      <c r="W496" s="1">
        <v>11121965</v>
      </c>
      <c r="X496" t="s">
        <v>6102</v>
      </c>
      <c r="Y496" t="s">
        <v>6103</v>
      </c>
      <c r="AA496" t="s">
        <v>68</v>
      </c>
      <c r="AB496" t="s">
        <v>6104</v>
      </c>
      <c r="AC496" t="s">
        <v>6105</v>
      </c>
      <c r="AD496" t="s">
        <v>6106</v>
      </c>
      <c r="AE496" t="s">
        <v>4300</v>
      </c>
      <c r="AF496" t="s">
        <v>73</v>
      </c>
      <c r="AG496" t="s">
        <v>6107</v>
      </c>
      <c r="AH496" t="s">
        <v>6108</v>
      </c>
      <c r="AI496" t="s">
        <v>76</v>
      </c>
      <c r="AJ496" t="s">
        <v>77</v>
      </c>
      <c r="AK496" t="s">
        <v>6109</v>
      </c>
      <c r="AL496" t="s">
        <v>156</v>
      </c>
      <c r="AM496" t="s">
        <v>6110</v>
      </c>
      <c r="AN496" t="s">
        <v>81</v>
      </c>
      <c r="AO496" t="s">
        <v>82</v>
      </c>
      <c r="AP496" t="s">
        <v>83</v>
      </c>
      <c r="AQ496">
        <v>2018</v>
      </c>
      <c r="AR496">
        <v>67668</v>
      </c>
      <c r="AS496">
        <v>5282118</v>
      </c>
      <c r="AT496">
        <v>247</v>
      </c>
      <c r="AU496" t="s">
        <v>84</v>
      </c>
      <c r="AV496">
        <v>562</v>
      </c>
      <c r="AW496" t="s">
        <v>85</v>
      </c>
      <c r="AX496" t="s">
        <v>86</v>
      </c>
      <c r="AY496">
        <v>562</v>
      </c>
      <c r="AZ496" t="s">
        <v>6111</v>
      </c>
      <c r="BA496" t="s">
        <v>88</v>
      </c>
      <c r="BC496" t="s">
        <v>283</v>
      </c>
      <c r="BD496">
        <v>3</v>
      </c>
    </row>
    <row r="497" spans="1:56" hidden="1" x14ac:dyDescent="0.2">
      <c r="A497" t="s">
        <v>6112</v>
      </c>
      <c r="B497" t="s">
        <v>6113</v>
      </c>
      <c r="C497" t="s">
        <v>6087</v>
      </c>
      <c r="D497" t="s">
        <v>6114</v>
      </c>
      <c r="E497" t="s">
        <v>6114</v>
      </c>
      <c r="G497" t="s">
        <v>56</v>
      </c>
      <c r="H497" t="s">
        <v>57</v>
      </c>
      <c r="I497" t="s">
        <v>93</v>
      </c>
      <c r="J497">
        <v>0</v>
      </c>
      <c r="K497" t="s">
        <v>6089</v>
      </c>
      <c r="L497" t="s">
        <v>6089</v>
      </c>
      <c r="M497" t="s">
        <v>7165</v>
      </c>
      <c r="N497" t="str">
        <f t="shared" si="6"/>
        <v>Meat</v>
      </c>
      <c r="O497" s="1" t="s">
        <v>268</v>
      </c>
      <c r="P497" t="s">
        <v>354</v>
      </c>
      <c r="Q497" s="1" t="s">
        <v>144</v>
      </c>
      <c r="R497" s="1" t="s">
        <v>270</v>
      </c>
      <c r="S497" s="1" t="s">
        <v>271</v>
      </c>
      <c r="T497" s="1">
        <v>677</v>
      </c>
      <c r="U497" s="1">
        <v>30630</v>
      </c>
      <c r="V497" s="1" t="s">
        <v>6101</v>
      </c>
      <c r="W497" s="1">
        <v>11121965</v>
      </c>
      <c r="X497" t="s">
        <v>6115</v>
      </c>
      <c r="Y497" t="s">
        <v>6116</v>
      </c>
      <c r="AA497" t="s">
        <v>68</v>
      </c>
      <c r="AB497" t="s">
        <v>6117</v>
      </c>
      <c r="AC497" t="s">
        <v>6118</v>
      </c>
      <c r="AD497" t="s">
        <v>6119</v>
      </c>
      <c r="AE497" t="s">
        <v>344</v>
      </c>
      <c r="AF497" t="s">
        <v>73</v>
      </c>
      <c r="AG497" t="s">
        <v>6120</v>
      </c>
      <c r="AH497" t="s">
        <v>279</v>
      </c>
      <c r="AI497" t="s">
        <v>76</v>
      </c>
      <c r="AJ497" t="s">
        <v>77</v>
      </c>
      <c r="AK497" t="s">
        <v>6121</v>
      </c>
      <c r="AL497" t="s">
        <v>156</v>
      </c>
      <c r="AM497" t="s">
        <v>281</v>
      </c>
      <c r="AN497" t="s">
        <v>81</v>
      </c>
      <c r="AO497" t="s">
        <v>82</v>
      </c>
      <c r="AP497" t="s">
        <v>83</v>
      </c>
      <c r="AQ497">
        <v>2018</v>
      </c>
      <c r="AR497">
        <v>45455</v>
      </c>
      <c r="AS497">
        <v>5259112</v>
      </c>
      <c r="AT497">
        <v>322</v>
      </c>
      <c r="AU497" t="s">
        <v>84</v>
      </c>
      <c r="AV497">
        <v>562</v>
      </c>
      <c r="AW497" t="s">
        <v>85</v>
      </c>
      <c r="AX497" t="s">
        <v>86</v>
      </c>
      <c r="AY497">
        <v>562</v>
      </c>
      <c r="AZ497" t="s">
        <v>6122</v>
      </c>
      <c r="BA497" t="s">
        <v>88</v>
      </c>
      <c r="BC497" t="s">
        <v>283</v>
      </c>
      <c r="BD497">
        <v>5</v>
      </c>
    </row>
    <row r="498" spans="1:56" hidden="1" x14ac:dyDescent="0.2">
      <c r="A498" t="s">
        <v>6123</v>
      </c>
      <c r="B498" t="s">
        <v>6124</v>
      </c>
      <c r="C498" t="s">
        <v>6125</v>
      </c>
      <c r="D498" t="s">
        <v>6126</v>
      </c>
      <c r="E498" t="s">
        <v>6126</v>
      </c>
      <c r="G498" t="s">
        <v>56</v>
      </c>
      <c r="H498" t="s">
        <v>57</v>
      </c>
      <c r="I498" t="s">
        <v>93</v>
      </c>
      <c r="J498">
        <v>0</v>
      </c>
      <c r="K498" t="s">
        <v>406</v>
      </c>
      <c r="L498" t="s">
        <v>6127</v>
      </c>
      <c r="M498" t="s">
        <v>7165</v>
      </c>
      <c r="N498" t="s">
        <v>7172</v>
      </c>
      <c r="O498" s="1" t="s">
        <v>6128</v>
      </c>
      <c r="P498" t="s">
        <v>6129</v>
      </c>
      <c r="Q498" s="1" t="s">
        <v>166</v>
      </c>
      <c r="R498" s="1" t="s">
        <v>167</v>
      </c>
      <c r="S498" s="1" t="s">
        <v>168</v>
      </c>
      <c r="T498" s="1">
        <v>336</v>
      </c>
      <c r="U498" s="1">
        <v>168720</v>
      </c>
      <c r="V498" s="1" t="s">
        <v>169</v>
      </c>
      <c r="W498" s="1">
        <v>11176125</v>
      </c>
      <c r="X498" t="s">
        <v>6130</v>
      </c>
      <c r="Y498" t="s">
        <v>6131</v>
      </c>
      <c r="AA498" t="s">
        <v>68</v>
      </c>
      <c r="AB498" t="s">
        <v>6132</v>
      </c>
      <c r="AC498" t="s">
        <v>6133</v>
      </c>
      <c r="AD498" t="s">
        <v>6134</v>
      </c>
      <c r="AE498" t="s">
        <v>344</v>
      </c>
      <c r="AF498" t="s">
        <v>73</v>
      </c>
      <c r="AG498" t="s">
        <v>6135</v>
      </c>
      <c r="AH498" t="s">
        <v>75</v>
      </c>
      <c r="AI498" t="s">
        <v>76</v>
      </c>
      <c r="AJ498" t="s">
        <v>77</v>
      </c>
      <c r="AK498" t="s">
        <v>6136</v>
      </c>
      <c r="AL498" t="s">
        <v>107</v>
      </c>
      <c r="AM498" t="s">
        <v>80</v>
      </c>
      <c r="AN498" t="s">
        <v>81</v>
      </c>
      <c r="AO498" t="s">
        <v>82</v>
      </c>
      <c r="AP498" t="s">
        <v>83</v>
      </c>
      <c r="AQ498">
        <v>2018</v>
      </c>
      <c r="AR498">
        <v>70490</v>
      </c>
      <c r="AS498">
        <v>5103209</v>
      </c>
      <c r="AT498">
        <v>324</v>
      </c>
      <c r="AU498" t="s">
        <v>84</v>
      </c>
      <c r="AV498">
        <v>562</v>
      </c>
      <c r="AW498" t="s">
        <v>85</v>
      </c>
      <c r="AX498" t="s">
        <v>86</v>
      </c>
      <c r="AY498">
        <v>562</v>
      </c>
      <c r="AZ498" t="s">
        <v>6137</v>
      </c>
      <c r="BA498" t="s">
        <v>88</v>
      </c>
    </row>
    <row r="499" spans="1:56" hidden="1" x14ac:dyDescent="0.2">
      <c r="A499" t="s">
        <v>6138</v>
      </c>
      <c r="B499" t="s">
        <v>6139</v>
      </c>
      <c r="C499" t="s">
        <v>6140</v>
      </c>
      <c r="D499" t="s">
        <v>6141</v>
      </c>
      <c r="E499" t="s">
        <v>6141</v>
      </c>
      <c r="G499" t="s">
        <v>56</v>
      </c>
      <c r="H499" t="s">
        <v>57</v>
      </c>
      <c r="I499" t="s">
        <v>93</v>
      </c>
      <c r="J499">
        <v>0</v>
      </c>
      <c r="K499" t="s">
        <v>447</v>
      </c>
      <c r="L499" t="s">
        <v>6142</v>
      </c>
      <c r="M499" t="s">
        <v>7165</v>
      </c>
      <c r="N499" t="s">
        <v>7172</v>
      </c>
      <c r="O499" s="1" t="s">
        <v>183</v>
      </c>
      <c r="P499" t="s">
        <v>184</v>
      </c>
      <c r="Q499" s="1" t="s">
        <v>3090</v>
      </c>
      <c r="R499" s="1" t="s">
        <v>434</v>
      </c>
      <c r="S499" s="1" t="s">
        <v>588</v>
      </c>
      <c r="T499" s="1">
        <v>33</v>
      </c>
      <c r="U499" s="1">
        <v>1587</v>
      </c>
      <c r="V499" s="1" t="s">
        <v>169</v>
      </c>
      <c r="W499" s="1">
        <v>11238666</v>
      </c>
      <c r="X499" t="s">
        <v>6143</v>
      </c>
      <c r="Y499" t="s">
        <v>6144</v>
      </c>
      <c r="AA499" t="s">
        <v>68</v>
      </c>
      <c r="AB499" t="s">
        <v>6145</v>
      </c>
      <c r="AC499" t="s">
        <v>6146</v>
      </c>
      <c r="AD499" t="s">
        <v>6147</v>
      </c>
      <c r="AE499" t="s">
        <v>192</v>
      </c>
      <c r="AF499" t="s">
        <v>73</v>
      </c>
      <c r="AG499" t="s">
        <v>6148</v>
      </c>
      <c r="AH499" t="s">
        <v>75</v>
      </c>
      <c r="AI499" t="s">
        <v>76</v>
      </c>
      <c r="AJ499" t="s">
        <v>77</v>
      </c>
      <c r="AK499" t="s">
        <v>6149</v>
      </c>
      <c r="AL499" t="s">
        <v>156</v>
      </c>
      <c r="AM499" t="s">
        <v>80</v>
      </c>
      <c r="AN499" t="s">
        <v>81</v>
      </c>
      <c r="AO499" t="s">
        <v>82</v>
      </c>
      <c r="AP499" t="s">
        <v>83</v>
      </c>
      <c r="AQ499">
        <v>2018</v>
      </c>
      <c r="AR499">
        <v>93588</v>
      </c>
      <c r="AS499">
        <v>5450628</v>
      </c>
      <c r="AT499">
        <v>252</v>
      </c>
      <c r="AU499" t="s">
        <v>84</v>
      </c>
      <c r="AV499">
        <v>562</v>
      </c>
      <c r="AW499" t="s">
        <v>85</v>
      </c>
      <c r="AX499" t="s">
        <v>86</v>
      </c>
      <c r="AY499">
        <v>562</v>
      </c>
      <c r="AZ499" t="s">
        <v>6150</v>
      </c>
      <c r="BA499" t="s">
        <v>88</v>
      </c>
    </row>
    <row r="500" spans="1:56" hidden="1" x14ac:dyDescent="0.2">
      <c r="A500" t="s">
        <v>6151</v>
      </c>
      <c r="B500" t="s">
        <v>6152</v>
      </c>
      <c r="C500" t="s">
        <v>6140</v>
      </c>
      <c r="D500" t="s">
        <v>6153</v>
      </c>
      <c r="E500" t="s">
        <v>6153</v>
      </c>
      <c r="G500" t="s">
        <v>56</v>
      </c>
      <c r="H500" t="s">
        <v>57</v>
      </c>
      <c r="I500" t="s">
        <v>93</v>
      </c>
      <c r="J500">
        <v>0</v>
      </c>
      <c r="K500" t="s">
        <v>406</v>
      </c>
      <c r="L500" t="s">
        <v>6142</v>
      </c>
      <c r="M500" t="s">
        <v>7165</v>
      </c>
      <c r="N500" t="s">
        <v>7172</v>
      </c>
      <c r="O500" s="1" t="s">
        <v>448</v>
      </c>
      <c r="P500" t="s">
        <v>3244</v>
      </c>
      <c r="Q500" s="1" t="s">
        <v>126</v>
      </c>
      <c r="R500" s="1" t="s">
        <v>434</v>
      </c>
      <c r="S500" s="1" t="s">
        <v>451</v>
      </c>
      <c r="T500" s="1">
        <v>12438</v>
      </c>
      <c r="U500" s="1">
        <v>30074</v>
      </c>
      <c r="V500" s="1" t="s">
        <v>3196</v>
      </c>
      <c r="W500" s="1">
        <v>11238666</v>
      </c>
      <c r="X500" t="s">
        <v>6154</v>
      </c>
      <c r="Y500" t="s">
        <v>6155</v>
      </c>
      <c r="AA500" t="s">
        <v>68</v>
      </c>
      <c r="AB500" t="s">
        <v>6156</v>
      </c>
      <c r="AC500" t="s">
        <v>6157</v>
      </c>
      <c r="AD500" t="s">
        <v>6158</v>
      </c>
      <c r="AE500" t="s">
        <v>192</v>
      </c>
      <c r="AF500" t="s">
        <v>73</v>
      </c>
      <c r="AG500" t="s">
        <v>6159</v>
      </c>
      <c r="AH500" t="s">
        <v>6160</v>
      </c>
      <c r="AI500" t="s">
        <v>76</v>
      </c>
      <c r="AJ500" t="s">
        <v>77</v>
      </c>
      <c r="AK500" t="s">
        <v>6161</v>
      </c>
      <c r="AL500" t="s">
        <v>156</v>
      </c>
      <c r="AM500" t="s">
        <v>6162</v>
      </c>
      <c r="AN500" t="s">
        <v>81</v>
      </c>
      <c r="AO500" t="s">
        <v>82</v>
      </c>
      <c r="AP500" t="s">
        <v>83</v>
      </c>
      <c r="AQ500">
        <v>2018</v>
      </c>
      <c r="AR500">
        <v>76404</v>
      </c>
      <c r="AS500">
        <v>5542644</v>
      </c>
      <c r="AT500">
        <v>260</v>
      </c>
      <c r="AU500" t="s">
        <v>84</v>
      </c>
      <c r="AV500">
        <v>562</v>
      </c>
      <c r="AW500" t="s">
        <v>85</v>
      </c>
      <c r="AX500" t="s">
        <v>86</v>
      </c>
      <c r="AY500">
        <v>562</v>
      </c>
      <c r="AZ500" t="s">
        <v>6163</v>
      </c>
      <c r="BA500" t="s">
        <v>88</v>
      </c>
    </row>
    <row r="501" spans="1:56" hidden="1" x14ac:dyDescent="0.2">
      <c r="A501" t="s">
        <v>6164</v>
      </c>
      <c r="B501" t="s">
        <v>6165</v>
      </c>
      <c r="C501" t="s">
        <v>6166</v>
      </c>
      <c r="D501" t="s">
        <v>6167</v>
      </c>
      <c r="E501" t="s">
        <v>6167</v>
      </c>
      <c r="G501" t="s">
        <v>56</v>
      </c>
      <c r="H501" t="s">
        <v>57</v>
      </c>
      <c r="I501" t="s">
        <v>93</v>
      </c>
      <c r="J501">
        <v>0</v>
      </c>
      <c r="K501" t="s">
        <v>140</v>
      </c>
      <c r="L501" t="s">
        <v>6168</v>
      </c>
      <c r="M501" t="s">
        <v>7165</v>
      </c>
      <c r="N501" t="str">
        <f>M501</f>
        <v>Meat</v>
      </c>
      <c r="O501" s="1" t="s">
        <v>268</v>
      </c>
      <c r="P501" t="s">
        <v>269</v>
      </c>
      <c r="Q501" s="1" t="s">
        <v>144</v>
      </c>
      <c r="R501" s="1" t="s">
        <v>270</v>
      </c>
      <c r="S501" s="1" t="s">
        <v>271</v>
      </c>
      <c r="T501" s="1">
        <v>677</v>
      </c>
      <c r="U501" s="1">
        <v>30630</v>
      </c>
      <c r="V501" s="1" t="s">
        <v>6169</v>
      </c>
      <c r="W501" s="1">
        <v>11233100</v>
      </c>
      <c r="X501" t="s">
        <v>6170</v>
      </c>
      <c r="Y501" t="s">
        <v>6171</v>
      </c>
      <c r="AA501" t="s">
        <v>68</v>
      </c>
      <c r="AB501" t="s">
        <v>6172</v>
      </c>
      <c r="AC501" t="s">
        <v>6173</v>
      </c>
      <c r="AD501" t="s">
        <v>6174</v>
      </c>
      <c r="AE501" t="s">
        <v>3218</v>
      </c>
      <c r="AF501" t="s">
        <v>73</v>
      </c>
      <c r="AG501" t="s">
        <v>6175</v>
      </c>
      <c r="AH501" t="s">
        <v>6176</v>
      </c>
      <c r="AI501" t="s">
        <v>76</v>
      </c>
      <c r="AJ501" t="s">
        <v>77</v>
      </c>
      <c r="AK501" t="s">
        <v>6177</v>
      </c>
      <c r="AL501" t="s">
        <v>156</v>
      </c>
      <c r="AM501" t="s">
        <v>6178</v>
      </c>
      <c r="AN501" t="s">
        <v>158</v>
      </c>
      <c r="AO501" t="s">
        <v>159</v>
      </c>
      <c r="AP501" t="s">
        <v>83</v>
      </c>
      <c r="AR501">
        <v>94630</v>
      </c>
      <c r="AS501">
        <v>5211185</v>
      </c>
      <c r="AT501">
        <v>209</v>
      </c>
      <c r="AU501" t="s">
        <v>84</v>
      </c>
      <c r="AV501">
        <v>562</v>
      </c>
      <c r="AW501" t="s">
        <v>85</v>
      </c>
      <c r="AX501" t="s">
        <v>86</v>
      </c>
      <c r="AY501">
        <v>562</v>
      </c>
      <c r="AZ501" t="s">
        <v>6179</v>
      </c>
      <c r="BA501" t="s">
        <v>88</v>
      </c>
    </row>
    <row r="502" spans="1:56" hidden="1" x14ac:dyDescent="0.2">
      <c r="A502" t="s">
        <v>6180</v>
      </c>
      <c r="B502" t="s">
        <v>6181</v>
      </c>
      <c r="C502" t="s">
        <v>6182</v>
      </c>
      <c r="D502" t="s">
        <v>6183</v>
      </c>
      <c r="E502" t="s">
        <v>6183</v>
      </c>
      <c r="G502" t="s">
        <v>56</v>
      </c>
      <c r="H502" t="s">
        <v>57</v>
      </c>
      <c r="I502" t="s">
        <v>93</v>
      </c>
      <c r="J502">
        <v>0</v>
      </c>
      <c r="K502" t="s">
        <v>447</v>
      </c>
      <c r="L502" t="s">
        <v>6184</v>
      </c>
      <c r="M502" t="s">
        <v>7165</v>
      </c>
      <c r="N502" t="s">
        <v>7172</v>
      </c>
      <c r="O502" s="1" t="s">
        <v>6185</v>
      </c>
      <c r="P502" t="s">
        <v>6186</v>
      </c>
      <c r="Q502" s="1" t="s">
        <v>144</v>
      </c>
      <c r="R502" s="1" t="s">
        <v>4318</v>
      </c>
      <c r="S502" s="1" t="s">
        <v>6187</v>
      </c>
      <c r="T502" s="1">
        <v>23</v>
      </c>
      <c r="U502" s="1">
        <v>168638</v>
      </c>
      <c r="V502" s="1" t="s">
        <v>3181</v>
      </c>
      <c r="W502" s="1">
        <v>11398937</v>
      </c>
      <c r="X502" t="s">
        <v>6188</v>
      </c>
      <c r="Y502" t="s">
        <v>6189</v>
      </c>
      <c r="AA502" t="s">
        <v>68</v>
      </c>
      <c r="AB502" t="s">
        <v>6190</v>
      </c>
      <c r="AC502" t="s">
        <v>6191</v>
      </c>
      <c r="AD502" t="s">
        <v>6192</v>
      </c>
      <c r="AE502" t="s">
        <v>6193</v>
      </c>
      <c r="AF502" t="s">
        <v>73</v>
      </c>
      <c r="AG502" t="s">
        <v>6194</v>
      </c>
      <c r="AH502" t="s">
        <v>75</v>
      </c>
      <c r="AI502" t="s">
        <v>76</v>
      </c>
      <c r="AJ502" t="s">
        <v>77</v>
      </c>
      <c r="AK502" t="s">
        <v>6195</v>
      </c>
      <c r="AL502" t="s">
        <v>6196</v>
      </c>
      <c r="AM502" t="s">
        <v>80</v>
      </c>
      <c r="AN502" t="s">
        <v>81</v>
      </c>
      <c r="AO502" t="s">
        <v>82</v>
      </c>
      <c r="AP502" t="s">
        <v>83</v>
      </c>
      <c r="AQ502">
        <v>2018</v>
      </c>
      <c r="AR502">
        <v>100415</v>
      </c>
      <c r="AS502">
        <v>4854273</v>
      </c>
      <c r="AT502">
        <v>113</v>
      </c>
      <c r="AU502" t="s">
        <v>84</v>
      </c>
      <c r="AV502">
        <v>562</v>
      </c>
      <c r="AW502" t="s">
        <v>85</v>
      </c>
      <c r="AX502" t="s">
        <v>86</v>
      </c>
      <c r="AY502">
        <v>562</v>
      </c>
      <c r="AZ502" t="s">
        <v>6197</v>
      </c>
      <c r="BA502" t="s">
        <v>88</v>
      </c>
    </row>
    <row r="503" spans="1:56" hidden="1" x14ac:dyDescent="0.2">
      <c r="A503" t="s">
        <v>6198</v>
      </c>
      <c r="B503" t="s">
        <v>6199</v>
      </c>
      <c r="C503" t="s">
        <v>6200</v>
      </c>
      <c r="D503" t="s">
        <v>6201</v>
      </c>
      <c r="E503" t="s">
        <v>6201</v>
      </c>
      <c r="G503" t="s">
        <v>56</v>
      </c>
      <c r="H503" t="s">
        <v>3391</v>
      </c>
      <c r="I503" t="s">
        <v>58</v>
      </c>
      <c r="J503" t="s">
        <v>3228</v>
      </c>
      <c r="K503" t="s">
        <v>447</v>
      </c>
      <c r="L503" t="s">
        <v>6202</v>
      </c>
      <c r="M503" t="s">
        <v>7165</v>
      </c>
      <c r="N503" t="s">
        <v>7172</v>
      </c>
      <c r="O503" s="1" t="s">
        <v>3392</v>
      </c>
      <c r="P503" t="s">
        <v>3392</v>
      </c>
      <c r="Q503" s="1" t="s">
        <v>3090</v>
      </c>
      <c r="R503" s="1" t="s">
        <v>434</v>
      </c>
      <c r="S503" s="1" t="s">
        <v>3799</v>
      </c>
      <c r="T503" s="1">
        <v>57</v>
      </c>
      <c r="U503" s="1">
        <v>33331</v>
      </c>
      <c r="V503" s="1" t="s">
        <v>3394</v>
      </c>
      <c r="W503" s="1">
        <v>0</v>
      </c>
      <c r="X503" t="s">
        <v>6203</v>
      </c>
      <c r="Y503" t="s">
        <v>6204</v>
      </c>
      <c r="AA503" t="s">
        <v>68</v>
      </c>
      <c r="AB503" t="s">
        <v>6205</v>
      </c>
      <c r="AC503" t="s">
        <v>6206</v>
      </c>
      <c r="AD503" t="s">
        <v>6207</v>
      </c>
      <c r="AE503" t="s">
        <v>6208</v>
      </c>
      <c r="AF503" t="s">
        <v>73</v>
      </c>
      <c r="AG503" t="s">
        <v>6209</v>
      </c>
      <c r="AH503" t="s">
        <v>3402</v>
      </c>
      <c r="AI503" t="s">
        <v>76</v>
      </c>
      <c r="AJ503" t="s">
        <v>77</v>
      </c>
      <c r="AK503" t="s">
        <v>6210</v>
      </c>
      <c r="AL503" t="s">
        <v>364</v>
      </c>
      <c r="AM503" t="s">
        <v>3404</v>
      </c>
      <c r="AN503" t="s">
        <v>81</v>
      </c>
      <c r="AO503" t="s">
        <v>82</v>
      </c>
      <c r="AP503" t="s">
        <v>83</v>
      </c>
      <c r="AQ503">
        <v>2018</v>
      </c>
      <c r="AR503">
        <v>73341</v>
      </c>
      <c r="AS503">
        <v>5456959</v>
      </c>
      <c r="AT503">
        <v>384</v>
      </c>
      <c r="AU503" t="s">
        <v>84</v>
      </c>
      <c r="AV503">
        <v>562</v>
      </c>
      <c r="AW503" t="s">
        <v>85</v>
      </c>
      <c r="AX503" t="s">
        <v>86</v>
      </c>
      <c r="AY503">
        <v>562</v>
      </c>
      <c r="AZ503" t="s">
        <v>6211</v>
      </c>
      <c r="BA503" t="s">
        <v>88</v>
      </c>
    </row>
    <row r="504" spans="1:56" hidden="1" x14ac:dyDescent="0.2">
      <c r="A504" t="s">
        <v>6212</v>
      </c>
      <c r="B504" t="s">
        <v>6213</v>
      </c>
      <c r="C504" t="s">
        <v>6214</v>
      </c>
      <c r="D504" t="s">
        <v>6215</v>
      </c>
      <c r="E504" t="s">
        <v>6215</v>
      </c>
      <c r="G504" t="s">
        <v>56</v>
      </c>
      <c r="H504" t="s">
        <v>57</v>
      </c>
      <c r="I504" t="s">
        <v>93</v>
      </c>
      <c r="J504">
        <v>0</v>
      </c>
      <c r="K504" t="s">
        <v>406</v>
      </c>
      <c r="L504" t="s">
        <v>6216</v>
      </c>
      <c r="M504" t="s">
        <v>7165</v>
      </c>
      <c r="N504" t="s">
        <v>7172</v>
      </c>
      <c r="O504" s="1" t="s">
        <v>448</v>
      </c>
      <c r="P504" t="s">
        <v>3166</v>
      </c>
      <c r="Q504" s="1" t="s">
        <v>3090</v>
      </c>
      <c r="R504" s="1" t="s">
        <v>434</v>
      </c>
      <c r="S504" s="1" t="s">
        <v>6217</v>
      </c>
      <c r="T504" s="1">
        <v>25</v>
      </c>
      <c r="U504" s="1">
        <v>38638</v>
      </c>
      <c r="V504" s="1" t="s">
        <v>3196</v>
      </c>
      <c r="W504" s="1">
        <v>11398995</v>
      </c>
      <c r="X504" t="s">
        <v>6218</v>
      </c>
      <c r="Y504" t="s">
        <v>6219</v>
      </c>
      <c r="AA504" t="s">
        <v>68</v>
      </c>
      <c r="AB504" t="s">
        <v>6220</v>
      </c>
      <c r="AC504" t="s">
        <v>6221</v>
      </c>
      <c r="AD504" t="s">
        <v>6222</v>
      </c>
      <c r="AE504" t="s">
        <v>6193</v>
      </c>
      <c r="AF504" t="s">
        <v>73</v>
      </c>
      <c r="AG504" t="s">
        <v>6223</v>
      </c>
      <c r="AH504" t="s">
        <v>75</v>
      </c>
      <c r="AI504" t="s">
        <v>76</v>
      </c>
      <c r="AJ504" t="s">
        <v>77</v>
      </c>
      <c r="AK504" t="s">
        <v>6224</v>
      </c>
      <c r="AL504" t="s">
        <v>546</v>
      </c>
      <c r="AM504" t="s">
        <v>80</v>
      </c>
      <c r="AN504" t="s">
        <v>81</v>
      </c>
      <c r="AO504" t="s">
        <v>82</v>
      </c>
      <c r="AP504" t="s">
        <v>83</v>
      </c>
      <c r="AQ504">
        <v>2018</v>
      </c>
      <c r="AR504">
        <v>55244</v>
      </c>
      <c r="AS504">
        <v>5477826</v>
      </c>
      <c r="AT504">
        <v>337</v>
      </c>
      <c r="AU504" t="s">
        <v>84</v>
      </c>
      <c r="AV504">
        <v>562</v>
      </c>
      <c r="AW504" t="s">
        <v>85</v>
      </c>
      <c r="AX504" t="s">
        <v>86</v>
      </c>
      <c r="AY504">
        <v>562</v>
      </c>
      <c r="AZ504" t="s">
        <v>6225</v>
      </c>
      <c r="BA504" t="s">
        <v>88</v>
      </c>
    </row>
    <row r="505" spans="1:56" hidden="1" x14ac:dyDescent="0.2">
      <c r="A505" t="s">
        <v>6226</v>
      </c>
      <c r="B505" t="s">
        <v>6227</v>
      </c>
      <c r="C505" t="s">
        <v>6228</v>
      </c>
      <c r="D505" t="s">
        <v>6229</v>
      </c>
      <c r="E505" t="s">
        <v>6229</v>
      </c>
      <c r="G505" t="s">
        <v>56</v>
      </c>
      <c r="H505" t="s">
        <v>3391</v>
      </c>
      <c r="I505" t="s">
        <v>58</v>
      </c>
      <c r="J505" t="s">
        <v>3228</v>
      </c>
      <c r="K505" t="s">
        <v>406</v>
      </c>
      <c r="L505" t="s">
        <v>6230</v>
      </c>
      <c r="M505" t="s">
        <v>7165</v>
      </c>
      <c r="N505" t="s">
        <v>7172</v>
      </c>
      <c r="O505" s="1" t="s">
        <v>3392</v>
      </c>
      <c r="P505" t="s">
        <v>6231</v>
      </c>
      <c r="Q505" s="1" t="s">
        <v>3090</v>
      </c>
      <c r="R505" s="1" t="s">
        <v>434</v>
      </c>
      <c r="S505" s="1" t="s">
        <v>3799</v>
      </c>
      <c r="T505" s="1">
        <v>57</v>
      </c>
      <c r="U505" s="1">
        <v>33331</v>
      </c>
      <c r="V505" s="1" t="s">
        <v>3394</v>
      </c>
      <c r="W505" s="1">
        <v>11398995</v>
      </c>
      <c r="X505" t="s">
        <v>6232</v>
      </c>
      <c r="Y505" t="s">
        <v>6233</v>
      </c>
      <c r="AA505" t="s">
        <v>68</v>
      </c>
      <c r="AB505" t="s">
        <v>6234</v>
      </c>
      <c r="AC505" t="s">
        <v>6235</v>
      </c>
      <c r="AD505" t="s">
        <v>6236</v>
      </c>
      <c r="AE505" t="s">
        <v>6208</v>
      </c>
      <c r="AF505" t="s">
        <v>73</v>
      </c>
      <c r="AG505" t="s">
        <v>6237</v>
      </c>
      <c r="AH505" t="s">
        <v>3402</v>
      </c>
      <c r="AI505" t="s">
        <v>76</v>
      </c>
      <c r="AJ505" t="s">
        <v>77</v>
      </c>
      <c r="AK505" t="s">
        <v>6238</v>
      </c>
      <c r="AL505" t="s">
        <v>364</v>
      </c>
      <c r="AM505" t="s">
        <v>3404</v>
      </c>
      <c r="AN505" t="s">
        <v>81</v>
      </c>
      <c r="AO505" t="s">
        <v>82</v>
      </c>
      <c r="AP505" t="s">
        <v>83</v>
      </c>
      <c r="AQ505">
        <v>2018</v>
      </c>
      <c r="AR505">
        <v>42140</v>
      </c>
      <c r="AS505">
        <v>5532216</v>
      </c>
      <c r="AT505">
        <v>373</v>
      </c>
      <c r="AU505" t="s">
        <v>84</v>
      </c>
      <c r="AV505">
        <v>562</v>
      </c>
      <c r="AW505" t="s">
        <v>85</v>
      </c>
      <c r="AX505" t="s">
        <v>86</v>
      </c>
      <c r="AY505">
        <v>562</v>
      </c>
      <c r="AZ505" t="s">
        <v>6239</v>
      </c>
      <c r="BA505" t="s">
        <v>88</v>
      </c>
    </row>
    <row r="506" spans="1:56" hidden="1" x14ac:dyDescent="0.2">
      <c r="A506" t="s">
        <v>6240</v>
      </c>
      <c r="B506" t="s">
        <v>6241</v>
      </c>
      <c r="C506" t="s">
        <v>6242</v>
      </c>
      <c r="D506" t="s">
        <v>6243</v>
      </c>
      <c r="E506" t="s">
        <v>6243</v>
      </c>
      <c r="G506" t="s">
        <v>56</v>
      </c>
      <c r="H506" t="s">
        <v>57</v>
      </c>
      <c r="I506" t="s">
        <v>93</v>
      </c>
      <c r="J506">
        <v>0</v>
      </c>
      <c r="K506" t="s">
        <v>6244</v>
      </c>
      <c r="L506" t="s">
        <v>6245</v>
      </c>
      <c r="M506" t="s">
        <v>7165</v>
      </c>
      <c r="N506" t="str">
        <f t="shared" ref="N506:N507" si="7">M506</f>
        <v>Meat</v>
      </c>
      <c r="O506" s="1" t="s">
        <v>268</v>
      </c>
      <c r="P506" t="s">
        <v>3585</v>
      </c>
      <c r="Q506" s="1" t="s">
        <v>144</v>
      </c>
      <c r="R506" s="1" t="s">
        <v>270</v>
      </c>
      <c r="S506" s="1" t="s">
        <v>271</v>
      </c>
      <c r="T506" s="1">
        <v>677</v>
      </c>
      <c r="U506" s="1">
        <v>30630</v>
      </c>
      <c r="V506" s="1" t="s">
        <v>6246</v>
      </c>
      <c r="W506" s="1">
        <v>0</v>
      </c>
      <c r="X506" t="s">
        <v>6247</v>
      </c>
      <c r="Y506" t="s">
        <v>6248</v>
      </c>
      <c r="AA506" t="s">
        <v>68</v>
      </c>
      <c r="AB506" t="s">
        <v>6249</v>
      </c>
      <c r="AC506" t="s">
        <v>6250</v>
      </c>
      <c r="AD506" t="s">
        <v>6251</v>
      </c>
      <c r="AE506" t="s">
        <v>6193</v>
      </c>
      <c r="AF506" t="s">
        <v>73</v>
      </c>
      <c r="AG506" t="s">
        <v>6252</v>
      </c>
      <c r="AH506" t="s">
        <v>154</v>
      </c>
      <c r="AI506" t="s">
        <v>76</v>
      </c>
      <c r="AJ506" t="s">
        <v>77</v>
      </c>
      <c r="AK506" t="s">
        <v>6253</v>
      </c>
      <c r="AL506" t="s">
        <v>156</v>
      </c>
      <c r="AM506" t="s">
        <v>157</v>
      </c>
      <c r="AN506" t="s">
        <v>158</v>
      </c>
      <c r="AO506" t="s">
        <v>159</v>
      </c>
      <c r="AP506" t="s">
        <v>83</v>
      </c>
      <c r="AQ506">
        <v>2018</v>
      </c>
      <c r="AR506">
        <v>57122</v>
      </c>
      <c r="AS506">
        <v>5326115</v>
      </c>
      <c r="AT506">
        <v>203</v>
      </c>
      <c r="AU506" t="s">
        <v>84</v>
      </c>
      <c r="AV506">
        <v>562</v>
      </c>
      <c r="AW506" t="s">
        <v>85</v>
      </c>
      <c r="AX506" t="s">
        <v>86</v>
      </c>
      <c r="AY506">
        <v>562</v>
      </c>
      <c r="AZ506" t="s">
        <v>6254</v>
      </c>
      <c r="BA506" t="s">
        <v>88</v>
      </c>
    </row>
    <row r="507" spans="1:56" hidden="1" x14ac:dyDescent="0.2">
      <c r="A507" t="s">
        <v>6255</v>
      </c>
      <c r="B507" t="s">
        <v>6256</v>
      </c>
      <c r="C507" t="s">
        <v>6242</v>
      </c>
      <c r="D507" t="s">
        <v>6257</v>
      </c>
      <c r="E507" t="s">
        <v>6257</v>
      </c>
      <c r="G507" t="s">
        <v>56</v>
      </c>
      <c r="H507" t="s">
        <v>57</v>
      </c>
      <c r="I507" t="s">
        <v>93</v>
      </c>
      <c r="J507">
        <v>0</v>
      </c>
      <c r="K507" t="s">
        <v>140</v>
      </c>
      <c r="L507" t="s">
        <v>6245</v>
      </c>
      <c r="M507" t="s">
        <v>7165</v>
      </c>
      <c r="N507" t="str">
        <f t="shared" si="7"/>
        <v>Meat</v>
      </c>
      <c r="O507" s="1" t="s">
        <v>3647</v>
      </c>
      <c r="P507" t="s">
        <v>6258</v>
      </c>
      <c r="Q507" s="1" t="s">
        <v>144</v>
      </c>
      <c r="R507" s="1" t="s">
        <v>4185</v>
      </c>
      <c r="S507" s="1" t="s">
        <v>4186</v>
      </c>
      <c r="T507" s="1">
        <v>515</v>
      </c>
      <c r="U507" s="1">
        <v>15599</v>
      </c>
      <c r="V507" s="1" t="s">
        <v>3651</v>
      </c>
      <c r="W507" s="1" t="s">
        <v>6259</v>
      </c>
      <c r="X507" t="s">
        <v>6260</v>
      </c>
      <c r="Y507" t="s">
        <v>6261</v>
      </c>
      <c r="AA507" t="s">
        <v>68</v>
      </c>
      <c r="AB507" t="s">
        <v>6262</v>
      </c>
      <c r="AC507" t="s">
        <v>6263</v>
      </c>
      <c r="AD507" t="s">
        <v>6264</v>
      </c>
      <c r="AE507" t="s">
        <v>6193</v>
      </c>
      <c r="AF507" t="s">
        <v>73</v>
      </c>
      <c r="AG507" t="s">
        <v>6265</v>
      </c>
      <c r="AH507" t="s">
        <v>6266</v>
      </c>
      <c r="AI507" t="s">
        <v>76</v>
      </c>
      <c r="AJ507" t="s">
        <v>77</v>
      </c>
      <c r="AK507" t="s">
        <v>6267</v>
      </c>
      <c r="AL507" t="s">
        <v>6268</v>
      </c>
      <c r="AM507" t="s">
        <v>6269</v>
      </c>
      <c r="AN507" t="s">
        <v>532</v>
      </c>
      <c r="AO507" t="s">
        <v>533</v>
      </c>
      <c r="AP507" t="s">
        <v>83</v>
      </c>
      <c r="AQ507">
        <v>2018</v>
      </c>
      <c r="AR507">
        <v>91176</v>
      </c>
      <c r="AS507">
        <v>5020818</v>
      </c>
      <c r="AT507">
        <v>191</v>
      </c>
      <c r="AU507" t="s">
        <v>84</v>
      </c>
      <c r="AV507">
        <v>562</v>
      </c>
      <c r="AW507" t="s">
        <v>85</v>
      </c>
      <c r="AX507" t="s">
        <v>86</v>
      </c>
      <c r="AY507">
        <v>562</v>
      </c>
      <c r="AZ507" t="s">
        <v>6270</v>
      </c>
      <c r="BA507" t="s">
        <v>88</v>
      </c>
    </row>
    <row r="508" spans="1:56" hidden="1" x14ac:dyDescent="0.2">
      <c r="A508" t="s">
        <v>6271</v>
      </c>
      <c r="B508" t="s">
        <v>6272</v>
      </c>
      <c r="C508" t="s">
        <v>6273</v>
      </c>
      <c r="D508" t="s">
        <v>6274</v>
      </c>
      <c r="E508" t="s">
        <v>6274</v>
      </c>
      <c r="G508" t="s">
        <v>56</v>
      </c>
      <c r="H508" t="s">
        <v>57</v>
      </c>
      <c r="I508" t="s">
        <v>93</v>
      </c>
      <c r="J508">
        <v>0</v>
      </c>
      <c r="K508" t="s">
        <v>447</v>
      </c>
      <c r="L508" t="s">
        <v>6275</v>
      </c>
      <c r="M508" t="s">
        <v>7165</v>
      </c>
      <c r="N508" t="s">
        <v>7172</v>
      </c>
      <c r="O508" s="1" t="s">
        <v>183</v>
      </c>
      <c r="P508" t="s">
        <v>184</v>
      </c>
      <c r="Q508" s="1" t="s">
        <v>126</v>
      </c>
      <c r="R508" s="1" t="s">
        <v>185</v>
      </c>
      <c r="S508" s="1" t="s">
        <v>6276</v>
      </c>
      <c r="T508" s="1">
        <v>33</v>
      </c>
      <c r="U508" s="1">
        <v>1587</v>
      </c>
      <c r="V508" s="1" t="s">
        <v>169</v>
      </c>
      <c r="W508" s="1">
        <v>11355658</v>
      </c>
      <c r="X508" t="s">
        <v>6277</v>
      </c>
      <c r="Y508" t="s">
        <v>6278</v>
      </c>
      <c r="AA508" t="s">
        <v>68</v>
      </c>
      <c r="AB508" t="s">
        <v>6279</v>
      </c>
      <c r="AC508" t="s">
        <v>6280</v>
      </c>
      <c r="AD508" t="s">
        <v>6281</v>
      </c>
      <c r="AE508" t="s">
        <v>6193</v>
      </c>
      <c r="AF508" t="s">
        <v>73</v>
      </c>
      <c r="AG508" t="s">
        <v>6282</v>
      </c>
      <c r="AH508" t="s">
        <v>75</v>
      </c>
      <c r="AI508" t="s">
        <v>76</v>
      </c>
      <c r="AJ508" t="s">
        <v>77</v>
      </c>
      <c r="AK508" t="s">
        <v>6283</v>
      </c>
      <c r="AL508" t="s">
        <v>156</v>
      </c>
      <c r="AM508" t="s">
        <v>80</v>
      </c>
      <c r="AN508" t="s">
        <v>81</v>
      </c>
      <c r="AO508" t="s">
        <v>82</v>
      </c>
      <c r="AP508" t="s">
        <v>83</v>
      </c>
      <c r="AQ508">
        <v>2018</v>
      </c>
      <c r="AR508">
        <v>58347</v>
      </c>
      <c r="AS508">
        <v>5471147</v>
      </c>
      <c r="AT508">
        <v>383</v>
      </c>
      <c r="AU508" t="s">
        <v>84</v>
      </c>
      <c r="AV508">
        <v>562</v>
      </c>
      <c r="AW508" t="s">
        <v>85</v>
      </c>
      <c r="AX508" t="s">
        <v>86</v>
      </c>
      <c r="AY508">
        <v>562</v>
      </c>
      <c r="AZ508" t="s">
        <v>6284</v>
      </c>
      <c r="BA508" t="s">
        <v>88</v>
      </c>
      <c r="BC508" t="s">
        <v>6285</v>
      </c>
      <c r="BD508">
        <v>2</v>
      </c>
    </row>
    <row r="509" spans="1:56" hidden="1" x14ac:dyDescent="0.2">
      <c r="A509" t="s">
        <v>6286</v>
      </c>
      <c r="B509" t="s">
        <v>6287</v>
      </c>
      <c r="C509" t="s">
        <v>6273</v>
      </c>
      <c r="D509" t="s">
        <v>6288</v>
      </c>
      <c r="E509" t="s">
        <v>6288</v>
      </c>
      <c r="G509" t="s">
        <v>56</v>
      </c>
      <c r="H509" t="s">
        <v>57</v>
      </c>
      <c r="I509" t="s">
        <v>93</v>
      </c>
      <c r="J509">
        <v>0</v>
      </c>
      <c r="K509" t="s">
        <v>6289</v>
      </c>
      <c r="L509" t="s">
        <v>6275</v>
      </c>
      <c r="M509" t="s">
        <v>7165</v>
      </c>
      <c r="N509" t="s">
        <v>7172</v>
      </c>
      <c r="O509" s="1" t="s">
        <v>183</v>
      </c>
      <c r="P509" t="s">
        <v>6290</v>
      </c>
      <c r="Q509" s="1" t="s">
        <v>126</v>
      </c>
      <c r="R509" s="1" t="s">
        <v>185</v>
      </c>
      <c r="S509" s="1" t="s">
        <v>6276</v>
      </c>
      <c r="T509" s="1">
        <v>33</v>
      </c>
      <c r="U509" s="1">
        <v>1587</v>
      </c>
      <c r="V509" s="1" t="s">
        <v>169</v>
      </c>
      <c r="W509" s="1">
        <v>11355658</v>
      </c>
      <c r="X509" t="s">
        <v>6291</v>
      </c>
      <c r="Y509" t="s">
        <v>6292</v>
      </c>
      <c r="AA509" t="s">
        <v>68</v>
      </c>
      <c r="AB509" t="s">
        <v>6293</v>
      </c>
      <c r="AC509" t="s">
        <v>6294</v>
      </c>
      <c r="AD509" t="s">
        <v>6295</v>
      </c>
      <c r="AE509" t="s">
        <v>6193</v>
      </c>
      <c r="AF509" t="s">
        <v>73</v>
      </c>
      <c r="AG509" t="s">
        <v>6296</v>
      </c>
      <c r="AH509" t="s">
        <v>75</v>
      </c>
      <c r="AI509" t="s">
        <v>76</v>
      </c>
      <c r="AJ509" t="s">
        <v>77</v>
      </c>
      <c r="AK509" t="s">
        <v>6283</v>
      </c>
      <c r="AL509" t="s">
        <v>156</v>
      </c>
      <c r="AM509" t="s">
        <v>80</v>
      </c>
      <c r="AN509" t="s">
        <v>81</v>
      </c>
      <c r="AO509" t="s">
        <v>82</v>
      </c>
      <c r="AP509" t="s">
        <v>83</v>
      </c>
      <c r="AQ509">
        <v>2018</v>
      </c>
      <c r="AR509">
        <v>44107</v>
      </c>
      <c r="AS509">
        <v>5461145</v>
      </c>
      <c r="AT509">
        <v>416</v>
      </c>
      <c r="AU509" t="s">
        <v>84</v>
      </c>
      <c r="AV509">
        <v>562</v>
      </c>
      <c r="AW509" t="s">
        <v>85</v>
      </c>
      <c r="AX509" t="s">
        <v>86</v>
      </c>
      <c r="AY509">
        <v>562</v>
      </c>
      <c r="AZ509" t="s">
        <v>6297</v>
      </c>
      <c r="BA509" t="s">
        <v>88</v>
      </c>
      <c r="BC509" t="s">
        <v>6285</v>
      </c>
      <c r="BD509">
        <v>2</v>
      </c>
    </row>
    <row r="510" spans="1:56" hidden="1" x14ac:dyDescent="0.2">
      <c r="A510" t="s">
        <v>6298</v>
      </c>
      <c r="B510" t="s">
        <v>6299</v>
      </c>
      <c r="C510" t="s">
        <v>6300</v>
      </c>
      <c r="D510" t="s">
        <v>6301</v>
      </c>
      <c r="E510" t="s">
        <v>6301</v>
      </c>
      <c r="G510" t="s">
        <v>56</v>
      </c>
      <c r="H510" t="s">
        <v>57</v>
      </c>
      <c r="I510" t="s">
        <v>58</v>
      </c>
      <c r="J510" t="s">
        <v>3228</v>
      </c>
      <c r="K510" t="s">
        <v>6302</v>
      </c>
      <c r="L510" t="s">
        <v>6303</v>
      </c>
      <c r="M510" t="s">
        <v>7165</v>
      </c>
      <c r="N510" t="s">
        <v>7172</v>
      </c>
      <c r="O510" s="1" t="s">
        <v>3635</v>
      </c>
      <c r="P510" t="s">
        <v>6304</v>
      </c>
      <c r="Q510" s="1" t="s">
        <v>3090</v>
      </c>
      <c r="R510" s="1" t="s">
        <v>434</v>
      </c>
      <c r="S510" s="1" t="s">
        <v>3811</v>
      </c>
      <c r="T510" s="1">
        <v>447</v>
      </c>
      <c r="U510" s="1">
        <v>30763</v>
      </c>
      <c r="V510" s="1" t="s">
        <v>3196</v>
      </c>
      <c r="W510" s="1" t="s">
        <v>6305</v>
      </c>
      <c r="X510" t="s">
        <v>6306</v>
      </c>
      <c r="Y510" t="s">
        <v>6307</v>
      </c>
      <c r="AA510" t="s">
        <v>68</v>
      </c>
      <c r="AB510" t="s">
        <v>6308</v>
      </c>
      <c r="AC510" t="s">
        <v>6309</v>
      </c>
      <c r="AD510" t="s">
        <v>6310</v>
      </c>
      <c r="AE510" t="s">
        <v>6311</v>
      </c>
      <c r="AF510" t="s">
        <v>73</v>
      </c>
      <c r="AG510" t="s">
        <v>6312</v>
      </c>
      <c r="AH510" t="s">
        <v>75</v>
      </c>
      <c r="AI510" t="s">
        <v>76</v>
      </c>
      <c r="AJ510" t="s">
        <v>77</v>
      </c>
      <c r="AK510" t="s">
        <v>6313</v>
      </c>
      <c r="AL510" t="s">
        <v>364</v>
      </c>
      <c r="AM510" t="s">
        <v>80</v>
      </c>
      <c r="AN510" t="s">
        <v>81</v>
      </c>
      <c r="AO510" t="s">
        <v>6314</v>
      </c>
      <c r="AP510" t="s">
        <v>83</v>
      </c>
      <c r="AQ510">
        <v>2019</v>
      </c>
      <c r="AR510">
        <v>179518</v>
      </c>
      <c r="AS510">
        <v>5404784</v>
      </c>
      <c r="AT510">
        <v>212</v>
      </c>
      <c r="AU510" t="s">
        <v>84</v>
      </c>
      <c r="AV510">
        <v>562</v>
      </c>
      <c r="AW510" t="s">
        <v>85</v>
      </c>
      <c r="AX510" t="s">
        <v>86</v>
      </c>
      <c r="AY510">
        <v>562</v>
      </c>
      <c r="AZ510" t="s">
        <v>6315</v>
      </c>
      <c r="BA510" t="s">
        <v>88</v>
      </c>
    </row>
    <row r="511" spans="1:56" hidden="1" x14ac:dyDescent="0.2">
      <c r="A511" t="s">
        <v>6316</v>
      </c>
      <c r="B511" t="s">
        <v>6317</v>
      </c>
      <c r="C511" t="s">
        <v>6318</v>
      </c>
      <c r="D511" t="s">
        <v>6319</v>
      </c>
      <c r="E511" t="s">
        <v>6319</v>
      </c>
      <c r="G511" t="s">
        <v>56</v>
      </c>
      <c r="H511" t="s">
        <v>57</v>
      </c>
      <c r="I511" t="s">
        <v>93</v>
      </c>
      <c r="J511">
        <v>0</v>
      </c>
      <c r="K511" t="s">
        <v>447</v>
      </c>
      <c r="L511" t="s">
        <v>6275</v>
      </c>
      <c r="M511" t="s">
        <v>7165</v>
      </c>
      <c r="N511" t="s">
        <v>7172</v>
      </c>
      <c r="O511" s="1" t="s">
        <v>448</v>
      </c>
      <c r="P511" t="s">
        <v>6320</v>
      </c>
      <c r="Q511" s="1" t="s">
        <v>3090</v>
      </c>
      <c r="R511" s="1" t="s">
        <v>434</v>
      </c>
      <c r="S511" s="1" t="s">
        <v>451</v>
      </c>
      <c r="T511" s="1">
        <v>25</v>
      </c>
      <c r="U511" s="1">
        <v>30074</v>
      </c>
      <c r="V511" s="1" t="s">
        <v>3196</v>
      </c>
      <c r="W511" s="1">
        <v>0</v>
      </c>
      <c r="X511" t="s">
        <v>6321</v>
      </c>
      <c r="Y511" t="s">
        <v>6322</v>
      </c>
      <c r="AA511" t="s">
        <v>68</v>
      </c>
      <c r="AB511" t="s">
        <v>6323</v>
      </c>
      <c r="AC511" t="s">
        <v>6324</v>
      </c>
      <c r="AD511" t="s">
        <v>6325</v>
      </c>
      <c r="AE511" t="s">
        <v>3629</v>
      </c>
      <c r="AF511" t="s">
        <v>73</v>
      </c>
      <c r="AG511" t="s">
        <v>6326</v>
      </c>
      <c r="AH511" t="s">
        <v>3252</v>
      </c>
      <c r="AI511" t="s">
        <v>76</v>
      </c>
      <c r="AJ511" t="s">
        <v>77</v>
      </c>
      <c r="AK511" t="s">
        <v>6327</v>
      </c>
      <c r="AL511" t="s">
        <v>156</v>
      </c>
      <c r="AM511" t="s">
        <v>3254</v>
      </c>
      <c r="AN511" t="s">
        <v>158</v>
      </c>
      <c r="AO511" t="s">
        <v>159</v>
      </c>
      <c r="AP511" t="s">
        <v>83</v>
      </c>
      <c r="AR511">
        <v>67868</v>
      </c>
      <c r="AS511">
        <v>5469356</v>
      </c>
      <c r="AT511">
        <v>293</v>
      </c>
      <c r="AU511" t="s">
        <v>84</v>
      </c>
      <c r="AV511">
        <v>562</v>
      </c>
      <c r="AW511" t="s">
        <v>85</v>
      </c>
      <c r="AX511" t="s">
        <v>86</v>
      </c>
      <c r="AY511">
        <v>562</v>
      </c>
      <c r="AZ511" t="s">
        <v>6328</v>
      </c>
      <c r="BA511" t="s">
        <v>88</v>
      </c>
      <c r="BC511" t="s">
        <v>3256</v>
      </c>
      <c r="BD511">
        <v>1</v>
      </c>
    </row>
    <row r="512" spans="1:56" hidden="1" x14ac:dyDescent="0.2">
      <c r="A512" t="s">
        <v>6329</v>
      </c>
      <c r="B512" t="s">
        <v>6330</v>
      </c>
      <c r="C512" t="s">
        <v>6331</v>
      </c>
      <c r="D512" t="s">
        <v>6332</v>
      </c>
      <c r="E512" t="s">
        <v>6332</v>
      </c>
      <c r="G512" t="s">
        <v>56</v>
      </c>
      <c r="H512" t="s">
        <v>57</v>
      </c>
      <c r="I512" t="s">
        <v>93</v>
      </c>
      <c r="J512">
        <v>0</v>
      </c>
      <c r="K512" t="s">
        <v>406</v>
      </c>
      <c r="L512" t="s">
        <v>6333</v>
      </c>
      <c r="M512" t="s">
        <v>7165</v>
      </c>
      <c r="N512" t="s">
        <v>7172</v>
      </c>
      <c r="O512" s="1" t="s">
        <v>448</v>
      </c>
      <c r="P512" t="s">
        <v>6334</v>
      </c>
      <c r="Q512" s="1" t="s">
        <v>166</v>
      </c>
      <c r="R512" s="1" t="s">
        <v>167</v>
      </c>
      <c r="S512" s="1" t="s">
        <v>6335</v>
      </c>
      <c r="T512" s="1">
        <v>4748</v>
      </c>
      <c r="U512" s="1">
        <v>29367</v>
      </c>
      <c r="V512" s="1" t="s">
        <v>3196</v>
      </c>
      <c r="W512" s="1">
        <v>11587273</v>
      </c>
      <c r="X512" t="s">
        <v>6336</v>
      </c>
      <c r="Y512" t="s">
        <v>6337</v>
      </c>
      <c r="AA512" t="s">
        <v>68</v>
      </c>
      <c r="AB512" t="s">
        <v>6338</v>
      </c>
      <c r="AC512" t="s">
        <v>6339</v>
      </c>
      <c r="AD512" t="s">
        <v>6340</v>
      </c>
      <c r="AE512" t="s">
        <v>3856</v>
      </c>
      <c r="AF512" t="s">
        <v>73</v>
      </c>
      <c r="AG512" t="s">
        <v>6341</v>
      </c>
      <c r="AH512" t="s">
        <v>75</v>
      </c>
      <c r="AI512" t="s">
        <v>76</v>
      </c>
      <c r="AJ512" t="s">
        <v>77</v>
      </c>
      <c r="AK512" t="s">
        <v>6342</v>
      </c>
      <c r="AL512" t="s">
        <v>3511</v>
      </c>
      <c r="AM512" t="s">
        <v>80</v>
      </c>
      <c r="AN512" t="s">
        <v>158</v>
      </c>
      <c r="AO512" t="s">
        <v>159</v>
      </c>
      <c r="AP512" t="s">
        <v>83</v>
      </c>
      <c r="AR512">
        <v>31325</v>
      </c>
      <c r="AS512">
        <v>5347647</v>
      </c>
      <c r="AT512">
        <v>532</v>
      </c>
      <c r="AU512" t="s">
        <v>84</v>
      </c>
      <c r="AV512">
        <v>562</v>
      </c>
      <c r="AW512" t="s">
        <v>85</v>
      </c>
      <c r="AX512" t="s">
        <v>86</v>
      </c>
      <c r="AY512">
        <v>562</v>
      </c>
      <c r="AZ512" t="s">
        <v>6343</v>
      </c>
      <c r="BA512" t="s">
        <v>88</v>
      </c>
    </row>
    <row r="513" spans="1:57" hidden="1" x14ac:dyDescent="0.2">
      <c r="A513" t="s">
        <v>6344</v>
      </c>
      <c r="B513" t="s">
        <v>6345</v>
      </c>
      <c r="C513" t="s">
        <v>6346</v>
      </c>
      <c r="D513" t="s">
        <v>6347</v>
      </c>
      <c r="E513" t="s">
        <v>6347</v>
      </c>
      <c r="G513" t="s">
        <v>56</v>
      </c>
      <c r="H513" t="s">
        <v>57</v>
      </c>
      <c r="I513" t="s">
        <v>93</v>
      </c>
      <c r="J513">
        <v>0</v>
      </c>
      <c r="K513" t="s">
        <v>406</v>
      </c>
      <c r="L513" t="s">
        <v>6348</v>
      </c>
      <c r="M513" t="s">
        <v>7165</v>
      </c>
      <c r="N513" t="s">
        <v>7172</v>
      </c>
      <c r="O513" s="1" t="s">
        <v>208</v>
      </c>
      <c r="P513" t="s">
        <v>209</v>
      </c>
      <c r="Q513" s="1" t="s">
        <v>234</v>
      </c>
      <c r="R513" s="1" t="s">
        <v>167</v>
      </c>
      <c r="S513" s="1" t="s">
        <v>210</v>
      </c>
      <c r="T513" s="1">
        <v>675</v>
      </c>
      <c r="U513" s="1">
        <v>168719</v>
      </c>
      <c r="V513" s="1" t="s">
        <v>235</v>
      </c>
      <c r="W513" s="1" t="s">
        <v>6349</v>
      </c>
      <c r="X513" t="s">
        <v>6350</v>
      </c>
      <c r="Y513" t="s">
        <v>6351</v>
      </c>
      <c r="AA513" t="s">
        <v>68</v>
      </c>
      <c r="AB513" t="s">
        <v>6352</v>
      </c>
      <c r="AC513" t="s">
        <v>6353</v>
      </c>
      <c r="AD513" t="s">
        <v>6354</v>
      </c>
      <c r="AE513" t="s">
        <v>6355</v>
      </c>
      <c r="AF513" t="s">
        <v>73</v>
      </c>
      <c r="AG513" t="s">
        <v>6356</v>
      </c>
      <c r="AH513" t="s">
        <v>75</v>
      </c>
      <c r="AI513" t="s">
        <v>76</v>
      </c>
      <c r="AJ513" t="s">
        <v>77</v>
      </c>
      <c r="AK513" t="s">
        <v>6357</v>
      </c>
      <c r="AL513" t="s">
        <v>156</v>
      </c>
      <c r="AM513" t="s">
        <v>80</v>
      </c>
      <c r="AN513" t="s">
        <v>158</v>
      </c>
      <c r="AO513" t="s">
        <v>159</v>
      </c>
      <c r="AP513" t="s">
        <v>83</v>
      </c>
      <c r="AR513">
        <v>140852</v>
      </c>
      <c r="AS513">
        <v>5491462</v>
      </c>
      <c r="AT513">
        <v>186</v>
      </c>
      <c r="AU513" t="s">
        <v>84</v>
      </c>
      <c r="AV513">
        <v>562</v>
      </c>
      <c r="AW513" t="s">
        <v>85</v>
      </c>
      <c r="AX513" t="s">
        <v>86</v>
      </c>
      <c r="AY513">
        <v>562</v>
      </c>
      <c r="AZ513" t="s">
        <v>6358</v>
      </c>
      <c r="BA513" t="s">
        <v>88</v>
      </c>
    </row>
    <row r="514" spans="1:57" hidden="1" x14ac:dyDescent="0.2">
      <c r="A514" t="s">
        <v>6359</v>
      </c>
      <c r="B514" t="s">
        <v>6360</v>
      </c>
      <c r="C514" t="s">
        <v>6361</v>
      </c>
      <c r="D514" t="s">
        <v>6362</v>
      </c>
      <c r="E514" t="s">
        <v>6362</v>
      </c>
      <c r="G514" t="s">
        <v>56</v>
      </c>
      <c r="H514" t="s">
        <v>57</v>
      </c>
      <c r="I514" t="s">
        <v>93</v>
      </c>
      <c r="J514">
        <v>0</v>
      </c>
      <c r="K514" t="s">
        <v>406</v>
      </c>
      <c r="L514" t="s">
        <v>6348</v>
      </c>
      <c r="M514" t="s">
        <v>7165</v>
      </c>
      <c r="N514" t="s">
        <v>7172</v>
      </c>
      <c r="O514" s="1" t="s">
        <v>6363</v>
      </c>
      <c r="P514" t="s">
        <v>6364</v>
      </c>
      <c r="Q514" s="1" t="s">
        <v>3090</v>
      </c>
      <c r="R514" s="1" t="s">
        <v>434</v>
      </c>
      <c r="S514" s="1" t="s">
        <v>451</v>
      </c>
      <c r="T514" s="1">
        <v>297</v>
      </c>
      <c r="U514" s="1">
        <v>15082</v>
      </c>
      <c r="V514" s="1" t="s">
        <v>3196</v>
      </c>
      <c r="W514" s="1">
        <v>11625320</v>
      </c>
      <c r="X514" t="s">
        <v>6365</v>
      </c>
      <c r="Y514" t="s">
        <v>6366</v>
      </c>
      <c r="AA514" t="s">
        <v>68</v>
      </c>
      <c r="AB514" t="s">
        <v>6367</v>
      </c>
      <c r="AC514" t="s">
        <v>6368</v>
      </c>
      <c r="AD514" t="s">
        <v>6369</v>
      </c>
      <c r="AE514" t="s">
        <v>3371</v>
      </c>
      <c r="AF514" t="s">
        <v>73</v>
      </c>
      <c r="AG514" t="s">
        <v>6370</v>
      </c>
      <c r="AH514" t="s">
        <v>75</v>
      </c>
      <c r="AI514" t="s">
        <v>76</v>
      </c>
      <c r="AJ514" t="s">
        <v>77</v>
      </c>
      <c r="AK514" t="s">
        <v>6371</v>
      </c>
      <c r="AL514" t="s">
        <v>156</v>
      </c>
      <c r="AM514" t="s">
        <v>80</v>
      </c>
      <c r="AN514" t="s">
        <v>158</v>
      </c>
      <c r="AO514" t="s">
        <v>159</v>
      </c>
      <c r="AP514" t="s">
        <v>83</v>
      </c>
      <c r="AR514">
        <v>78669</v>
      </c>
      <c r="AS514">
        <v>5465556</v>
      </c>
      <c r="AT514">
        <v>275</v>
      </c>
      <c r="AU514" t="s">
        <v>84</v>
      </c>
      <c r="AV514">
        <v>562</v>
      </c>
      <c r="AW514" t="s">
        <v>85</v>
      </c>
      <c r="AX514" t="s">
        <v>86</v>
      </c>
      <c r="AY514">
        <v>562</v>
      </c>
      <c r="AZ514" t="s">
        <v>6372</v>
      </c>
      <c r="BA514" t="s">
        <v>88</v>
      </c>
    </row>
    <row r="515" spans="1:57" hidden="1" x14ac:dyDescent="0.2">
      <c r="A515" t="s">
        <v>6373</v>
      </c>
      <c r="B515" t="s">
        <v>6374</v>
      </c>
      <c r="C515" s="2" t="s">
        <v>6375</v>
      </c>
      <c r="D515" t="s">
        <v>6376</v>
      </c>
      <c r="E515" s="2" t="s">
        <v>6377</v>
      </c>
      <c r="G515" t="s">
        <v>56</v>
      </c>
      <c r="H515" t="s">
        <v>57</v>
      </c>
      <c r="I515" t="s">
        <v>58</v>
      </c>
      <c r="J515" t="s">
        <v>351</v>
      </c>
      <c r="K515" t="s">
        <v>6378</v>
      </c>
      <c r="L515" t="s">
        <v>6378</v>
      </c>
      <c r="M515" t="s">
        <v>7165</v>
      </c>
      <c r="N515" t="s">
        <v>7172</v>
      </c>
      <c r="O515" s="1" t="s">
        <v>6379</v>
      </c>
      <c r="P515" t="s">
        <v>6380</v>
      </c>
      <c r="Q515" s="1" t="s">
        <v>144</v>
      </c>
      <c r="R515" s="1" t="s">
        <v>355</v>
      </c>
      <c r="S515" s="1" t="s">
        <v>356</v>
      </c>
      <c r="T515" s="1">
        <v>8660</v>
      </c>
      <c r="U515" s="1">
        <v>1607</v>
      </c>
      <c r="V515" s="1" t="s">
        <v>169</v>
      </c>
      <c r="W515" s="1">
        <v>11655534</v>
      </c>
      <c r="X515" t="s">
        <v>6381</v>
      </c>
      <c r="Y515" t="s">
        <v>6382</v>
      </c>
      <c r="AA515" t="s">
        <v>68</v>
      </c>
      <c r="AB515" t="s">
        <v>6383</v>
      </c>
      <c r="AC515" t="s">
        <v>6384</v>
      </c>
      <c r="AD515" t="s">
        <v>6385</v>
      </c>
      <c r="AE515" t="s">
        <v>6311</v>
      </c>
      <c r="AF515" t="s">
        <v>73</v>
      </c>
      <c r="AG515" t="s">
        <v>6386</v>
      </c>
      <c r="AH515" t="s">
        <v>75</v>
      </c>
      <c r="AI515" t="s">
        <v>76</v>
      </c>
      <c r="AJ515" t="s">
        <v>77</v>
      </c>
      <c r="AK515" t="s">
        <v>363</v>
      </c>
      <c r="AL515" t="s">
        <v>79</v>
      </c>
      <c r="AM515" t="s">
        <v>80</v>
      </c>
      <c r="AN515" t="s">
        <v>81</v>
      </c>
      <c r="AO515" t="s">
        <v>6314</v>
      </c>
      <c r="AP515" t="s">
        <v>83</v>
      </c>
      <c r="AQ515">
        <v>2019</v>
      </c>
      <c r="AR515">
        <v>102875</v>
      </c>
      <c r="AS515">
        <v>5090190</v>
      </c>
      <c r="AT515">
        <v>230</v>
      </c>
      <c r="AU515" t="s">
        <v>84</v>
      </c>
      <c r="AV515">
        <v>562</v>
      </c>
      <c r="AW515" t="s">
        <v>85</v>
      </c>
      <c r="AX515" t="s">
        <v>86</v>
      </c>
      <c r="AY515">
        <v>562</v>
      </c>
      <c r="AZ515" t="s">
        <v>6387</v>
      </c>
      <c r="BA515" t="s">
        <v>88</v>
      </c>
    </row>
    <row r="516" spans="1:57" hidden="1" x14ac:dyDescent="0.2">
      <c r="A516" t="s">
        <v>6388</v>
      </c>
      <c r="B516" t="s">
        <v>6389</v>
      </c>
      <c r="C516" t="s">
        <v>6390</v>
      </c>
      <c r="D516" t="s">
        <v>6391</v>
      </c>
      <c r="E516" t="s">
        <v>6391</v>
      </c>
      <c r="G516" t="s">
        <v>56</v>
      </c>
      <c r="H516" t="s">
        <v>57</v>
      </c>
      <c r="I516" t="s">
        <v>93</v>
      </c>
      <c r="J516">
        <v>0</v>
      </c>
      <c r="K516" t="s">
        <v>447</v>
      </c>
      <c r="L516" t="s">
        <v>406</v>
      </c>
      <c r="M516" t="s">
        <v>7165</v>
      </c>
      <c r="N516" t="s">
        <v>7172</v>
      </c>
      <c r="O516" s="1" t="s">
        <v>390</v>
      </c>
      <c r="P516" t="s">
        <v>390</v>
      </c>
      <c r="Q516" s="1" t="s">
        <v>166</v>
      </c>
      <c r="R516" s="1" t="s">
        <v>167</v>
      </c>
      <c r="S516" s="1" t="s">
        <v>168</v>
      </c>
      <c r="T516" s="1">
        <v>8356</v>
      </c>
      <c r="U516" s="1">
        <v>84725</v>
      </c>
      <c r="V516" s="1" t="s">
        <v>3093</v>
      </c>
      <c r="W516" s="1">
        <v>0</v>
      </c>
      <c r="X516" t="s">
        <v>6392</v>
      </c>
      <c r="Y516" t="s">
        <v>6393</v>
      </c>
      <c r="AA516" t="s">
        <v>68</v>
      </c>
      <c r="AB516" t="s">
        <v>6394</v>
      </c>
      <c r="AC516" t="s">
        <v>6395</v>
      </c>
      <c r="AD516" t="s">
        <v>6396</v>
      </c>
      <c r="AE516" t="s">
        <v>4056</v>
      </c>
      <c r="AF516" t="s">
        <v>73</v>
      </c>
      <c r="AG516" t="s">
        <v>6397</v>
      </c>
      <c r="AH516" t="s">
        <v>75</v>
      </c>
      <c r="AI516" t="s">
        <v>76</v>
      </c>
      <c r="AJ516" t="s">
        <v>77</v>
      </c>
      <c r="AK516" t="s">
        <v>3842</v>
      </c>
      <c r="AL516" t="s">
        <v>107</v>
      </c>
      <c r="AM516" t="s">
        <v>401</v>
      </c>
      <c r="AN516" t="s">
        <v>158</v>
      </c>
      <c r="AO516" t="s">
        <v>159</v>
      </c>
      <c r="AP516" t="s">
        <v>83</v>
      </c>
      <c r="AR516">
        <v>75018</v>
      </c>
      <c r="AS516">
        <v>5026230</v>
      </c>
      <c r="AT516">
        <v>210</v>
      </c>
      <c r="AU516" t="s">
        <v>84</v>
      </c>
      <c r="AV516">
        <v>562</v>
      </c>
      <c r="AW516" t="s">
        <v>85</v>
      </c>
      <c r="AX516" t="s">
        <v>86</v>
      </c>
      <c r="AY516">
        <v>562</v>
      </c>
      <c r="AZ516" t="s">
        <v>6398</v>
      </c>
      <c r="BA516" t="s">
        <v>88</v>
      </c>
    </row>
    <row r="517" spans="1:57" hidden="1" x14ac:dyDescent="0.2">
      <c r="A517" t="s">
        <v>6399</v>
      </c>
      <c r="B517" t="s">
        <v>6400</v>
      </c>
      <c r="C517" t="s">
        <v>6401</v>
      </c>
      <c r="D517" t="s">
        <v>6402</v>
      </c>
      <c r="E517" t="s">
        <v>6402</v>
      </c>
      <c r="G517" t="s">
        <v>56</v>
      </c>
      <c r="H517" t="s">
        <v>57</v>
      </c>
      <c r="I517" t="s">
        <v>93</v>
      </c>
      <c r="J517">
        <v>0</v>
      </c>
      <c r="K517" t="s">
        <v>447</v>
      </c>
      <c r="L517" t="s">
        <v>406</v>
      </c>
      <c r="M517" t="s">
        <v>7165</v>
      </c>
      <c r="N517" t="s">
        <v>7172</v>
      </c>
      <c r="O517" s="1" t="s">
        <v>3702</v>
      </c>
      <c r="P517" t="s">
        <v>6403</v>
      </c>
      <c r="Q517" s="1" t="s">
        <v>166</v>
      </c>
      <c r="R517" s="1" t="s">
        <v>167</v>
      </c>
      <c r="S517" s="1" t="s">
        <v>168</v>
      </c>
      <c r="T517" s="1">
        <v>8356</v>
      </c>
      <c r="U517" s="1">
        <v>84725</v>
      </c>
      <c r="V517" s="1" t="s">
        <v>3093</v>
      </c>
      <c r="W517" s="1">
        <v>11682361</v>
      </c>
      <c r="X517" t="s">
        <v>6404</v>
      </c>
      <c r="Y517" t="s">
        <v>6405</v>
      </c>
      <c r="AA517" t="s">
        <v>68</v>
      </c>
      <c r="AB517" t="s">
        <v>6406</v>
      </c>
      <c r="AC517" t="s">
        <v>6407</v>
      </c>
      <c r="AD517" t="s">
        <v>6408</v>
      </c>
      <c r="AE517" t="s">
        <v>3840</v>
      </c>
      <c r="AF517" t="s">
        <v>73</v>
      </c>
      <c r="AG517" t="s">
        <v>6409</v>
      </c>
      <c r="AH517" t="s">
        <v>75</v>
      </c>
      <c r="AI517" t="s">
        <v>76</v>
      </c>
      <c r="AJ517" t="s">
        <v>77</v>
      </c>
      <c r="AK517" t="s">
        <v>4058</v>
      </c>
      <c r="AL517" t="s">
        <v>107</v>
      </c>
      <c r="AM517" t="s">
        <v>401</v>
      </c>
      <c r="AN517" t="s">
        <v>158</v>
      </c>
      <c r="AO517" t="s">
        <v>159</v>
      </c>
      <c r="AP517" t="s">
        <v>83</v>
      </c>
      <c r="AR517">
        <v>60275</v>
      </c>
      <c r="AS517">
        <v>5012184</v>
      </c>
      <c r="AT517">
        <v>285</v>
      </c>
      <c r="AU517" t="s">
        <v>84</v>
      </c>
      <c r="AV517">
        <v>562</v>
      </c>
      <c r="AW517" t="s">
        <v>85</v>
      </c>
      <c r="AX517" t="s">
        <v>86</v>
      </c>
      <c r="AY517">
        <v>562</v>
      </c>
      <c r="AZ517" t="s">
        <v>6410</v>
      </c>
      <c r="BA517" t="s">
        <v>88</v>
      </c>
    </row>
    <row r="518" spans="1:57" hidden="1" x14ac:dyDescent="0.2">
      <c r="A518" t="s">
        <v>6411</v>
      </c>
      <c r="B518" t="s">
        <v>6412</v>
      </c>
      <c r="C518" t="s">
        <v>6413</v>
      </c>
      <c r="D518" t="s">
        <v>6414</v>
      </c>
      <c r="E518" t="s">
        <v>6414</v>
      </c>
      <c r="G518" t="s">
        <v>56</v>
      </c>
      <c r="H518" t="s">
        <v>57</v>
      </c>
      <c r="I518" t="s">
        <v>93</v>
      </c>
      <c r="J518">
        <v>0</v>
      </c>
      <c r="K518" t="s">
        <v>447</v>
      </c>
      <c r="L518" t="s">
        <v>6415</v>
      </c>
      <c r="M518" t="s">
        <v>7165</v>
      </c>
      <c r="N518" t="s">
        <v>7172</v>
      </c>
      <c r="O518" s="1" t="s">
        <v>448</v>
      </c>
      <c r="P518" t="s">
        <v>3166</v>
      </c>
      <c r="Q518" s="1" t="s">
        <v>3090</v>
      </c>
      <c r="R518" s="1" t="s">
        <v>434</v>
      </c>
      <c r="S518" s="1" t="s">
        <v>451</v>
      </c>
      <c r="T518" s="1">
        <v>25</v>
      </c>
      <c r="U518" s="1">
        <v>30074</v>
      </c>
      <c r="V518" s="1" t="s">
        <v>3196</v>
      </c>
      <c r="W518" s="1" t="s">
        <v>6416</v>
      </c>
      <c r="X518" t="s">
        <v>6417</v>
      </c>
      <c r="Y518" t="s">
        <v>6418</v>
      </c>
      <c r="AA518" t="s">
        <v>68</v>
      </c>
      <c r="AB518" t="s">
        <v>6419</v>
      </c>
      <c r="AC518" t="s">
        <v>6420</v>
      </c>
      <c r="AD518" t="s">
        <v>6421</v>
      </c>
      <c r="AE518" t="s">
        <v>3425</v>
      </c>
      <c r="AF518" t="s">
        <v>73</v>
      </c>
      <c r="AG518" t="s">
        <v>6422</v>
      </c>
      <c r="AH518" t="s">
        <v>75</v>
      </c>
      <c r="AI518" t="s">
        <v>76</v>
      </c>
      <c r="AJ518" t="s">
        <v>77</v>
      </c>
      <c r="AK518" t="s">
        <v>6423</v>
      </c>
      <c r="AL518" t="s">
        <v>546</v>
      </c>
      <c r="AM518" t="s">
        <v>80</v>
      </c>
      <c r="AN518" t="s">
        <v>158</v>
      </c>
      <c r="AO518" t="s">
        <v>159</v>
      </c>
      <c r="AP518" t="s">
        <v>83</v>
      </c>
      <c r="AR518">
        <v>66083</v>
      </c>
      <c r="AS518">
        <v>5675669</v>
      </c>
      <c r="AT518">
        <v>299</v>
      </c>
      <c r="AU518" t="s">
        <v>84</v>
      </c>
      <c r="AV518">
        <v>562</v>
      </c>
      <c r="AW518" t="s">
        <v>85</v>
      </c>
      <c r="AX518" t="s">
        <v>86</v>
      </c>
      <c r="AY518">
        <v>562</v>
      </c>
      <c r="AZ518" t="s">
        <v>6424</v>
      </c>
      <c r="BA518" t="s">
        <v>88</v>
      </c>
    </row>
    <row r="519" spans="1:57" hidden="1" x14ac:dyDescent="0.2">
      <c r="A519" t="s">
        <v>6425</v>
      </c>
      <c r="B519" t="s">
        <v>6426</v>
      </c>
      <c r="C519" t="s">
        <v>6427</v>
      </c>
      <c r="D519" t="s">
        <v>6428</v>
      </c>
      <c r="E519" t="s">
        <v>6428</v>
      </c>
      <c r="G519" t="s">
        <v>56</v>
      </c>
      <c r="H519" t="s">
        <v>57</v>
      </c>
      <c r="I519" t="s">
        <v>93</v>
      </c>
      <c r="J519">
        <v>0</v>
      </c>
      <c r="K519" t="s">
        <v>447</v>
      </c>
      <c r="L519" t="s">
        <v>447</v>
      </c>
      <c r="M519" t="s">
        <v>7165</v>
      </c>
      <c r="N519" t="s">
        <v>7172</v>
      </c>
      <c r="O519" s="1" t="s">
        <v>390</v>
      </c>
      <c r="P519" t="s">
        <v>6403</v>
      </c>
      <c r="Q519" s="1" t="s">
        <v>166</v>
      </c>
      <c r="R519" s="1" t="s">
        <v>167</v>
      </c>
      <c r="S519" s="1" t="s">
        <v>168</v>
      </c>
      <c r="T519" s="1">
        <v>8356</v>
      </c>
      <c r="U519" s="1">
        <v>84725</v>
      </c>
      <c r="V519" s="1" t="s">
        <v>3093</v>
      </c>
      <c r="W519" s="1">
        <v>11749059</v>
      </c>
      <c r="X519" t="s">
        <v>6429</v>
      </c>
      <c r="Y519" t="s">
        <v>6430</v>
      </c>
      <c r="AA519" t="s">
        <v>68</v>
      </c>
      <c r="AB519" t="s">
        <v>6431</v>
      </c>
      <c r="AC519" t="s">
        <v>6432</v>
      </c>
      <c r="AD519" t="s">
        <v>6433</v>
      </c>
      <c r="AE519" t="s">
        <v>6434</v>
      </c>
      <c r="AF519" t="s">
        <v>73</v>
      </c>
      <c r="AG519" t="s">
        <v>6435</v>
      </c>
      <c r="AH519" t="s">
        <v>75</v>
      </c>
      <c r="AI519" t="s">
        <v>76</v>
      </c>
      <c r="AJ519" t="s">
        <v>77</v>
      </c>
      <c r="AK519" t="s">
        <v>6436</v>
      </c>
      <c r="AL519" t="s">
        <v>107</v>
      </c>
      <c r="AM519" t="s">
        <v>401</v>
      </c>
      <c r="AN519" t="s">
        <v>158</v>
      </c>
      <c r="AO519" t="s">
        <v>159</v>
      </c>
      <c r="AP519" t="s">
        <v>83</v>
      </c>
      <c r="AR519">
        <v>76323</v>
      </c>
      <c r="AS519">
        <v>4997681</v>
      </c>
      <c r="AT519">
        <v>255</v>
      </c>
      <c r="AU519" t="s">
        <v>84</v>
      </c>
      <c r="AV519">
        <v>562</v>
      </c>
      <c r="AW519" t="s">
        <v>85</v>
      </c>
      <c r="AX519" t="s">
        <v>86</v>
      </c>
      <c r="AY519">
        <v>562</v>
      </c>
      <c r="AZ519" t="s">
        <v>6437</v>
      </c>
      <c r="BA519" t="s">
        <v>88</v>
      </c>
    </row>
    <row r="520" spans="1:57" hidden="1" x14ac:dyDescent="0.2">
      <c r="A520" t="s">
        <v>6438</v>
      </c>
      <c r="B520" t="s">
        <v>6439</v>
      </c>
      <c r="C520" t="s">
        <v>6427</v>
      </c>
      <c r="D520" t="s">
        <v>6440</v>
      </c>
      <c r="E520" t="s">
        <v>6440</v>
      </c>
      <c r="G520" t="s">
        <v>56</v>
      </c>
      <c r="H520" t="s">
        <v>57</v>
      </c>
      <c r="I520" t="s">
        <v>93</v>
      </c>
      <c r="J520">
        <v>0</v>
      </c>
      <c r="K520" t="s">
        <v>447</v>
      </c>
      <c r="L520" t="s">
        <v>447</v>
      </c>
      <c r="M520" t="s">
        <v>7165</v>
      </c>
      <c r="N520" t="s">
        <v>7172</v>
      </c>
      <c r="O520" s="1" t="s">
        <v>3165</v>
      </c>
      <c r="P520" t="s">
        <v>3166</v>
      </c>
      <c r="Q520" s="1" t="s">
        <v>3090</v>
      </c>
      <c r="R520" s="1" t="s">
        <v>434</v>
      </c>
      <c r="S520" s="1" t="s">
        <v>6217</v>
      </c>
      <c r="T520" s="1">
        <v>25</v>
      </c>
      <c r="U520" s="1">
        <v>30074</v>
      </c>
      <c r="V520" s="1" t="s">
        <v>3196</v>
      </c>
      <c r="W520" s="1">
        <v>11749059</v>
      </c>
      <c r="X520" t="s">
        <v>6441</v>
      </c>
      <c r="Y520" t="s">
        <v>6442</v>
      </c>
      <c r="AA520" t="s">
        <v>68</v>
      </c>
      <c r="AB520" t="s">
        <v>6443</v>
      </c>
      <c r="AC520" t="s">
        <v>6444</v>
      </c>
      <c r="AD520" t="s">
        <v>6445</v>
      </c>
      <c r="AE520" t="s">
        <v>3385</v>
      </c>
      <c r="AF520" t="s">
        <v>73</v>
      </c>
      <c r="AG520" t="s">
        <v>6446</v>
      </c>
      <c r="AH520" t="s">
        <v>75</v>
      </c>
      <c r="AI520" t="s">
        <v>76</v>
      </c>
      <c r="AJ520" t="s">
        <v>77</v>
      </c>
      <c r="AK520" t="s">
        <v>6447</v>
      </c>
      <c r="AL520" t="s">
        <v>156</v>
      </c>
      <c r="AM520" t="s">
        <v>80</v>
      </c>
      <c r="AN520" t="s">
        <v>158</v>
      </c>
      <c r="AO520" t="s">
        <v>159</v>
      </c>
      <c r="AP520" t="s">
        <v>83</v>
      </c>
      <c r="AR520">
        <v>39249</v>
      </c>
      <c r="AS520">
        <v>5452807</v>
      </c>
      <c r="AT520">
        <v>337</v>
      </c>
      <c r="AU520" t="s">
        <v>84</v>
      </c>
      <c r="AV520">
        <v>562</v>
      </c>
      <c r="AW520" t="s">
        <v>85</v>
      </c>
      <c r="AX520" t="s">
        <v>86</v>
      </c>
      <c r="AY520">
        <v>562</v>
      </c>
      <c r="AZ520" t="s">
        <v>6448</v>
      </c>
      <c r="BA520" t="s">
        <v>88</v>
      </c>
    </row>
    <row r="521" spans="1:57" hidden="1" x14ac:dyDescent="0.2">
      <c r="A521" t="s">
        <v>6449</v>
      </c>
      <c r="B521" t="s">
        <v>6450</v>
      </c>
      <c r="C521" t="s">
        <v>6451</v>
      </c>
      <c r="D521" t="s">
        <v>6452</v>
      </c>
      <c r="E521" t="s">
        <v>6452</v>
      </c>
      <c r="G521" t="s">
        <v>56</v>
      </c>
      <c r="H521" t="s">
        <v>57</v>
      </c>
      <c r="I521" t="s">
        <v>93</v>
      </c>
      <c r="J521">
        <v>0</v>
      </c>
      <c r="K521" t="s">
        <v>6289</v>
      </c>
      <c r="L521" t="s">
        <v>6453</v>
      </c>
      <c r="M521" t="s">
        <v>7165</v>
      </c>
      <c r="N521" t="s">
        <v>7172</v>
      </c>
      <c r="O521" s="1" t="s">
        <v>448</v>
      </c>
      <c r="P521" t="s">
        <v>3166</v>
      </c>
      <c r="Q521" s="1" t="s">
        <v>126</v>
      </c>
      <c r="R521" s="1" t="s">
        <v>434</v>
      </c>
      <c r="S521" s="1" t="s">
        <v>451</v>
      </c>
      <c r="T521" s="1">
        <v>25</v>
      </c>
      <c r="U521" s="1">
        <v>30074</v>
      </c>
      <c r="V521" s="1" t="s">
        <v>3196</v>
      </c>
      <c r="W521" s="1">
        <v>11795321</v>
      </c>
      <c r="X521" t="s">
        <v>6454</v>
      </c>
      <c r="Y521" t="s">
        <v>6455</v>
      </c>
      <c r="AA521" t="s">
        <v>68</v>
      </c>
      <c r="AB521" t="s">
        <v>6456</v>
      </c>
      <c r="AC521" t="s">
        <v>6457</v>
      </c>
      <c r="AD521" t="s">
        <v>6458</v>
      </c>
      <c r="AE521" t="s">
        <v>3357</v>
      </c>
      <c r="AF521" t="s">
        <v>73</v>
      </c>
      <c r="AG521" t="s">
        <v>6459</v>
      </c>
      <c r="AH521" t="s">
        <v>75</v>
      </c>
      <c r="AI521" t="s">
        <v>76</v>
      </c>
      <c r="AJ521" t="s">
        <v>77</v>
      </c>
      <c r="AK521" t="s">
        <v>6460</v>
      </c>
      <c r="AL521" t="s">
        <v>546</v>
      </c>
      <c r="AM521" t="s">
        <v>80</v>
      </c>
      <c r="AN521" t="s">
        <v>158</v>
      </c>
      <c r="AO521" t="s">
        <v>159</v>
      </c>
      <c r="AP521" t="s">
        <v>83</v>
      </c>
      <c r="AR521">
        <v>31512</v>
      </c>
      <c r="AS521">
        <v>5448190</v>
      </c>
      <c r="AT521">
        <v>390</v>
      </c>
      <c r="AU521" t="s">
        <v>84</v>
      </c>
      <c r="AV521">
        <v>562</v>
      </c>
      <c r="AW521" t="s">
        <v>85</v>
      </c>
      <c r="AX521" t="s">
        <v>86</v>
      </c>
      <c r="AY521">
        <v>562</v>
      </c>
      <c r="AZ521" t="s">
        <v>6461</v>
      </c>
      <c r="BA521" t="s">
        <v>88</v>
      </c>
    </row>
    <row r="522" spans="1:57" hidden="1" x14ac:dyDescent="0.2">
      <c r="A522" t="s">
        <v>6462</v>
      </c>
      <c r="B522" t="s">
        <v>6463</v>
      </c>
      <c r="C522" t="s">
        <v>349</v>
      </c>
      <c r="D522" t="s">
        <v>6464</v>
      </c>
      <c r="E522" t="s">
        <v>6464</v>
      </c>
      <c r="G522" t="s">
        <v>56</v>
      </c>
      <c r="H522" t="s">
        <v>57</v>
      </c>
      <c r="I522" t="s">
        <v>58</v>
      </c>
      <c r="J522" t="s">
        <v>351</v>
      </c>
      <c r="K522" t="s">
        <v>352</v>
      </c>
      <c r="L522" t="s">
        <v>352</v>
      </c>
      <c r="M522" t="s">
        <v>7165</v>
      </c>
      <c r="N522" t="s">
        <v>7172</v>
      </c>
      <c r="O522" s="1" t="s">
        <v>353</v>
      </c>
      <c r="P522" t="s">
        <v>354</v>
      </c>
      <c r="Q522" s="1" t="s">
        <v>144</v>
      </c>
      <c r="R522" s="1" t="s">
        <v>355</v>
      </c>
      <c r="S522" s="1" t="s">
        <v>356</v>
      </c>
      <c r="T522" s="1">
        <v>155</v>
      </c>
      <c r="U522" s="1">
        <v>1607</v>
      </c>
      <c r="V522" s="1" t="s">
        <v>169</v>
      </c>
      <c r="W522" s="1">
        <v>11774050</v>
      </c>
      <c r="X522" t="s">
        <v>6465</v>
      </c>
      <c r="Y522" t="s">
        <v>6466</v>
      </c>
      <c r="AA522" t="s">
        <v>68</v>
      </c>
      <c r="AB522" t="s">
        <v>6467</v>
      </c>
      <c r="AC522" t="s">
        <v>6468</v>
      </c>
      <c r="AD522" t="s">
        <v>6469</v>
      </c>
      <c r="AE522" t="s">
        <v>6470</v>
      </c>
      <c r="AF522" t="s">
        <v>73</v>
      </c>
      <c r="AG522" t="s">
        <v>6471</v>
      </c>
      <c r="AH522" t="s">
        <v>75</v>
      </c>
      <c r="AI522" t="s">
        <v>76</v>
      </c>
      <c r="AJ522" t="s">
        <v>77</v>
      </c>
      <c r="AK522" t="s">
        <v>6472</v>
      </c>
      <c r="AL522" t="s">
        <v>364</v>
      </c>
      <c r="AM522" t="s">
        <v>80</v>
      </c>
      <c r="AN522" t="s">
        <v>158</v>
      </c>
      <c r="AO522" t="s">
        <v>159</v>
      </c>
      <c r="AP522" t="s">
        <v>83</v>
      </c>
      <c r="AQ522">
        <v>2018</v>
      </c>
      <c r="AR522">
        <v>73268</v>
      </c>
      <c r="AS522">
        <v>5147933</v>
      </c>
      <c r="AT522">
        <v>196</v>
      </c>
      <c r="AU522" t="s">
        <v>84</v>
      </c>
      <c r="AV522">
        <v>562</v>
      </c>
      <c r="AW522" t="s">
        <v>85</v>
      </c>
      <c r="AX522" t="s">
        <v>86</v>
      </c>
      <c r="AY522">
        <v>562</v>
      </c>
      <c r="AZ522" t="s">
        <v>6473</v>
      </c>
      <c r="BA522" t="s">
        <v>88</v>
      </c>
      <c r="BC522" t="s">
        <v>366</v>
      </c>
      <c r="BD522">
        <v>3</v>
      </c>
    </row>
    <row r="523" spans="1:57" hidden="1" x14ac:dyDescent="0.2">
      <c r="A523" t="s">
        <v>6474</v>
      </c>
      <c r="B523" t="s">
        <v>6475</v>
      </c>
      <c r="C523" t="s">
        <v>349</v>
      </c>
      <c r="D523" t="s">
        <v>6476</v>
      </c>
      <c r="E523" t="s">
        <v>6476</v>
      </c>
      <c r="G523" t="s">
        <v>56</v>
      </c>
      <c r="H523" t="s">
        <v>57</v>
      </c>
      <c r="I523" t="s">
        <v>58</v>
      </c>
      <c r="J523" t="s">
        <v>351</v>
      </c>
      <c r="K523" t="s">
        <v>352</v>
      </c>
      <c r="L523" t="s">
        <v>352</v>
      </c>
      <c r="M523" t="s">
        <v>7165</v>
      </c>
      <c r="N523" t="s">
        <v>7172</v>
      </c>
      <c r="O523" s="1" t="s">
        <v>353</v>
      </c>
      <c r="P523" t="s">
        <v>354</v>
      </c>
      <c r="Q523" s="1" t="s">
        <v>144</v>
      </c>
      <c r="R523" s="1" t="s">
        <v>355</v>
      </c>
      <c r="S523" s="1" t="s">
        <v>356</v>
      </c>
      <c r="T523" s="1">
        <v>155</v>
      </c>
      <c r="U523" s="1">
        <v>1607</v>
      </c>
      <c r="V523" s="1" t="s">
        <v>169</v>
      </c>
      <c r="W523" s="1">
        <v>11774050</v>
      </c>
      <c r="X523" t="s">
        <v>6477</v>
      </c>
      <c r="Y523" t="s">
        <v>6478</v>
      </c>
      <c r="AA523" t="s">
        <v>68</v>
      </c>
      <c r="AB523" t="s">
        <v>6479</v>
      </c>
      <c r="AC523" t="s">
        <v>6480</v>
      </c>
      <c r="AD523" t="s">
        <v>6481</v>
      </c>
      <c r="AE523" t="s">
        <v>3371</v>
      </c>
      <c r="AF523" t="s">
        <v>73</v>
      </c>
      <c r="AG523" t="s">
        <v>6482</v>
      </c>
      <c r="AH523" t="s">
        <v>75</v>
      </c>
      <c r="AI523" t="s">
        <v>76</v>
      </c>
      <c r="AJ523" t="s">
        <v>77</v>
      </c>
      <c r="AK523" t="s">
        <v>6472</v>
      </c>
      <c r="AL523" t="s">
        <v>364</v>
      </c>
      <c r="AM523" t="s">
        <v>80</v>
      </c>
      <c r="AN523" t="s">
        <v>158</v>
      </c>
      <c r="AO523" t="s">
        <v>159</v>
      </c>
      <c r="AP523" t="s">
        <v>83</v>
      </c>
      <c r="AQ523">
        <v>2018</v>
      </c>
      <c r="AR523">
        <v>136896</v>
      </c>
      <c r="AS523">
        <v>5192892</v>
      </c>
      <c r="AT523">
        <v>132</v>
      </c>
      <c r="AU523" t="s">
        <v>84</v>
      </c>
      <c r="AV523">
        <v>562</v>
      </c>
      <c r="AW523" t="s">
        <v>85</v>
      </c>
      <c r="AX523" t="s">
        <v>86</v>
      </c>
      <c r="AY523">
        <v>562</v>
      </c>
      <c r="AZ523" t="s">
        <v>6483</v>
      </c>
      <c r="BA523" t="s">
        <v>88</v>
      </c>
      <c r="BC523" t="s">
        <v>366</v>
      </c>
      <c r="BD523">
        <v>0</v>
      </c>
    </row>
    <row r="524" spans="1:57" hidden="1" x14ac:dyDescent="0.2">
      <c r="A524" t="s">
        <v>6484</v>
      </c>
      <c r="B524" t="s">
        <v>6485</v>
      </c>
      <c r="C524" t="s">
        <v>6486</v>
      </c>
      <c r="D524" t="s">
        <v>6487</v>
      </c>
      <c r="E524" t="s">
        <v>6487</v>
      </c>
      <c r="G524" t="s">
        <v>56</v>
      </c>
      <c r="H524" t="s">
        <v>57</v>
      </c>
      <c r="I524" t="s">
        <v>93</v>
      </c>
      <c r="J524">
        <v>0</v>
      </c>
      <c r="K524" t="s">
        <v>406</v>
      </c>
      <c r="L524" t="s">
        <v>6488</v>
      </c>
      <c r="M524" t="s">
        <v>7165</v>
      </c>
      <c r="N524" t="s">
        <v>7172</v>
      </c>
      <c r="O524" s="1" t="s">
        <v>3635</v>
      </c>
      <c r="P524" t="s">
        <v>6304</v>
      </c>
      <c r="Q524" s="1" t="s">
        <v>234</v>
      </c>
      <c r="R524" s="1" t="s">
        <v>167</v>
      </c>
      <c r="S524" s="1" t="s">
        <v>483</v>
      </c>
      <c r="T524" s="1">
        <v>447</v>
      </c>
      <c r="U524" s="1">
        <v>30622</v>
      </c>
      <c r="V524" s="1" t="s">
        <v>3196</v>
      </c>
      <c r="W524" s="1" t="s">
        <v>6489</v>
      </c>
      <c r="X524" t="s">
        <v>6490</v>
      </c>
      <c r="Y524" t="s">
        <v>6491</v>
      </c>
      <c r="AA524" t="s">
        <v>68</v>
      </c>
      <c r="AB524" t="s">
        <v>6492</v>
      </c>
      <c r="AC524" t="s">
        <v>6493</v>
      </c>
      <c r="AD524" t="s">
        <v>6494</v>
      </c>
      <c r="AE524" t="s">
        <v>3454</v>
      </c>
      <c r="AF524" t="s">
        <v>73</v>
      </c>
      <c r="AG524" t="s">
        <v>6495</v>
      </c>
      <c r="AH524" t="s">
        <v>75</v>
      </c>
      <c r="AI524" t="s">
        <v>76</v>
      </c>
      <c r="AJ524" t="s">
        <v>77</v>
      </c>
      <c r="AK524" t="s">
        <v>6496</v>
      </c>
      <c r="AL524" t="s">
        <v>156</v>
      </c>
      <c r="AM524" t="s">
        <v>80</v>
      </c>
      <c r="AN524" t="s">
        <v>158</v>
      </c>
      <c r="AO524" t="s">
        <v>159</v>
      </c>
      <c r="AP524" t="s">
        <v>83</v>
      </c>
      <c r="AR524">
        <v>204901</v>
      </c>
      <c r="AS524">
        <v>5340437</v>
      </c>
      <c r="AT524">
        <v>111</v>
      </c>
      <c r="AU524" t="s">
        <v>84</v>
      </c>
      <c r="AV524">
        <v>562</v>
      </c>
      <c r="AW524" t="s">
        <v>85</v>
      </c>
      <c r="AX524" t="s">
        <v>86</v>
      </c>
      <c r="AY524">
        <v>562</v>
      </c>
      <c r="AZ524" t="s">
        <v>6497</v>
      </c>
      <c r="BA524" t="s">
        <v>88</v>
      </c>
    </row>
    <row r="525" spans="1:57" hidden="1" x14ac:dyDescent="0.2">
      <c r="A525" t="s">
        <v>6498</v>
      </c>
      <c r="B525" t="s">
        <v>6499</v>
      </c>
      <c r="C525" t="s">
        <v>6500</v>
      </c>
      <c r="D525" t="s">
        <v>6501</v>
      </c>
      <c r="E525" t="s">
        <v>6501</v>
      </c>
      <c r="G525" t="s">
        <v>56</v>
      </c>
      <c r="H525" t="s">
        <v>57</v>
      </c>
      <c r="I525" t="s">
        <v>93</v>
      </c>
      <c r="J525">
        <v>0</v>
      </c>
      <c r="K525" t="s">
        <v>447</v>
      </c>
      <c r="L525" t="s">
        <v>6348</v>
      </c>
      <c r="M525" t="s">
        <v>7165</v>
      </c>
      <c r="N525" t="s">
        <v>7172</v>
      </c>
      <c r="O525" s="1" t="s">
        <v>448</v>
      </c>
      <c r="P525" t="s">
        <v>449</v>
      </c>
      <c r="Q525" s="1" t="s">
        <v>126</v>
      </c>
      <c r="R525" s="1" t="s">
        <v>434</v>
      </c>
      <c r="S525" s="1" t="s">
        <v>451</v>
      </c>
      <c r="T525" s="1">
        <v>25</v>
      </c>
      <c r="U525" s="1">
        <v>30074</v>
      </c>
      <c r="V525" s="1" t="s">
        <v>3196</v>
      </c>
      <c r="W525" s="1">
        <v>11981919</v>
      </c>
      <c r="X525" t="s">
        <v>6502</v>
      </c>
      <c r="Y525" t="s">
        <v>6503</v>
      </c>
      <c r="AA525" t="s">
        <v>68</v>
      </c>
      <c r="AB525" t="s">
        <v>6504</v>
      </c>
      <c r="AC525" t="s">
        <v>6505</v>
      </c>
      <c r="AD525" t="s">
        <v>6506</v>
      </c>
      <c r="AE525" t="s">
        <v>3385</v>
      </c>
      <c r="AF525" t="s">
        <v>73</v>
      </c>
      <c r="AG525" t="s">
        <v>6507</v>
      </c>
      <c r="AH525" t="s">
        <v>75</v>
      </c>
      <c r="AI525" t="s">
        <v>76</v>
      </c>
      <c r="AJ525" t="s">
        <v>77</v>
      </c>
      <c r="AK525" t="s">
        <v>6508</v>
      </c>
      <c r="AL525" t="s">
        <v>156</v>
      </c>
      <c r="AM525" t="s">
        <v>80</v>
      </c>
      <c r="AN525" t="s">
        <v>158</v>
      </c>
      <c r="AO525" t="s">
        <v>159</v>
      </c>
      <c r="AP525" t="s">
        <v>83</v>
      </c>
      <c r="AR525">
        <v>133197</v>
      </c>
      <c r="AS525">
        <v>5571492</v>
      </c>
      <c r="AT525">
        <v>166</v>
      </c>
      <c r="AU525" t="s">
        <v>84</v>
      </c>
      <c r="AV525">
        <v>562</v>
      </c>
      <c r="AW525" t="s">
        <v>85</v>
      </c>
      <c r="AX525" t="s">
        <v>86</v>
      </c>
      <c r="AY525">
        <v>562</v>
      </c>
      <c r="AZ525" t="s">
        <v>6509</v>
      </c>
      <c r="BA525" t="s">
        <v>88</v>
      </c>
    </row>
    <row r="526" spans="1:57" hidden="1" x14ac:dyDescent="0.2">
      <c r="A526" t="s">
        <v>6510</v>
      </c>
      <c r="B526" t="s">
        <v>6511</v>
      </c>
      <c r="C526" t="s">
        <v>6512</v>
      </c>
      <c r="D526" t="s">
        <v>6513</v>
      </c>
      <c r="E526" t="s">
        <v>6513</v>
      </c>
      <c r="G526" t="s">
        <v>56</v>
      </c>
      <c r="H526" t="s">
        <v>57</v>
      </c>
      <c r="I526" t="s">
        <v>93</v>
      </c>
      <c r="J526">
        <v>0</v>
      </c>
      <c r="K526" t="s">
        <v>140</v>
      </c>
      <c r="L526" t="s">
        <v>5906</v>
      </c>
      <c r="M526" t="s">
        <v>7165</v>
      </c>
      <c r="N526" t="str">
        <f>M526</f>
        <v>Meat</v>
      </c>
      <c r="O526" s="1" t="s">
        <v>5461</v>
      </c>
      <c r="P526" t="s">
        <v>5879</v>
      </c>
      <c r="Q526" s="1" t="s">
        <v>166</v>
      </c>
      <c r="R526" s="1" t="s">
        <v>250</v>
      </c>
      <c r="S526" s="1" t="s">
        <v>5880</v>
      </c>
      <c r="T526" s="1">
        <v>647</v>
      </c>
      <c r="U526" s="1">
        <v>2187</v>
      </c>
      <c r="V526" s="1" t="s">
        <v>6514</v>
      </c>
      <c r="W526" s="1" t="s">
        <v>6515</v>
      </c>
      <c r="X526" t="s">
        <v>6516</v>
      </c>
      <c r="Y526" t="s">
        <v>6517</v>
      </c>
      <c r="AA526" t="s">
        <v>68</v>
      </c>
      <c r="AB526" t="s">
        <v>6518</v>
      </c>
      <c r="AC526" t="s">
        <v>6519</v>
      </c>
      <c r="AD526" t="s">
        <v>6520</v>
      </c>
      <c r="AE526" t="s">
        <v>4193</v>
      </c>
      <c r="AF526" t="s">
        <v>73</v>
      </c>
      <c r="AG526" t="s">
        <v>6521</v>
      </c>
      <c r="AH526" t="s">
        <v>6522</v>
      </c>
      <c r="AI526" t="s">
        <v>76</v>
      </c>
      <c r="AJ526" t="s">
        <v>77</v>
      </c>
      <c r="AK526" t="s">
        <v>6523</v>
      </c>
      <c r="AL526" t="s">
        <v>3511</v>
      </c>
      <c r="AM526" t="s">
        <v>6524</v>
      </c>
      <c r="AN526" t="s">
        <v>158</v>
      </c>
      <c r="AO526" t="s">
        <v>159</v>
      </c>
      <c r="AP526" t="s">
        <v>83</v>
      </c>
      <c r="AR526">
        <v>71651</v>
      </c>
      <c r="AS526">
        <v>5258122</v>
      </c>
      <c r="AT526">
        <v>165</v>
      </c>
      <c r="AU526" t="s">
        <v>84</v>
      </c>
      <c r="AV526">
        <v>562</v>
      </c>
      <c r="AW526" t="s">
        <v>85</v>
      </c>
      <c r="AX526" t="s">
        <v>86</v>
      </c>
      <c r="AY526">
        <v>562</v>
      </c>
      <c r="AZ526" t="s">
        <v>6525</v>
      </c>
      <c r="BA526" t="s">
        <v>88</v>
      </c>
      <c r="BC526" t="s">
        <v>6526</v>
      </c>
      <c r="BE526">
        <v>48</v>
      </c>
    </row>
    <row r="527" spans="1:57" hidden="1" x14ac:dyDescent="0.2">
      <c r="A527" t="s">
        <v>6527</v>
      </c>
      <c r="B527" t="s">
        <v>6528</v>
      </c>
      <c r="C527" t="s">
        <v>6529</v>
      </c>
      <c r="D527" t="s">
        <v>6530</v>
      </c>
      <c r="E527" t="s">
        <v>6530</v>
      </c>
      <c r="G527" t="s">
        <v>56</v>
      </c>
      <c r="H527" t="s">
        <v>57</v>
      </c>
      <c r="I527" t="s">
        <v>58</v>
      </c>
      <c r="J527" t="s">
        <v>3228</v>
      </c>
      <c r="K527" t="s">
        <v>406</v>
      </c>
      <c r="L527" t="s">
        <v>6488</v>
      </c>
      <c r="M527" t="s">
        <v>7165</v>
      </c>
      <c r="N527" t="s">
        <v>7172</v>
      </c>
      <c r="O527" s="1" t="s">
        <v>4502</v>
      </c>
      <c r="P527" t="s">
        <v>6531</v>
      </c>
      <c r="Q527" s="1" t="s">
        <v>3090</v>
      </c>
      <c r="R527" s="1" t="s">
        <v>434</v>
      </c>
      <c r="S527" s="1" t="s">
        <v>435</v>
      </c>
      <c r="T527" s="1">
        <v>10</v>
      </c>
      <c r="U527" s="1">
        <v>168642</v>
      </c>
      <c r="V527" s="1" t="s">
        <v>3265</v>
      </c>
      <c r="W527" s="1">
        <v>12269877</v>
      </c>
      <c r="X527" t="s">
        <v>6532</v>
      </c>
      <c r="Y527" t="s">
        <v>6533</v>
      </c>
      <c r="AA527" t="s">
        <v>68</v>
      </c>
      <c r="AB527" t="s">
        <v>6534</v>
      </c>
      <c r="AC527" t="s">
        <v>6535</v>
      </c>
      <c r="AD527" t="s">
        <v>6536</v>
      </c>
      <c r="AE527" t="s">
        <v>3746</v>
      </c>
      <c r="AF527" t="s">
        <v>73</v>
      </c>
      <c r="AG527" t="s">
        <v>6537</v>
      </c>
      <c r="AI527" t="s">
        <v>76</v>
      </c>
      <c r="AJ527" t="s">
        <v>77</v>
      </c>
      <c r="AK527" t="s">
        <v>6538</v>
      </c>
      <c r="AL527" t="s">
        <v>79</v>
      </c>
      <c r="AM527" t="s">
        <v>531</v>
      </c>
      <c r="AN527" t="s">
        <v>158</v>
      </c>
      <c r="AO527" t="s">
        <v>159</v>
      </c>
      <c r="AP527" t="s">
        <v>83</v>
      </c>
      <c r="AR527">
        <v>113060</v>
      </c>
      <c r="AS527">
        <v>5307235</v>
      </c>
      <c r="AT527">
        <v>173</v>
      </c>
      <c r="AU527" t="s">
        <v>84</v>
      </c>
      <c r="AV527">
        <v>562</v>
      </c>
      <c r="AW527" t="s">
        <v>85</v>
      </c>
      <c r="AX527" t="s">
        <v>86</v>
      </c>
      <c r="AY527">
        <v>562</v>
      </c>
      <c r="AZ527" t="s">
        <v>6539</v>
      </c>
      <c r="BA527" t="s">
        <v>88</v>
      </c>
    </row>
    <row r="528" spans="1:57" hidden="1" x14ac:dyDescent="0.2">
      <c r="A528" t="s">
        <v>6540</v>
      </c>
      <c r="B528" t="s">
        <v>6541</v>
      </c>
      <c r="C528" t="s">
        <v>6542</v>
      </c>
      <c r="D528" t="s">
        <v>6543</v>
      </c>
      <c r="E528" t="s">
        <v>6543</v>
      </c>
      <c r="G528" t="s">
        <v>56</v>
      </c>
      <c r="H528" t="s">
        <v>57</v>
      </c>
      <c r="I528" t="s">
        <v>58</v>
      </c>
      <c r="J528" t="s">
        <v>6544</v>
      </c>
      <c r="K528" t="s">
        <v>1094</v>
      </c>
      <c r="L528" t="s">
        <v>1094</v>
      </c>
      <c r="M528" t="s">
        <v>7165</v>
      </c>
      <c r="N528" t="str">
        <f t="shared" ref="N528:N549" si="8">M528</f>
        <v>Meat</v>
      </c>
      <c r="O528" s="1" t="s">
        <v>4838</v>
      </c>
      <c r="P528" t="s">
        <v>604</v>
      </c>
      <c r="Q528" s="1" t="s">
        <v>875</v>
      </c>
      <c r="R528" s="1" t="s">
        <v>270</v>
      </c>
      <c r="S528" s="1" t="s">
        <v>701</v>
      </c>
      <c r="T528" s="1">
        <v>2966</v>
      </c>
      <c r="U528" s="1">
        <v>47909</v>
      </c>
      <c r="V528" s="1" t="s">
        <v>169</v>
      </c>
      <c r="W528" s="1">
        <v>8758949</v>
      </c>
      <c r="X528" t="s">
        <v>6545</v>
      </c>
      <c r="Y528" t="s">
        <v>6546</v>
      </c>
      <c r="AA528" t="s">
        <v>68</v>
      </c>
      <c r="AB528" t="s">
        <v>6547</v>
      </c>
      <c r="AC528" t="s">
        <v>6548</v>
      </c>
      <c r="AD528" t="s">
        <v>6549</v>
      </c>
      <c r="AE528" t="s">
        <v>2479</v>
      </c>
      <c r="AF528" t="s">
        <v>73</v>
      </c>
      <c r="AG528" t="s">
        <v>6550</v>
      </c>
      <c r="AH528" t="s">
        <v>75</v>
      </c>
      <c r="AI528" t="s">
        <v>76</v>
      </c>
      <c r="AJ528" t="s">
        <v>77</v>
      </c>
      <c r="AK528" t="s">
        <v>1265</v>
      </c>
      <c r="AL528" t="s">
        <v>615</v>
      </c>
      <c r="AM528" t="s">
        <v>616</v>
      </c>
      <c r="AN528" t="s">
        <v>81</v>
      </c>
      <c r="AO528" t="s">
        <v>82</v>
      </c>
      <c r="AP528" t="s">
        <v>83</v>
      </c>
      <c r="AQ528">
        <v>2016</v>
      </c>
      <c r="AR528">
        <v>189301</v>
      </c>
      <c r="AS528">
        <v>5356832</v>
      </c>
      <c r="AT528">
        <v>148</v>
      </c>
      <c r="AU528" t="s">
        <v>84</v>
      </c>
      <c r="AV528">
        <v>562</v>
      </c>
      <c r="AW528" t="s">
        <v>85</v>
      </c>
      <c r="AX528" t="s">
        <v>86</v>
      </c>
      <c r="AY528">
        <v>562</v>
      </c>
      <c r="AZ528" t="s">
        <v>6551</v>
      </c>
      <c r="BA528" t="s">
        <v>88</v>
      </c>
    </row>
    <row r="529" spans="1:57" hidden="1" x14ac:dyDescent="0.2">
      <c r="A529" t="s">
        <v>6552</v>
      </c>
      <c r="B529" t="s">
        <v>6553</v>
      </c>
      <c r="C529" t="s">
        <v>6554</v>
      </c>
      <c r="D529" t="s">
        <v>6555</v>
      </c>
      <c r="E529" t="s">
        <v>6555</v>
      </c>
      <c r="G529" t="s">
        <v>56</v>
      </c>
      <c r="H529" t="s">
        <v>57</v>
      </c>
      <c r="I529" t="s">
        <v>58</v>
      </c>
      <c r="J529" t="s">
        <v>59</v>
      </c>
      <c r="K529" t="s">
        <v>60</v>
      </c>
      <c r="L529" t="s">
        <v>60</v>
      </c>
      <c r="M529" t="s">
        <v>60</v>
      </c>
      <c r="N529" t="str">
        <f t="shared" si="8"/>
        <v>Flour</v>
      </c>
      <c r="O529" s="1" t="s">
        <v>61</v>
      </c>
      <c r="P529" t="s">
        <v>62</v>
      </c>
      <c r="Q529" s="1" t="s">
        <v>63</v>
      </c>
      <c r="R529" s="1" t="s">
        <v>64</v>
      </c>
      <c r="S529" s="1" t="s">
        <v>65</v>
      </c>
      <c r="T529" s="1">
        <v>655</v>
      </c>
      <c r="U529" s="1">
        <v>1692</v>
      </c>
      <c r="V529" s="1" t="s">
        <v>169</v>
      </c>
      <c r="W529" s="1" t="s">
        <v>6556</v>
      </c>
      <c r="X529" t="s">
        <v>6557</v>
      </c>
      <c r="Y529" t="s">
        <v>6558</v>
      </c>
      <c r="AA529" t="s">
        <v>68</v>
      </c>
      <c r="AB529" t="s">
        <v>6559</v>
      </c>
      <c r="AC529" t="s">
        <v>6560</v>
      </c>
      <c r="AD529" t="s">
        <v>6561</v>
      </c>
      <c r="AE529" t="s">
        <v>72</v>
      </c>
      <c r="AF529" t="s">
        <v>73</v>
      </c>
      <c r="AG529" t="s">
        <v>6562</v>
      </c>
      <c r="AH529" t="s">
        <v>75</v>
      </c>
      <c r="AI529" t="s">
        <v>76</v>
      </c>
      <c r="AJ529" t="s">
        <v>77</v>
      </c>
      <c r="AK529" t="s">
        <v>6563</v>
      </c>
      <c r="AL529" t="s">
        <v>79</v>
      </c>
      <c r="AM529" t="s">
        <v>80</v>
      </c>
      <c r="AN529" t="s">
        <v>81</v>
      </c>
      <c r="AO529" t="s">
        <v>82</v>
      </c>
      <c r="AP529" t="s">
        <v>83</v>
      </c>
      <c r="AQ529">
        <v>2017</v>
      </c>
      <c r="AR529">
        <v>70819</v>
      </c>
      <c r="AS529">
        <v>5205597</v>
      </c>
      <c r="AT529">
        <v>259</v>
      </c>
      <c r="AU529" t="s">
        <v>84</v>
      </c>
      <c r="AV529">
        <v>562</v>
      </c>
      <c r="AW529" t="s">
        <v>85</v>
      </c>
      <c r="AX529" t="s">
        <v>86</v>
      </c>
      <c r="AY529">
        <v>562</v>
      </c>
      <c r="AZ529" t="s">
        <v>6564</v>
      </c>
      <c r="BA529" t="s">
        <v>88</v>
      </c>
      <c r="BC529" t="s">
        <v>89</v>
      </c>
      <c r="BD529">
        <v>0</v>
      </c>
      <c r="BE529">
        <v>0</v>
      </c>
    </row>
    <row r="530" spans="1:57" hidden="1" x14ac:dyDescent="0.2">
      <c r="A530" t="s">
        <v>6565</v>
      </c>
      <c r="B530" t="s">
        <v>6566</v>
      </c>
      <c r="C530" t="s">
        <v>6554</v>
      </c>
      <c r="D530" t="s">
        <v>6567</v>
      </c>
      <c r="E530" t="s">
        <v>6567</v>
      </c>
      <c r="G530" t="s">
        <v>56</v>
      </c>
      <c r="H530" t="s">
        <v>57</v>
      </c>
      <c r="I530" t="s">
        <v>93</v>
      </c>
      <c r="J530">
        <v>0</v>
      </c>
      <c r="K530" t="s">
        <v>60</v>
      </c>
      <c r="L530" t="s">
        <v>60</v>
      </c>
      <c r="M530" t="s">
        <v>60</v>
      </c>
      <c r="N530" t="str">
        <f t="shared" si="8"/>
        <v>Flour</v>
      </c>
      <c r="O530" s="1" t="s">
        <v>95</v>
      </c>
      <c r="P530" t="s">
        <v>96</v>
      </c>
      <c r="Q530" s="1" t="s">
        <v>97</v>
      </c>
      <c r="R530" s="1" t="s">
        <v>64</v>
      </c>
      <c r="S530" s="1" t="s">
        <v>98</v>
      </c>
      <c r="T530" s="1">
        <v>4496</v>
      </c>
      <c r="U530" s="1">
        <v>33427</v>
      </c>
      <c r="V530" s="1" t="s">
        <v>169</v>
      </c>
      <c r="W530" s="1" t="s">
        <v>6568</v>
      </c>
      <c r="X530" t="s">
        <v>6569</v>
      </c>
      <c r="Y530" t="s">
        <v>6570</v>
      </c>
      <c r="AA530" t="s">
        <v>68</v>
      </c>
      <c r="AB530" t="s">
        <v>6571</v>
      </c>
      <c r="AC530" t="s">
        <v>6572</v>
      </c>
      <c r="AD530" t="s">
        <v>6573</v>
      </c>
      <c r="AE530" t="s">
        <v>6574</v>
      </c>
      <c r="AF530" t="s">
        <v>73</v>
      </c>
      <c r="AG530" t="s">
        <v>6575</v>
      </c>
      <c r="AH530" t="s">
        <v>75</v>
      </c>
      <c r="AI530" t="s">
        <v>76</v>
      </c>
      <c r="AJ530" t="s">
        <v>77</v>
      </c>
      <c r="AK530" t="s">
        <v>106</v>
      </c>
      <c r="AL530" t="s">
        <v>107</v>
      </c>
      <c r="AM530" t="s">
        <v>80</v>
      </c>
      <c r="AN530" t="s">
        <v>81</v>
      </c>
      <c r="AO530" t="s">
        <v>82</v>
      </c>
      <c r="AP530" t="s">
        <v>83</v>
      </c>
      <c r="AQ530">
        <v>2017</v>
      </c>
      <c r="AR530">
        <v>193046</v>
      </c>
      <c r="AS530">
        <v>5037890</v>
      </c>
      <c r="AT530">
        <v>82</v>
      </c>
      <c r="AU530" t="s">
        <v>84</v>
      </c>
      <c r="AV530">
        <v>562</v>
      </c>
      <c r="AW530" t="s">
        <v>85</v>
      </c>
      <c r="AX530" t="s">
        <v>86</v>
      </c>
      <c r="AY530">
        <v>562</v>
      </c>
      <c r="AZ530" t="s">
        <v>6576</v>
      </c>
      <c r="BA530" t="s">
        <v>88</v>
      </c>
      <c r="BC530" t="s">
        <v>109</v>
      </c>
      <c r="BD530">
        <v>1</v>
      </c>
      <c r="BE530">
        <v>30</v>
      </c>
    </row>
    <row r="531" spans="1:57" hidden="1" x14ac:dyDescent="0.2">
      <c r="A531" t="s">
        <v>6577</v>
      </c>
      <c r="B531" t="s">
        <v>6578</v>
      </c>
      <c r="C531" t="s">
        <v>6579</v>
      </c>
      <c r="D531" t="s">
        <v>6580</v>
      </c>
      <c r="E531" t="s">
        <v>6580</v>
      </c>
      <c r="G531" t="s">
        <v>56</v>
      </c>
      <c r="H531" t="s">
        <v>57</v>
      </c>
      <c r="I531" t="s">
        <v>58</v>
      </c>
      <c r="J531" t="s">
        <v>59</v>
      </c>
      <c r="K531" t="s">
        <v>60</v>
      </c>
      <c r="L531" t="s">
        <v>60</v>
      </c>
      <c r="M531" t="s">
        <v>60</v>
      </c>
      <c r="N531" t="str">
        <f t="shared" si="8"/>
        <v>Flour</v>
      </c>
      <c r="O531" s="1" t="s">
        <v>61</v>
      </c>
      <c r="P531" t="s">
        <v>169</v>
      </c>
      <c r="Q531" s="1" t="s">
        <v>4549</v>
      </c>
      <c r="R531" s="1" t="s">
        <v>64</v>
      </c>
      <c r="S531" s="1" t="s">
        <v>65</v>
      </c>
      <c r="T531" s="1">
        <v>655</v>
      </c>
      <c r="U531" s="1">
        <v>1692</v>
      </c>
      <c r="V531" s="1" t="s">
        <v>169</v>
      </c>
      <c r="W531" s="1">
        <v>9360778</v>
      </c>
      <c r="X531" t="s">
        <v>6581</v>
      </c>
      <c r="Y531" t="s">
        <v>6582</v>
      </c>
      <c r="AA531" t="s">
        <v>68</v>
      </c>
      <c r="AB531" t="s">
        <v>6583</v>
      </c>
      <c r="AC531" t="s">
        <v>6584</v>
      </c>
      <c r="AD531" t="s">
        <v>6585</v>
      </c>
      <c r="AE531" t="s">
        <v>104</v>
      </c>
      <c r="AF531" t="s">
        <v>73</v>
      </c>
      <c r="AG531" t="s">
        <v>6586</v>
      </c>
      <c r="AH531" t="s">
        <v>75</v>
      </c>
      <c r="AI531" t="s">
        <v>76</v>
      </c>
      <c r="AJ531" t="s">
        <v>77</v>
      </c>
      <c r="AK531" t="s">
        <v>6587</v>
      </c>
      <c r="AL531" t="s">
        <v>79</v>
      </c>
      <c r="AM531" t="s">
        <v>80</v>
      </c>
      <c r="AN531" t="s">
        <v>81</v>
      </c>
      <c r="AO531" t="s">
        <v>82</v>
      </c>
      <c r="AP531" t="s">
        <v>83</v>
      </c>
      <c r="AQ531">
        <v>2017</v>
      </c>
      <c r="AR531">
        <v>110005</v>
      </c>
      <c r="AS531">
        <v>5216493</v>
      </c>
      <c r="AT531">
        <v>253</v>
      </c>
      <c r="AU531" t="s">
        <v>84</v>
      </c>
      <c r="AV531">
        <v>562</v>
      </c>
      <c r="AW531" t="s">
        <v>85</v>
      </c>
      <c r="AX531" t="s">
        <v>86</v>
      </c>
      <c r="AY531">
        <v>562</v>
      </c>
      <c r="AZ531" t="s">
        <v>6588</v>
      </c>
      <c r="BA531" t="s">
        <v>88</v>
      </c>
      <c r="BC531" t="s">
        <v>89</v>
      </c>
      <c r="BD531">
        <v>1</v>
      </c>
      <c r="BE531">
        <v>0</v>
      </c>
    </row>
    <row r="532" spans="1:57" hidden="1" x14ac:dyDescent="0.2">
      <c r="A532" t="s">
        <v>6589</v>
      </c>
      <c r="B532" t="s">
        <v>6590</v>
      </c>
      <c r="C532" t="s">
        <v>6591</v>
      </c>
      <c r="D532" t="s">
        <v>6592</v>
      </c>
      <c r="E532" t="s">
        <v>6592</v>
      </c>
      <c r="G532" t="s">
        <v>56</v>
      </c>
      <c r="H532" t="s">
        <v>57</v>
      </c>
      <c r="I532" t="s">
        <v>58</v>
      </c>
      <c r="J532" t="s">
        <v>59</v>
      </c>
      <c r="K532" t="s">
        <v>94</v>
      </c>
      <c r="L532" t="s">
        <v>94</v>
      </c>
      <c r="M532" t="s">
        <v>60</v>
      </c>
      <c r="N532" t="str">
        <f t="shared" si="8"/>
        <v>Flour</v>
      </c>
      <c r="O532" s="1" t="s">
        <v>61</v>
      </c>
      <c r="P532" t="s">
        <v>62</v>
      </c>
      <c r="Q532" s="1" t="s">
        <v>63</v>
      </c>
      <c r="R532" s="1" t="s">
        <v>64</v>
      </c>
      <c r="S532" s="1" t="s">
        <v>65</v>
      </c>
      <c r="T532" s="1">
        <v>655</v>
      </c>
      <c r="U532" s="1">
        <v>1692</v>
      </c>
      <c r="V532" s="1" t="s">
        <v>169</v>
      </c>
      <c r="W532" s="1">
        <v>9360778</v>
      </c>
      <c r="X532" t="s">
        <v>6593</v>
      </c>
      <c r="Y532" t="s">
        <v>6594</v>
      </c>
      <c r="AA532" t="s">
        <v>68</v>
      </c>
      <c r="AB532" t="s">
        <v>6595</v>
      </c>
      <c r="AC532" t="s">
        <v>6596</v>
      </c>
      <c r="AD532" t="s">
        <v>6597</v>
      </c>
      <c r="AE532" t="s">
        <v>6598</v>
      </c>
      <c r="AF532" t="s">
        <v>73</v>
      </c>
      <c r="AG532" t="s">
        <v>6599</v>
      </c>
      <c r="AH532" t="s">
        <v>75</v>
      </c>
      <c r="AI532" t="s">
        <v>76</v>
      </c>
      <c r="AJ532" t="s">
        <v>77</v>
      </c>
      <c r="AK532" t="s">
        <v>6600</v>
      </c>
      <c r="AL532" t="s">
        <v>79</v>
      </c>
      <c r="AM532" t="s">
        <v>80</v>
      </c>
      <c r="AN532" t="s">
        <v>81</v>
      </c>
      <c r="AO532" t="s">
        <v>82</v>
      </c>
      <c r="AP532" t="s">
        <v>83</v>
      </c>
      <c r="AQ532">
        <v>2017</v>
      </c>
      <c r="AR532">
        <v>94694</v>
      </c>
      <c r="AS532">
        <v>5215130</v>
      </c>
      <c r="AT532">
        <v>266</v>
      </c>
      <c r="AU532" t="s">
        <v>84</v>
      </c>
      <c r="AV532">
        <v>562</v>
      </c>
      <c r="AW532" t="s">
        <v>85</v>
      </c>
      <c r="AX532" t="s">
        <v>86</v>
      </c>
      <c r="AY532">
        <v>562</v>
      </c>
      <c r="AZ532" t="s">
        <v>6601</v>
      </c>
      <c r="BA532" t="s">
        <v>88</v>
      </c>
      <c r="BC532" t="s">
        <v>89</v>
      </c>
      <c r="BD532">
        <v>0</v>
      </c>
      <c r="BE532">
        <v>0</v>
      </c>
    </row>
    <row r="533" spans="1:57" hidden="1" x14ac:dyDescent="0.2">
      <c r="A533" t="s">
        <v>6602</v>
      </c>
      <c r="B533" t="s">
        <v>6603</v>
      </c>
      <c r="C533" t="s">
        <v>6604</v>
      </c>
      <c r="D533" t="s">
        <v>6605</v>
      </c>
      <c r="E533" t="s">
        <v>6605</v>
      </c>
      <c r="G533" t="s">
        <v>56</v>
      </c>
      <c r="H533" t="s">
        <v>57</v>
      </c>
      <c r="I533" t="s">
        <v>93</v>
      </c>
      <c r="J533">
        <v>0</v>
      </c>
      <c r="K533" t="s">
        <v>94</v>
      </c>
      <c r="L533" t="s">
        <v>94</v>
      </c>
      <c r="M533" t="s">
        <v>60</v>
      </c>
      <c r="N533" t="str">
        <f t="shared" si="8"/>
        <v>Flour</v>
      </c>
      <c r="O533" s="1" t="s">
        <v>95</v>
      </c>
      <c r="P533" t="s">
        <v>198</v>
      </c>
      <c r="Q533" s="1" t="s">
        <v>97</v>
      </c>
      <c r="R533" s="1" t="s">
        <v>64</v>
      </c>
      <c r="S533" s="1" t="s">
        <v>98</v>
      </c>
      <c r="T533" s="1">
        <v>4496</v>
      </c>
      <c r="U533" s="1">
        <v>33427</v>
      </c>
      <c r="V533" s="1" t="s">
        <v>169</v>
      </c>
      <c r="W533" s="1">
        <v>9360778</v>
      </c>
      <c r="X533" t="s">
        <v>6606</v>
      </c>
      <c r="Y533" t="s">
        <v>6607</v>
      </c>
      <c r="AA533" t="s">
        <v>68</v>
      </c>
      <c r="AB533" t="s">
        <v>6608</v>
      </c>
      <c r="AC533" t="s">
        <v>6609</v>
      </c>
      <c r="AD533" t="s">
        <v>6610</v>
      </c>
      <c r="AE533" t="s">
        <v>104</v>
      </c>
      <c r="AF533" t="s">
        <v>73</v>
      </c>
      <c r="AG533" t="s">
        <v>6611</v>
      </c>
      <c r="AH533" t="s">
        <v>75</v>
      </c>
      <c r="AI533" t="s">
        <v>76</v>
      </c>
      <c r="AJ533" t="s">
        <v>77</v>
      </c>
      <c r="AK533" t="s">
        <v>106</v>
      </c>
      <c r="AL533" t="s">
        <v>107</v>
      </c>
      <c r="AM533" t="s">
        <v>80</v>
      </c>
      <c r="AN533" t="s">
        <v>81</v>
      </c>
      <c r="AO533" t="s">
        <v>82</v>
      </c>
      <c r="AP533" t="s">
        <v>83</v>
      </c>
      <c r="AQ533">
        <v>2017</v>
      </c>
      <c r="AR533">
        <v>111700</v>
      </c>
      <c r="AS533">
        <v>4903261</v>
      </c>
      <c r="AT533">
        <v>95</v>
      </c>
      <c r="AU533" t="s">
        <v>84</v>
      </c>
      <c r="AV533">
        <v>562</v>
      </c>
      <c r="AW533" t="s">
        <v>85</v>
      </c>
      <c r="AX533" t="s">
        <v>86</v>
      </c>
      <c r="AY533">
        <v>562</v>
      </c>
      <c r="AZ533" t="s">
        <v>6612</v>
      </c>
      <c r="BA533" t="s">
        <v>88</v>
      </c>
      <c r="BC533" t="s">
        <v>109</v>
      </c>
      <c r="BD533">
        <v>4</v>
      </c>
      <c r="BE533">
        <v>17</v>
      </c>
    </row>
    <row r="534" spans="1:57" hidden="1" x14ac:dyDescent="0.2">
      <c r="A534" t="s">
        <v>6613</v>
      </c>
      <c r="B534" t="s">
        <v>6614</v>
      </c>
      <c r="C534" t="s">
        <v>6615</v>
      </c>
      <c r="D534" t="s">
        <v>6616</v>
      </c>
      <c r="E534" t="s">
        <v>6616</v>
      </c>
      <c r="G534" t="s">
        <v>56</v>
      </c>
      <c r="H534" t="s">
        <v>57</v>
      </c>
      <c r="I534" t="s">
        <v>58</v>
      </c>
      <c r="J534" t="s">
        <v>59</v>
      </c>
      <c r="K534" t="s">
        <v>94</v>
      </c>
      <c r="L534" t="s">
        <v>94</v>
      </c>
      <c r="M534" t="s">
        <v>60</v>
      </c>
      <c r="N534" t="str">
        <f t="shared" si="8"/>
        <v>Flour</v>
      </c>
      <c r="O534" s="1" t="s">
        <v>61</v>
      </c>
      <c r="P534" t="s">
        <v>6617</v>
      </c>
      <c r="Q534" s="1" t="s">
        <v>63</v>
      </c>
      <c r="R534" s="1" t="s">
        <v>64</v>
      </c>
      <c r="S534" s="1" t="s">
        <v>65</v>
      </c>
      <c r="T534" s="1">
        <v>655</v>
      </c>
      <c r="U534" s="1">
        <v>1692</v>
      </c>
      <c r="V534" s="1" t="s">
        <v>169</v>
      </c>
      <c r="W534" s="1">
        <v>9419076</v>
      </c>
      <c r="X534" t="s">
        <v>6618</v>
      </c>
      <c r="Y534" t="s">
        <v>6619</v>
      </c>
      <c r="AA534" t="s">
        <v>68</v>
      </c>
      <c r="AB534" t="s">
        <v>6620</v>
      </c>
      <c r="AC534" t="s">
        <v>6621</v>
      </c>
      <c r="AD534" t="s">
        <v>6622</v>
      </c>
      <c r="AE534" t="s">
        <v>6598</v>
      </c>
      <c r="AF534" t="s">
        <v>73</v>
      </c>
      <c r="AG534" t="s">
        <v>6623</v>
      </c>
      <c r="AH534" t="s">
        <v>75</v>
      </c>
      <c r="AI534" t="s">
        <v>76</v>
      </c>
      <c r="AJ534" t="s">
        <v>77</v>
      </c>
      <c r="AK534" t="s">
        <v>78</v>
      </c>
      <c r="AL534" t="s">
        <v>79</v>
      </c>
      <c r="AM534" t="s">
        <v>80</v>
      </c>
      <c r="AN534" t="s">
        <v>81</v>
      </c>
      <c r="AO534" t="s">
        <v>82</v>
      </c>
      <c r="AP534" t="s">
        <v>83</v>
      </c>
      <c r="AQ534">
        <v>2017</v>
      </c>
      <c r="AR534">
        <v>134602</v>
      </c>
      <c r="AS534">
        <v>5240638</v>
      </c>
      <c r="AT534">
        <v>201</v>
      </c>
      <c r="AU534" t="s">
        <v>84</v>
      </c>
      <c r="AV534">
        <v>562</v>
      </c>
      <c r="AW534" t="s">
        <v>85</v>
      </c>
      <c r="AX534" t="s">
        <v>86</v>
      </c>
      <c r="AY534">
        <v>562</v>
      </c>
      <c r="AZ534" t="s">
        <v>6624</v>
      </c>
      <c r="BA534" t="s">
        <v>88</v>
      </c>
      <c r="BC534" t="s">
        <v>89</v>
      </c>
      <c r="BD534">
        <v>0</v>
      </c>
      <c r="BE534">
        <v>0</v>
      </c>
    </row>
    <row r="535" spans="1:57" hidden="1" x14ac:dyDescent="0.2">
      <c r="A535" t="s">
        <v>6625</v>
      </c>
      <c r="B535" t="s">
        <v>6626</v>
      </c>
      <c r="C535" t="s">
        <v>6627</v>
      </c>
      <c r="D535" t="s">
        <v>6628</v>
      </c>
      <c r="E535" t="s">
        <v>6628</v>
      </c>
      <c r="G535" t="s">
        <v>56</v>
      </c>
      <c r="H535" t="s">
        <v>57</v>
      </c>
      <c r="I535" t="s">
        <v>93</v>
      </c>
      <c r="J535">
        <v>0</v>
      </c>
      <c r="K535" t="s">
        <v>6629</v>
      </c>
      <c r="L535" t="s">
        <v>6629</v>
      </c>
      <c r="M535" t="s">
        <v>60</v>
      </c>
      <c r="N535" t="str">
        <f t="shared" si="8"/>
        <v>Flour</v>
      </c>
      <c r="O535" s="1" t="s">
        <v>95</v>
      </c>
      <c r="P535" t="s">
        <v>198</v>
      </c>
      <c r="Q535" s="1" t="s">
        <v>97</v>
      </c>
      <c r="R535" s="1" t="s">
        <v>64</v>
      </c>
      <c r="S535" s="1" t="s">
        <v>98</v>
      </c>
      <c r="T535" s="1">
        <v>4496</v>
      </c>
      <c r="U535" s="1">
        <v>33427</v>
      </c>
      <c r="V535" s="1" t="s">
        <v>169</v>
      </c>
      <c r="W535" s="1">
        <v>9360778</v>
      </c>
      <c r="X535" t="s">
        <v>6630</v>
      </c>
      <c r="Y535" t="s">
        <v>6631</v>
      </c>
      <c r="AA535" t="s">
        <v>68</v>
      </c>
      <c r="AB535" t="s">
        <v>6632</v>
      </c>
      <c r="AC535" t="s">
        <v>6633</v>
      </c>
      <c r="AD535" t="s">
        <v>6634</v>
      </c>
      <c r="AE535" t="s">
        <v>118</v>
      </c>
      <c r="AF535" t="s">
        <v>73</v>
      </c>
      <c r="AG535" t="s">
        <v>6635</v>
      </c>
      <c r="AH535" t="s">
        <v>75</v>
      </c>
      <c r="AI535" t="s">
        <v>76</v>
      </c>
      <c r="AJ535" t="s">
        <v>77</v>
      </c>
      <c r="AK535" t="s">
        <v>106</v>
      </c>
      <c r="AL535" t="s">
        <v>107</v>
      </c>
      <c r="AM535" t="s">
        <v>80</v>
      </c>
      <c r="AN535" t="s">
        <v>81</v>
      </c>
      <c r="AO535" t="s">
        <v>82</v>
      </c>
      <c r="AP535" t="s">
        <v>83</v>
      </c>
      <c r="AQ535">
        <v>2017</v>
      </c>
      <c r="AR535">
        <v>138330</v>
      </c>
      <c r="AS535">
        <v>4872595</v>
      </c>
      <c r="AT535">
        <v>83</v>
      </c>
      <c r="AU535" t="s">
        <v>84</v>
      </c>
      <c r="AV535">
        <v>562</v>
      </c>
      <c r="AW535" t="s">
        <v>85</v>
      </c>
      <c r="AX535" t="s">
        <v>86</v>
      </c>
      <c r="AY535">
        <v>562</v>
      </c>
      <c r="AZ535" t="s">
        <v>6636</v>
      </c>
      <c r="BA535" t="s">
        <v>88</v>
      </c>
      <c r="BC535" t="s">
        <v>109</v>
      </c>
      <c r="BD535">
        <v>3</v>
      </c>
      <c r="BE535">
        <v>16</v>
      </c>
    </row>
    <row r="536" spans="1:57" hidden="1" x14ac:dyDescent="0.2">
      <c r="A536" t="s">
        <v>6637</v>
      </c>
      <c r="B536" t="s">
        <v>6638</v>
      </c>
      <c r="C536" t="s">
        <v>6639</v>
      </c>
      <c r="D536" t="s">
        <v>6640</v>
      </c>
      <c r="E536" t="s">
        <v>6640</v>
      </c>
      <c r="G536" t="s">
        <v>56</v>
      </c>
      <c r="H536" t="s">
        <v>57</v>
      </c>
      <c r="I536" t="s">
        <v>58</v>
      </c>
      <c r="J536" t="s">
        <v>59</v>
      </c>
      <c r="K536" t="s">
        <v>94</v>
      </c>
      <c r="L536" t="s">
        <v>94</v>
      </c>
      <c r="M536" t="s">
        <v>60</v>
      </c>
      <c r="N536" t="str">
        <f t="shared" si="8"/>
        <v>Flour</v>
      </c>
      <c r="O536" s="1" t="s">
        <v>61</v>
      </c>
      <c r="P536" t="s">
        <v>62</v>
      </c>
      <c r="Q536" s="1" t="s">
        <v>63</v>
      </c>
      <c r="R536" s="1" t="s">
        <v>64</v>
      </c>
      <c r="S536" s="1" t="s">
        <v>65</v>
      </c>
      <c r="T536" s="1">
        <v>655</v>
      </c>
      <c r="U536" s="1">
        <v>1692</v>
      </c>
      <c r="V536" s="1" t="s">
        <v>169</v>
      </c>
      <c r="W536" s="1" t="s">
        <v>170</v>
      </c>
      <c r="X536" t="s">
        <v>6641</v>
      </c>
      <c r="Y536" t="s">
        <v>6642</v>
      </c>
      <c r="AA536" t="s">
        <v>68</v>
      </c>
      <c r="AB536" t="s">
        <v>6643</v>
      </c>
      <c r="AC536" t="s">
        <v>6644</v>
      </c>
      <c r="AD536" t="s">
        <v>6645</v>
      </c>
      <c r="AE536" t="s">
        <v>72</v>
      </c>
      <c r="AF536" t="s">
        <v>73</v>
      </c>
      <c r="AG536" t="s">
        <v>6646</v>
      </c>
      <c r="AH536" t="s">
        <v>75</v>
      </c>
      <c r="AI536" t="s">
        <v>76</v>
      </c>
      <c r="AJ536" t="s">
        <v>77</v>
      </c>
      <c r="AK536" t="s">
        <v>6647</v>
      </c>
      <c r="AL536" t="s">
        <v>79</v>
      </c>
      <c r="AM536" t="s">
        <v>80</v>
      </c>
      <c r="AN536" t="s">
        <v>81</v>
      </c>
      <c r="AO536" t="s">
        <v>82</v>
      </c>
      <c r="AP536" t="s">
        <v>83</v>
      </c>
      <c r="AQ536">
        <v>2017</v>
      </c>
      <c r="AR536">
        <v>135895</v>
      </c>
      <c r="AS536">
        <v>5217517</v>
      </c>
      <c r="AT536">
        <v>238</v>
      </c>
      <c r="AU536" t="s">
        <v>84</v>
      </c>
      <c r="AV536">
        <v>562</v>
      </c>
      <c r="AW536" t="s">
        <v>85</v>
      </c>
      <c r="AX536" t="s">
        <v>86</v>
      </c>
      <c r="AY536">
        <v>562</v>
      </c>
      <c r="AZ536" t="s">
        <v>6648</v>
      </c>
      <c r="BA536" t="s">
        <v>88</v>
      </c>
      <c r="BC536" t="s">
        <v>6649</v>
      </c>
      <c r="BD536">
        <v>0</v>
      </c>
      <c r="BE536">
        <v>10</v>
      </c>
    </row>
    <row r="537" spans="1:57" hidden="1" x14ac:dyDescent="0.2">
      <c r="A537" t="s">
        <v>6650</v>
      </c>
      <c r="B537" t="s">
        <v>6651</v>
      </c>
      <c r="C537" t="s">
        <v>6639</v>
      </c>
      <c r="D537" t="s">
        <v>6652</v>
      </c>
      <c r="E537" t="s">
        <v>6652</v>
      </c>
      <c r="G537" t="s">
        <v>56</v>
      </c>
      <c r="H537" t="s">
        <v>57</v>
      </c>
      <c r="I537" t="s">
        <v>58</v>
      </c>
      <c r="J537" t="s">
        <v>59</v>
      </c>
      <c r="K537" t="s">
        <v>94</v>
      </c>
      <c r="L537" t="s">
        <v>94</v>
      </c>
      <c r="M537" t="s">
        <v>60</v>
      </c>
      <c r="N537" t="str">
        <f t="shared" si="8"/>
        <v>Flour</v>
      </c>
      <c r="O537" s="1" t="s">
        <v>61</v>
      </c>
      <c r="P537" t="s">
        <v>6653</v>
      </c>
      <c r="Q537" s="1" t="s">
        <v>63</v>
      </c>
      <c r="R537" s="1" t="s">
        <v>64</v>
      </c>
      <c r="S537" s="1" t="s">
        <v>65</v>
      </c>
      <c r="T537" s="1">
        <v>655</v>
      </c>
      <c r="U537" s="1">
        <v>1692</v>
      </c>
      <c r="V537" s="1" t="s">
        <v>169</v>
      </c>
      <c r="W537" s="1" t="s">
        <v>170</v>
      </c>
      <c r="X537" t="s">
        <v>6654</v>
      </c>
      <c r="Y537" t="s">
        <v>6655</v>
      </c>
      <c r="AA537" t="s">
        <v>68</v>
      </c>
      <c r="AB537" t="s">
        <v>6656</v>
      </c>
      <c r="AC537" t="s">
        <v>6657</v>
      </c>
      <c r="AD537" t="s">
        <v>6658</v>
      </c>
      <c r="AE537" t="s">
        <v>5530</v>
      </c>
      <c r="AF537" t="s">
        <v>73</v>
      </c>
      <c r="AG537" t="s">
        <v>6659</v>
      </c>
      <c r="AH537" t="s">
        <v>75</v>
      </c>
      <c r="AI537" t="s">
        <v>76</v>
      </c>
      <c r="AJ537" t="s">
        <v>77</v>
      </c>
      <c r="AK537" t="s">
        <v>6660</v>
      </c>
      <c r="AL537" t="s">
        <v>79</v>
      </c>
      <c r="AM537" t="s">
        <v>80</v>
      </c>
      <c r="AN537" t="s">
        <v>81</v>
      </c>
      <c r="AO537" t="s">
        <v>82</v>
      </c>
      <c r="AP537" t="s">
        <v>83</v>
      </c>
      <c r="AQ537">
        <v>2017</v>
      </c>
      <c r="AR537">
        <v>134602</v>
      </c>
      <c r="AS537">
        <v>5227217</v>
      </c>
      <c r="AT537">
        <v>203</v>
      </c>
      <c r="AU537" t="s">
        <v>84</v>
      </c>
      <c r="AV537">
        <v>562</v>
      </c>
      <c r="AW537" t="s">
        <v>85</v>
      </c>
      <c r="AX537" t="s">
        <v>86</v>
      </c>
      <c r="AY537">
        <v>562</v>
      </c>
      <c r="AZ537" t="s">
        <v>6661</v>
      </c>
      <c r="BA537" t="s">
        <v>88</v>
      </c>
      <c r="BC537" t="s">
        <v>6649</v>
      </c>
      <c r="BD537">
        <v>0</v>
      </c>
      <c r="BE537">
        <v>10</v>
      </c>
    </row>
    <row r="538" spans="1:57" hidden="1" x14ac:dyDescent="0.2">
      <c r="A538" t="s">
        <v>6662</v>
      </c>
      <c r="B538" t="s">
        <v>6663</v>
      </c>
      <c r="C538" t="s">
        <v>6639</v>
      </c>
      <c r="D538" t="s">
        <v>6664</v>
      </c>
      <c r="E538" t="s">
        <v>6664</v>
      </c>
      <c r="G538" t="s">
        <v>56</v>
      </c>
      <c r="H538" t="s">
        <v>57</v>
      </c>
      <c r="I538" t="s">
        <v>58</v>
      </c>
      <c r="J538" t="s">
        <v>59</v>
      </c>
      <c r="K538" t="s">
        <v>94</v>
      </c>
      <c r="L538" t="s">
        <v>94</v>
      </c>
      <c r="M538" t="s">
        <v>60</v>
      </c>
      <c r="N538" t="str">
        <f t="shared" si="8"/>
        <v>Flour</v>
      </c>
      <c r="O538" s="1" t="s">
        <v>61</v>
      </c>
      <c r="P538" t="s">
        <v>6653</v>
      </c>
      <c r="Q538" s="1" t="s">
        <v>63</v>
      </c>
      <c r="R538" s="1" t="s">
        <v>64</v>
      </c>
      <c r="S538" s="1" t="s">
        <v>65</v>
      </c>
      <c r="T538" s="1">
        <v>655</v>
      </c>
      <c r="U538" s="1">
        <v>1692</v>
      </c>
      <c r="V538" s="1" t="s">
        <v>169</v>
      </c>
      <c r="W538" s="1" t="s">
        <v>170</v>
      </c>
      <c r="X538" t="s">
        <v>6665</v>
      </c>
      <c r="Y538" t="s">
        <v>6666</v>
      </c>
      <c r="AA538" t="s">
        <v>68</v>
      </c>
      <c r="AB538" t="s">
        <v>6667</v>
      </c>
      <c r="AC538" t="s">
        <v>6668</v>
      </c>
      <c r="AD538" t="s">
        <v>6669</v>
      </c>
      <c r="AE538" t="s">
        <v>5530</v>
      </c>
      <c r="AF538" t="s">
        <v>73</v>
      </c>
      <c r="AG538" t="s">
        <v>6670</v>
      </c>
      <c r="AH538" t="s">
        <v>75</v>
      </c>
      <c r="AI538" t="s">
        <v>76</v>
      </c>
      <c r="AJ538" t="s">
        <v>77</v>
      </c>
      <c r="AK538" t="s">
        <v>6671</v>
      </c>
      <c r="AL538" t="s">
        <v>79</v>
      </c>
      <c r="AM538" t="s">
        <v>80</v>
      </c>
      <c r="AN538" t="s">
        <v>81</v>
      </c>
      <c r="AO538" t="s">
        <v>82</v>
      </c>
      <c r="AP538" t="s">
        <v>83</v>
      </c>
      <c r="AQ538">
        <v>2017</v>
      </c>
      <c r="AR538">
        <v>134602</v>
      </c>
      <c r="AS538">
        <v>5217645</v>
      </c>
      <c r="AT538">
        <v>234</v>
      </c>
      <c r="AU538" t="s">
        <v>84</v>
      </c>
      <c r="AV538">
        <v>562</v>
      </c>
      <c r="AW538" t="s">
        <v>85</v>
      </c>
      <c r="AX538" t="s">
        <v>86</v>
      </c>
      <c r="AY538">
        <v>562</v>
      </c>
      <c r="AZ538" t="s">
        <v>6672</v>
      </c>
      <c r="BA538" t="s">
        <v>88</v>
      </c>
      <c r="BC538" t="s">
        <v>6649</v>
      </c>
      <c r="BD538">
        <v>0</v>
      </c>
      <c r="BE538">
        <v>10</v>
      </c>
    </row>
    <row r="539" spans="1:57" hidden="1" x14ac:dyDescent="0.2">
      <c r="A539" t="s">
        <v>6673</v>
      </c>
      <c r="B539" t="s">
        <v>6674</v>
      </c>
      <c r="C539" t="s">
        <v>6639</v>
      </c>
      <c r="D539" t="s">
        <v>6675</v>
      </c>
      <c r="E539" t="s">
        <v>6675</v>
      </c>
      <c r="G539" t="s">
        <v>56</v>
      </c>
      <c r="H539" t="s">
        <v>57</v>
      </c>
      <c r="I539" t="s">
        <v>58</v>
      </c>
      <c r="J539" t="s">
        <v>59</v>
      </c>
      <c r="K539" t="s">
        <v>94</v>
      </c>
      <c r="L539" t="s">
        <v>94</v>
      </c>
      <c r="M539" t="s">
        <v>60</v>
      </c>
      <c r="N539" t="str">
        <f t="shared" si="8"/>
        <v>Flour</v>
      </c>
      <c r="O539" s="1" t="s">
        <v>61</v>
      </c>
      <c r="P539" t="s">
        <v>6653</v>
      </c>
      <c r="Q539" s="1" t="s">
        <v>63</v>
      </c>
      <c r="R539" s="1" t="s">
        <v>64</v>
      </c>
      <c r="S539" s="1" t="s">
        <v>65</v>
      </c>
      <c r="T539" s="1">
        <v>655</v>
      </c>
      <c r="U539" s="1">
        <v>1692</v>
      </c>
      <c r="V539" s="1" t="s">
        <v>169</v>
      </c>
      <c r="W539" s="1" t="s">
        <v>170</v>
      </c>
      <c r="X539" t="s">
        <v>6676</v>
      </c>
      <c r="Y539" t="s">
        <v>6677</v>
      </c>
      <c r="AA539" t="s">
        <v>68</v>
      </c>
      <c r="AB539" t="s">
        <v>6678</v>
      </c>
      <c r="AC539" t="s">
        <v>6679</v>
      </c>
      <c r="AD539" t="s">
        <v>6680</v>
      </c>
      <c r="AE539" t="s">
        <v>5530</v>
      </c>
      <c r="AF539" t="s">
        <v>73</v>
      </c>
      <c r="AG539" t="s">
        <v>6681</v>
      </c>
      <c r="AH539" t="s">
        <v>75</v>
      </c>
      <c r="AI539" t="s">
        <v>76</v>
      </c>
      <c r="AJ539" t="s">
        <v>77</v>
      </c>
      <c r="AK539" t="s">
        <v>6671</v>
      </c>
      <c r="AL539" t="s">
        <v>79</v>
      </c>
      <c r="AM539" t="s">
        <v>80</v>
      </c>
      <c r="AN539" t="s">
        <v>81</v>
      </c>
      <c r="AO539" t="s">
        <v>82</v>
      </c>
      <c r="AP539" t="s">
        <v>83</v>
      </c>
      <c r="AQ539">
        <v>2017</v>
      </c>
      <c r="AR539">
        <v>136506</v>
      </c>
      <c r="AS539">
        <v>5188219</v>
      </c>
      <c r="AT539">
        <v>218</v>
      </c>
      <c r="AU539" t="s">
        <v>84</v>
      </c>
      <c r="AV539">
        <v>562</v>
      </c>
      <c r="AW539" t="s">
        <v>85</v>
      </c>
      <c r="AX539" t="s">
        <v>86</v>
      </c>
      <c r="AY539">
        <v>562</v>
      </c>
      <c r="AZ539" t="s">
        <v>6682</v>
      </c>
      <c r="BA539" t="s">
        <v>88</v>
      </c>
      <c r="BC539" t="s">
        <v>6649</v>
      </c>
      <c r="BD539">
        <v>0</v>
      </c>
      <c r="BE539">
        <v>10</v>
      </c>
    </row>
    <row r="540" spans="1:57" hidden="1" x14ac:dyDescent="0.2">
      <c r="A540" t="s">
        <v>6683</v>
      </c>
      <c r="B540" t="s">
        <v>6684</v>
      </c>
      <c r="C540" t="s">
        <v>6685</v>
      </c>
      <c r="D540" t="s">
        <v>6686</v>
      </c>
      <c r="E540" t="s">
        <v>6686</v>
      </c>
      <c r="G540" t="s">
        <v>56</v>
      </c>
      <c r="H540" t="s">
        <v>57</v>
      </c>
      <c r="I540" t="s">
        <v>93</v>
      </c>
      <c r="J540">
        <v>0</v>
      </c>
      <c r="K540" t="s">
        <v>94</v>
      </c>
      <c r="L540" t="s">
        <v>94</v>
      </c>
      <c r="M540" t="s">
        <v>60</v>
      </c>
      <c r="N540" t="str">
        <f t="shared" si="8"/>
        <v>Flour</v>
      </c>
      <c r="O540" s="1" t="s">
        <v>3150</v>
      </c>
      <c r="P540" t="s">
        <v>3151</v>
      </c>
      <c r="Q540" s="1" t="s">
        <v>144</v>
      </c>
      <c r="R540" s="1" t="s">
        <v>64</v>
      </c>
      <c r="S540" s="1" t="s">
        <v>98</v>
      </c>
      <c r="T540" s="1">
        <v>1611</v>
      </c>
      <c r="U540" s="1">
        <v>52368</v>
      </c>
      <c r="V540" s="1" t="s">
        <v>169</v>
      </c>
      <c r="W540" s="1" t="s">
        <v>170</v>
      </c>
      <c r="X540" t="s">
        <v>6687</v>
      </c>
      <c r="Y540" t="s">
        <v>6688</v>
      </c>
      <c r="AA540" t="s">
        <v>68</v>
      </c>
      <c r="AB540" t="s">
        <v>6689</v>
      </c>
      <c r="AC540" t="s">
        <v>6690</v>
      </c>
      <c r="AD540" t="s">
        <v>6691</v>
      </c>
      <c r="AE540" t="s">
        <v>118</v>
      </c>
      <c r="AF540" t="s">
        <v>73</v>
      </c>
      <c r="AG540" t="s">
        <v>6692</v>
      </c>
      <c r="AH540" t="s">
        <v>75</v>
      </c>
      <c r="AI540" t="s">
        <v>76</v>
      </c>
      <c r="AJ540" t="s">
        <v>77</v>
      </c>
      <c r="AK540" t="s">
        <v>3158</v>
      </c>
      <c r="AL540" t="s">
        <v>156</v>
      </c>
      <c r="AM540" t="s">
        <v>80</v>
      </c>
      <c r="AN540" t="s">
        <v>81</v>
      </c>
      <c r="AO540" t="s">
        <v>82</v>
      </c>
      <c r="AP540" t="s">
        <v>83</v>
      </c>
      <c r="AQ540">
        <v>2017</v>
      </c>
      <c r="AR540">
        <v>164324</v>
      </c>
      <c r="AS540">
        <v>5267260</v>
      </c>
      <c r="AT540">
        <v>91</v>
      </c>
      <c r="AU540" t="s">
        <v>84</v>
      </c>
      <c r="AV540">
        <v>562</v>
      </c>
      <c r="AW540" t="s">
        <v>85</v>
      </c>
      <c r="AX540" t="s">
        <v>86</v>
      </c>
      <c r="AY540">
        <v>562</v>
      </c>
      <c r="AZ540" t="s">
        <v>6693</v>
      </c>
      <c r="BA540" t="s">
        <v>88</v>
      </c>
    </row>
    <row r="541" spans="1:57" hidden="1" x14ac:dyDescent="0.2">
      <c r="A541" t="s">
        <v>6694</v>
      </c>
      <c r="B541" t="s">
        <v>6695</v>
      </c>
      <c r="C541" t="s">
        <v>6696</v>
      </c>
      <c r="D541" t="s">
        <v>6697</v>
      </c>
      <c r="E541" t="s">
        <v>6697</v>
      </c>
      <c r="G541" t="s">
        <v>56</v>
      </c>
      <c r="H541" t="s">
        <v>57</v>
      </c>
      <c r="I541" t="s">
        <v>58</v>
      </c>
      <c r="J541" t="s">
        <v>59</v>
      </c>
      <c r="K541" t="s">
        <v>94</v>
      </c>
      <c r="L541" t="s">
        <v>94</v>
      </c>
      <c r="M541" t="s">
        <v>60</v>
      </c>
      <c r="N541" t="str">
        <f t="shared" si="8"/>
        <v>Flour</v>
      </c>
      <c r="O541" s="1" t="s">
        <v>61</v>
      </c>
      <c r="P541" t="s">
        <v>62</v>
      </c>
      <c r="Q541" s="1" t="s">
        <v>63</v>
      </c>
      <c r="R541" s="1" t="s">
        <v>64</v>
      </c>
      <c r="S541" s="1" t="s">
        <v>65</v>
      </c>
      <c r="T541" s="1">
        <v>655</v>
      </c>
      <c r="U541" s="1">
        <v>1692</v>
      </c>
      <c r="V541" s="1" t="s">
        <v>169</v>
      </c>
      <c r="W541" s="1">
        <v>9781446</v>
      </c>
      <c r="X541" t="s">
        <v>6698</v>
      </c>
      <c r="Y541" t="s">
        <v>6699</v>
      </c>
      <c r="AA541" t="s">
        <v>68</v>
      </c>
      <c r="AB541" t="s">
        <v>6700</v>
      </c>
      <c r="AC541" t="s">
        <v>6701</v>
      </c>
      <c r="AD541" t="s">
        <v>6702</v>
      </c>
      <c r="AE541" t="s">
        <v>5530</v>
      </c>
      <c r="AF541" t="s">
        <v>73</v>
      </c>
      <c r="AG541" t="s">
        <v>6703</v>
      </c>
      <c r="AH541" t="s">
        <v>75</v>
      </c>
      <c r="AI541" t="s">
        <v>76</v>
      </c>
      <c r="AJ541" t="s">
        <v>77</v>
      </c>
      <c r="AK541" t="s">
        <v>6704</v>
      </c>
      <c r="AL541" t="s">
        <v>79</v>
      </c>
      <c r="AM541" t="s">
        <v>80</v>
      </c>
      <c r="AN541" t="s">
        <v>81</v>
      </c>
      <c r="AO541" t="s">
        <v>82</v>
      </c>
      <c r="AP541" t="s">
        <v>83</v>
      </c>
      <c r="AQ541">
        <v>2017</v>
      </c>
      <c r="AR541">
        <v>115536</v>
      </c>
      <c r="AS541">
        <v>5197814</v>
      </c>
      <c r="AT541">
        <v>246</v>
      </c>
      <c r="AU541" t="s">
        <v>84</v>
      </c>
      <c r="AV541">
        <v>562</v>
      </c>
      <c r="AW541" t="s">
        <v>85</v>
      </c>
      <c r="AX541" t="s">
        <v>86</v>
      </c>
      <c r="AY541">
        <v>562</v>
      </c>
      <c r="AZ541" t="s">
        <v>6705</v>
      </c>
      <c r="BA541" t="s">
        <v>88</v>
      </c>
      <c r="BC541" t="s">
        <v>89</v>
      </c>
      <c r="BD541">
        <v>0</v>
      </c>
      <c r="BE541">
        <v>0</v>
      </c>
    </row>
    <row r="542" spans="1:57" hidden="1" x14ac:dyDescent="0.2">
      <c r="A542" t="s">
        <v>6706</v>
      </c>
      <c r="B542" t="s">
        <v>6707</v>
      </c>
      <c r="C542" t="s">
        <v>5968</v>
      </c>
      <c r="D542" t="s">
        <v>6708</v>
      </c>
      <c r="E542" t="s">
        <v>6708</v>
      </c>
      <c r="G542" t="s">
        <v>56</v>
      </c>
      <c r="H542" t="s">
        <v>57</v>
      </c>
      <c r="I542" t="s">
        <v>93</v>
      </c>
      <c r="J542">
        <v>0</v>
      </c>
      <c r="K542" t="s">
        <v>140</v>
      </c>
      <c r="L542" t="s">
        <v>6709</v>
      </c>
      <c r="M542" t="s">
        <v>7165</v>
      </c>
      <c r="N542" t="str">
        <f t="shared" si="8"/>
        <v>Meat</v>
      </c>
      <c r="O542" s="1" t="s">
        <v>183</v>
      </c>
      <c r="P542" t="s">
        <v>6710</v>
      </c>
      <c r="Q542" s="1" t="s">
        <v>126</v>
      </c>
      <c r="R542" s="1" t="s">
        <v>185</v>
      </c>
      <c r="S542" s="1" t="s">
        <v>186</v>
      </c>
      <c r="T542" s="1">
        <v>33</v>
      </c>
      <c r="U542" s="1">
        <v>1587</v>
      </c>
      <c r="V542" s="1" t="s">
        <v>169</v>
      </c>
      <c r="W542" s="1">
        <v>10286324</v>
      </c>
      <c r="X542" t="s">
        <v>6711</v>
      </c>
      <c r="Y542" t="s">
        <v>6712</v>
      </c>
      <c r="AA542" t="s">
        <v>68</v>
      </c>
      <c r="AB542" t="s">
        <v>6713</v>
      </c>
      <c r="AC542" t="s">
        <v>6714</v>
      </c>
      <c r="AD542" t="s">
        <v>6715</v>
      </c>
      <c r="AE542" t="s">
        <v>2479</v>
      </c>
      <c r="AF542" t="s">
        <v>73</v>
      </c>
      <c r="AG542" t="s">
        <v>6716</v>
      </c>
      <c r="AI542" t="s">
        <v>76</v>
      </c>
      <c r="AJ542" t="s">
        <v>77</v>
      </c>
      <c r="AK542" t="s">
        <v>6717</v>
      </c>
      <c r="AL542" t="s">
        <v>156</v>
      </c>
      <c r="AM542" t="s">
        <v>531</v>
      </c>
      <c r="AN542" t="s">
        <v>532</v>
      </c>
      <c r="AO542" t="s">
        <v>533</v>
      </c>
      <c r="AP542" t="s">
        <v>83</v>
      </c>
      <c r="AQ542">
        <v>2017</v>
      </c>
      <c r="AR542">
        <v>93576</v>
      </c>
      <c r="AS542">
        <v>5594114</v>
      </c>
      <c r="AT542">
        <v>345</v>
      </c>
      <c r="AU542" t="s">
        <v>84</v>
      </c>
      <c r="AV542">
        <v>562</v>
      </c>
      <c r="AW542" t="s">
        <v>85</v>
      </c>
      <c r="AX542" t="s">
        <v>86</v>
      </c>
      <c r="AY542">
        <v>562</v>
      </c>
      <c r="AZ542" t="s">
        <v>6718</v>
      </c>
      <c r="BA542" t="s">
        <v>88</v>
      </c>
      <c r="BC542" t="s">
        <v>535</v>
      </c>
      <c r="BD542">
        <v>0</v>
      </c>
    </row>
    <row r="543" spans="1:57" hidden="1" x14ac:dyDescent="0.2">
      <c r="A543" t="s">
        <v>6719</v>
      </c>
      <c r="B543" t="s">
        <v>6720</v>
      </c>
      <c r="C543" t="s">
        <v>5968</v>
      </c>
      <c r="D543" t="s">
        <v>6721</v>
      </c>
      <c r="E543" t="s">
        <v>6721</v>
      </c>
      <c r="G543" t="s">
        <v>56</v>
      </c>
      <c r="H543" t="s">
        <v>57</v>
      </c>
      <c r="I543" t="s">
        <v>93</v>
      </c>
      <c r="J543">
        <v>0</v>
      </c>
      <c r="K543" t="s">
        <v>140</v>
      </c>
      <c r="L543" t="s">
        <v>6709</v>
      </c>
      <c r="M543" t="s">
        <v>7165</v>
      </c>
      <c r="N543" t="str">
        <f t="shared" si="8"/>
        <v>Meat</v>
      </c>
      <c r="O543" s="1" t="s">
        <v>183</v>
      </c>
      <c r="P543" t="s">
        <v>6710</v>
      </c>
      <c r="Q543" s="1" t="s">
        <v>126</v>
      </c>
      <c r="R543" s="1" t="s">
        <v>185</v>
      </c>
      <c r="S543" s="1" t="s">
        <v>186</v>
      </c>
      <c r="T543" s="1">
        <v>33</v>
      </c>
      <c r="U543" s="1">
        <v>1587</v>
      </c>
      <c r="V543" s="1" t="s">
        <v>169</v>
      </c>
      <c r="W543" s="1">
        <v>10286324</v>
      </c>
      <c r="X543" t="s">
        <v>6722</v>
      </c>
      <c r="Y543" t="s">
        <v>6723</v>
      </c>
      <c r="AA543" t="s">
        <v>68</v>
      </c>
      <c r="AB543" t="s">
        <v>6724</v>
      </c>
      <c r="AC543" t="s">
        <v>6725</v>
      </c>
      <c r="AD543" t="s">
        <v>6726</v>
      </c>
      <c r="AE543" t="s">
        <v>4069</v>
      </c>
      <c r="AF543" t="s">
        <v>73</v>
      </c>
      <c r="AG543" t="s">
        <v>6727</v>
      </c>
      <c r="AI543" t="s">
        <v>76</v>
      </c>
      <c r="AJ543" t="s">
        <v>77</v>
      </c>
      <c r="AK543" t="s">
        <v>556</v>
      </c>
      <c r="AL543" t="s">
        <v>156</v>
      </c>
      <c r="AM543" t="s">
        <v>531</v>
      </c>
      <c r="AN543" t="s">
        <v>532</v>
      </c>
      <c r="AO543" t="s">
        <v>533</v>
      </c>
      <c r="AP543" t="s">
        <v>83</v>
      </c>
      <c r="AQ543">
        <v>2017</v>
      </c>
      <c r="AR543">
        <v>84424</v>
      </c>
      <c r="AS543">
        <v>5577166</v>
      </c>
      <c r="AT543">
        <v>378</v>
      </c>
      <c r="AU543" t="s">
        <v>84</v>
      </c>
      <c r="AV543">
        <v>562</v>
      </c>
      <c r="AW543" t="s">
        <v>85</v>
      </c>
      <c r="AX543" t="s">
        <v>86</v>
      </c>
      <c r="AY543">
        <v>562</v>
      </c>
      <c r="AZ543" t="s">
        <v>6728</v>
      </c>
      <c r="BA543" t="s">
        <v>88</v>
      </c>
      <c r="BC543" t="s">
        <v>535</v>
      </c>
      <c r="BD543">
        <v>0</v>
      </c>
    </row>
    <row r="544" spans="1:57" hidden="1" x14ac:dyDescent="0.2">
      <c r="A544" t="s">
        <v>6729</v>
      </c>
      <c r="B544" t="s">
        <v>6730</v>
      </c>
      <c r="C544" t="s">
        <v>6731</v>
      </c>
      <c r="D544" t="s">
        <v>6732</v>
      </c>
      <c r="E544" t="s">
        <v>6732</v>
      </c>
      <c r="G544" t="s">
        <v>56</v>
      </c>
      <c r="H544" t="s">
        <v>57</v>
      </c>
      <c r="I544" t="s">
        <v>93</v>
      </c>
      <c r="J544">
        <v>0</v>
      </c>
      <c r="K544" t="s">
        <v>140</v>
      </c>
      <c r="L544" t="s">
        <v>6709</v>
      </c>
      <c r="M544" t="s">
        <v>7165</v>
      </c>
      <c r="N544" t="str">
        <f t="shared" si="8"/>
        <v>Meat</v>
      </c>
      <c r="O544" s="1" t="s">
        <v>5551</v>
      </c>
      <c r="P544" t="s">
        <v>6733</v>
      </c>
      <c r="Q544" s="1" t="s">
        <v>144</v>
      </c>
      <c r="R544" s="1" t="s">
        <v>64</v>
      </c>
      <c r="S544" s="1" t="s">
        <v>65</v>
      </c>
      <c r="T544" s="1">
        <v>329</v>
      </c>
      <c r="U544" s="1">
        <v>42920</v>
      </c>
      <c r="V544" s="1" t="s">
        <v>1055</v>
      </c>
      <c r="W544" s="1">
        <v>10539613</v>
      </c>
      <c r="X544" t="s">
        <v>6734</v>
      </c>
      <c r="Y544" t="s">
        <v>6735</v>
      </c>
      <c r="AA544" t="s">
        <v>68</v>
      </c>
      <c r="AB544" t="s">
        <v>6736</v>
      </c>
      <c r="AC544" t="s">
        <v>6737</v>
      </c>
      <c r="AD544" t="s">
        <v>6738</v>
      </c>
      <c r="AE544" t="s">
        <v>2858</v>
      </c>
      <c r="AF544" t="s">
        <v>73</v>
      </c>
      <c r="AG544" t="s">
        <v>6739</v>
      </c>
      <c r="AH544" t="s">
        <v>6740</v>
      </c>
      <c r="AI544" t="s">
        <v>76</v>
      </c>
      <c r="AJ544" t="s">
        <v>77</v>
      </c>
      <c r="AK544" t="s">
        <v>6741</v>
      </c>
      <c r="AL544" t="s">
        <v>156</v>
      </c>
      <c r="AM544" t="s">
        <v>6742</v>
      </c>
      <c r="AN544" t="s">
        <v>81</v>
      </c>
      <c r="AO544" t="s">
        <v>82</v>
      </c>
      <c r="AP544" t="s">
        <v>83</v>
      </c>
      <c r="AQ544">
        <v>2017</v>
      </c>
      <c r="AR544">
        <v>112254</v>
      </c>
      <c r="AS544">
        <v>5248032</v>
      </c>
      <c r="AT544">
        <v>165</v>
      </c>
      <c r="AU544" t="s">
        <v>84</v>
      </c>
      <c r="AV544">
        <v>562</v>
      </c>
      <c r="AW544" t="s">
        <v>85</v>
      </c>
      <c r="AX544" t="s">
        <v>86</v>
      </c>
      <c r="AY544">
        <v>562</v>
      </c>
      <c r="AZ544" t="s">
        <v>6743</v>
      </c>
      <c r="BA544" t="s">
        <v>88</v>
      </c>
      <c r="BC544" t="s">
        <v>6744</v>
      </c>
      <c r="BD544">
        <v>34</v>
      </c>
    </row>
    <row r="545" spans="1:57" hidden="1" x14ac:dyDescent="0.2">
      <c r="A545" t="s">
        <v>6745</v>
      </c>
      <c r="B545" t="s">
        <v>6746</v>
      </c>
      <c r="C545" t="s">
        <v>6747</v>
      </c>
      <c r="D545" t="s">
        <v>6748</v>
      </c>
      <c r="E545" t="s">
        <v>6748</v>
      </c>
      <c r="G545" t="s">
        <v>56</v>
      </c>
      <c r="H545" t="s">
        <v>57</v>
      </c>
      <c r="I545" t="s">
        <v>93</v>
      </c>
      <c r="J545">
        <v>0</v>
      </c>
      <c r="K545" t="s">
        <v>140</v>
      </c>
      <c r="L545" t="s">
        <v>6749</v>
      </c>
      <c r="M545" t="s">
        <v>7165</v>
      </c>
      <c r="N545" t="str">
        <f t="shared" si="8"/>
        <v>Meat</v>
      </c>
      <c r="O545" s="1" t="s">
        <v>4492</v>
      </c>
      <c r="P545" t="s">
        <v>4493</v>
      </c>
      <c r="Q545" s="1" t="s">
        <v>3530</v>
      </c>
      <c r="R545" s="1" t="s">
        <v>250</v>
      </c>
      <c r="S545" s="1" t="s">
        <v>751</v>
      </c>
      <c r="T545" s="1">
        <v>17</v>
      </c>
      <c r="U545" s="1">
        <v>15628</v>
      </c>
      <c r="V545" s="1" t="s">
        <v>3196</v>
      </c>
      <c r="W545" s="1" t="s">
        <v>170</v>
      </c>
      <c r="X545" t="s">
        <v>6750</v>
      </c>
      <c r="Y545" t="s">
        <v>6751</v>
      </c>
      <c r="AA545" t="s">
        <v>68</v>
      </c>
      <c r="AB545" t="s">
        <v>6752</v>
      </c>
      <c r="AC545" t="s">
        <v>6753</v>
      </c>
      <c r="AD545" t="s">
        <v>6754</v>
      </c>
      <c r="AE545" t="s">
        <v>2926</v>
      </c>
      <c r="AF545" t="s">
        <v>73</v>
      </c>
      <c r="AG545" t="s">
        <v>6755</v>
      </c>
      <c r="AH545" t="s">
        <v>75</v>
      </c>
      <c r="AI545" t="s">
        <v>76</v>
      </c>
      <c r="AJ545" t="s">
        <v>77</v>
      </c>
      <c r="AK545" t="s">
        <v>6756</v>
      </c>
      <c r="AL545" t="s">
        <v>107</v>
      </c>
      <c r="AM545" t="s">
        <v>80</v>
      </c>
      <c r="AN545" t="s">
        <v>81</v>
      </c>
      <c r="AO545" t="s">
        <v>82</v>
      </c>
      <c r="AP545" t="s">
        <v>83</v>
      </c>
      <c r="AQ545">
        <v>2017</v>
      </c>
      <c r="AR545">
        <v>155978</v>
      </c>
      <c r="AS545">
        <v>5219474</v>
      </c>
      <c r="AT545">
        <v>177</v>
      </c>
      <c r="AU545" t="s">
        <v>84</v>
      </c>
      <c r="AV545">
        <v>562</v>
      </c>
      <c r="AW545" t="s">
        <v>85</v>
      </c>
      <c r="AX545" t="s">
        <v>86</v>
      </c>
      <c r="AY545">
        <v>562</v>
      </c>
      <c r="AZ545" t="s">
        <v>6757</v>
      </c>
      <c r="BA545" t="s">
        <v>88</v>
      </c>
      <c r="BC545" t="s">
        <v>6758</v>
      </c>
      <c r="BD545">
        <v>25</v>
      </c>
      <c r="BE545">
        <v>30</v>
      </c>
    </row>
    <row r="546" spans="1:57" hidden="1" x14ac:dyDescent="0.2">
      <c r="A546" t="s">
        <v>6759</v>
      </c>
      <c r="B546" t="s">
        <v>6760</v>
      </c>
      <c r="C546" t="s">
        <v>6761</v>
      </c>
      <c r="D546" t="s">
        <v>6762</v>
      </c>
      <c r="E546" t="s">
        <v>6762</v>
      </c>
      <c r="G546" t="s">
        <v>56</v>
      </c>
      <c r="H546" t="s">
        <v>57</v>
      </c>
      <c r="I546" t="s">
        <v>58</v>
      </c>
      <c r="J546" t="s">
        <v>6763</v>
      </c>
      <c r="K546" t="s">
        <v>140</v>
      </c>
      <c r="L546" t="s">
        <v>1094</v>
      </c>
      <c r="M546" t="s">
        <v>7165</v>
      </c>
      <c r="N546" t="str">
        <f t="shared" si="8"/>
        <v>Meat</v>
      </c>
      <c r="O546" s="1" t="s">
        <v>6764</v>
      </c>
      <c r="P546" t="s">
        <v>6765</v>
      </c>
      <c r="Q546" s="1" t="s">
        <v>4494</v>
      </c>
      <c r="R546" s="1" t="s">
        <v>250</v>
      </c>
      <c r="S546" s="1" t="s">
        <v>751</v>
      </c>
      <c r="T546" s="1">
        <v>343</v>
      </c>
      <c r="U546" s="1">
        <v>1847</v>
      </c>
      <c r="V546" s="1" t="s">
        <v>169</v>
      </c>
      <c r="W546" s="1">
        <v>10615038</v>
      </c>
      <c r="X546" t="s">
        <v>6766</v>
      </c>
      <c r="Y546" t="s">
        <v>6767</v>
      </c>
      <c r="AA546" t="s">
        <v>68</v>
      </c>
      <c r="AB546" t="s">
        <v>6768</v>
      </c>
      <c r="AC546" t="s">
        <v>6769</v>
      </c>
      <c r="AD546" t="s">
        <v>6770</v>
      </c>
      <c r="AE546" t="s">
        <v>2752</v>
      </c>
      <c r="AF546" t="s">
        <v>73</v>
      </c>
      <c r="AG546" t="s">
        <v>6771</v>
      </c>
      <c r="AH546" t="s">
        <v>75</v>
      </c>
      <c r="AI546" t="s">
        <v>76</v>
      </c>
      <c r="AJ546" t="s">
        <v>77</v>
      </c>
      <c r="AK546" t="s">
        <v>6772</v>
      </c>
      <c r="AL546" t="s">
        <v>364</v>
      </c>
      <c r="AM546" t="s">
        <v>80</v>
      </c>
      <c r="AN546" t="s">
        <v>81</v>
      </c>
      <c r="AO546" t="s">
        <v>82</v>
      </c>
      <c r="AP546" t="s">
        <v>83</v>
      </c>
      <c r="AQ546">
        <v>2018</v>
      </c>
      <c r="AR546">
        <v>67300</v>
      </c>
      <c r="AS546">
        <v>5232743</v>
      </c>
      <c r="AT546">
        <v>355</v>
      </c>
      <c r="AU546" t="s">
        <v>84</v>
      </c>
      <c r="AV546">
        <v>562</v>
      </c>
      <c r="AW546" t="s">
        <v>85</v>
      </c>
      <c r="AX546" t="s">
        <v>86</v>
      </c>
      <c r="AY546">
        <v>562</v>
      </c>
      <c r="AZ546" t="s">
        <v>6773</v>
      </c>
      <c r="BA546" t="s">
        <v>88</v>
      </c>
    </row>
    <row r="547" spans="1:57" hidden="1" x14ac:dyDescent="0.2">
      <c r="A547" t="s">
        <v>6774</v>
      </c>
      <c r="B547" t="s">
        <v>6775</v>
      </c>
      <c r="C547" t="s">
        <v>4256</v>
      </c>
      <c r="D547" t="s">
        <v>6776</v>
      </c>
      <c r="E547" t="s">
        <v>6776</v>
      </c>
      <c r="G547" t="s">
        <v>170</v>
      </c>
      <c r="H547" t="s">
        <v>57</v>
      </c>
      <c r="I547" t="s">
        <v>93</v>
      </c>
      <c r="J547">
        <v>0</v>
      </c>
      <c r="K547" t="s">
        <v>4258</v>
      </c>
      <c r="L547" t="s">
        <v>4258</v>
      </c>
      <c r="M547" t="s">
        <v>7165</v>
      </c>
      <c r="N547" t="str">
        <f t="shared" si="8"/>
        <v>Meat</v>
      </c>
      <c r="O547" s="1" t="s">
        <v>6777</v>
      </c>
      <c r="P547" t="s">
        <v>6778</v>
      </c>
      <c r="Q547" s="1" t="s">
        <v>6779</v>
      </c>
      <c r="R547" s="1" t="s">
        <v>169</v>
      </c>
      <c r="S547" s="1" t="s">
        <v>169</v>
      </c>
      <c r="T547" s="1">
        <v>10</v>
      </c>
      <c r="U547" s="1">
        <v>145605</v>
      </c>
      <c r="V547" s="1" t="s">
        <v>6780</v>
      </c>
      <c r="W547" s="1">
        <v>10838521</v>
      </c>
      <c r="X547" t="s">
        <v>6781</v>
      </c>
      <c r="Y547" t="s">
        <v>6782</v>
      </c>
      <c r="AA547" t="s">
        <v>68</v>
      </c>
      <c r="AB547" t="s">
        <v>6783</v>
      </c>
      <c r="AC547" t="s">
        <v>6784</v>
      </c>
      <c r="AD547" t="s">
        <v>6785</v>
      </c>
      <c r="AE547" t="s">
        <v>2858</v>
      </c>
      <c r="AF547" t="s">
        <v>73</v>
      </c>
      <c r="AG547" t="s">
        <v>6786</v>
      </c>
      <c r="AI547" t="s">
        <v>76</v>
      </c>
      <c r="AJ547" t="s">
        <v>77</v>
      </c>
      <c r="AK547" t="s">
        <v>6787</v>
      </c>
      <c r="AL547" t="s">
        <v>156</v>
      </c>
      <c r="AM547" t="s">
        <v>531</v>
      </c>
      <c r="AN547" t="s">
        <v>81</v>
      </c>
      <c r="AO547" t="s">
        <v>82</v>
      </c>
      <c r="AP547" t="s">
        <v>83</v>
      </c>
      <c r="AQ547">
        <v>2018</v>
      </c>
      <c r="AR547">
        <v>160736</v>
      </c>
      <c r="AS547">
        <v>4741944</v>
      </c>
      <c r="AT547">
        <v>72</v>
      </c>
      <c r="AU547" t="s">
        <v>84</v>
      </c>
      <c r="AV547">
        <v>562</v>
      </c>
      <c r="AW547" t="s">
        <v>85</v>
      </c>
      <c r="AX547" t="s">
        <v>86</v>
      </c>
      <c r="AY547">
        <v>562</v>
      </c>
      <c r="AZ547" t="s">
        <v>6788</v>
      </c>
      <c r="BA547" t="s">
        <v>88</v>
      </c>
      <c r="BC547" t="s">
        <v>6789</v>
      </c>
      <c r="BD547">
        <v>31</v>
      </c>
    </row>
    <row r="548" spans="1:57" hidden="1" x14ac:dyDescent="0.2">
      <c r="A548" t="s">
        <v>6790</v>
      </c>
      <c r="B548" t="s">
        <v>6791</v>
      </c>
      <c r="C548" t="s">
        <v>6792</v>
      </c>
      <c r="D548" t="s">
        <v>6793</v>
      </c>
      <c r="E548" t="s">
        <v>6793</v>
      </c>
      <c r="G548" t="s">
        <v>56</v>
      </c>
      <c r="H548" t="s">
        <v>57</v>
      </c>
      <c r="I548" t="s">
        <v>93</v>
      </c>
      <c r="J548">
        <v>0</v>
      </c>
      <c r="K548" t="s">
        <v>140</v>
      </c>
      <c r="L548" t="s">
        <v>6794</v>
      </c>
      <c r="M548" t="s">
        <v>7165</v>
      </c>
      <c r="N548" t="str">
        <f t="shared" si="8"/>
        <v>Meat</v>
      </c>
      <c r="O548" s="1" t="s">
        <v>183</v>
      </c>
      <c r="P548" t="s">
        <v>6795</v>
      </c>
      <c r="Q548" s="1" t="s">
        <v>6796</v>
      </c>
      <c r="R548" s="1" t="s">
        <v>6797</v>
      </c>
      <c r="S548" s="1" t="s">
        <v>186</v>
      </c>
      <c r="T548" s="1">
        <v>33</v>
      </c>
      <c r="U548" s="1">
        <v>1587</v>
      </c>
      <c r="V548" s="1" t="s">
        <v>169</v>
      </c>
      <c r="W548" s="1">
        <v>10838319</v>
      </c>
      <c r="X548" t="s">
        <v>6798</v>
      </c>
      <c r="Y548" t="s">
        <v>6799</v>
      </c>
      <c r="AA548" t="s">
        <v>68</v>
      </c>
      <c r="AB548" t="s">
        <v>6800</v>
      </c>
      <c r="AC548" t="s">
        <v>6801</v>
      </c>
      <c r="AD548" t="s">
        <v>6802</v>
      </c>
      <c r="AE548" t="s">
        <v>2727</v>
      </c>
      <c r="AF548" t="s">
        <v>73</v>
      </c>
      <c r="AG548" t="s">
        <v>6803</v>
      </c>
      <c r="AH548" t="s">
        <v>75</v>
      </c>
      <c r="AI548" t="s">
        <v>76</v>
      </c>
      <c r="AJ548" t="s">
        <v>77</v>
      </c>
      <c r="AK548" t="s">
        <v>6804</v>
      </c>
      <c r="AL548" t="s">
        <v>156</v>
      </c>
      <c r="AM548" t="s">
        <v>80</v>
      </c>
      <c r="AN548" t="s">
        <v>81</v>
      </c>
      <c r="AO548" t="s">
        <v>82</v>
      </c>
      <c r="AP548" t="s">
        <v>83</v>
      </c>
      <c r="AQ548">
        <v>2018</v>
      </c>
      <c r="AR548">
        <v>33784</v>
      </c>
      <c r="AS548">
        <v>5375055</v>
      </c>
      <c r="AT548">
        <v>415</v>
      </c>
      <c r="AU548" t="s">
        <v>84</v>
      </c>
      <c r="AV548">
        <v>562</v>
      </c>
      <c r="AW548" t="s">
        <v>85</v>
      </c>
      <c r="AX548" t="s">
        <v>86</v>
      </c>
      <c r="AY548">
        <v>562</v>
      </c>
      <c r="AZ548" t="s">
        <v>6805</v>
      </c>
      <c r="BA548" t="s">
        <v>88</v>
      </c>
    </row>
    <row r="549" spans="1:57" hidden="1" x14ac:dyDescent="0.2">
      <c r="A549" t="s">
        <v>6806</v>
      </c>
      <c r="B549" t="s">
        <v>6807</v>
      </c>
      <c r="C549" t="s">
        <v>6792</v>
      </c>
      <c r="D549" t="s">
        <v>6808</v>
      </c>
      <c r="E549" t="s">
        <v>6808</v>
      </c>
      <c r="G549" t="s">
        <v>56</v>
      </c>
      <c r="H549" t="s">
        <v>57</v>
      </c>
      <c r="I549" t="s">
        <v>93</v>
      </c>
      <c r="J549">
        <v>0</v>
      </c>
      <c r="K549" t="s">
        <v>140</v>
      </c>
      <c r="L549" t="s">
        <v>6794</v>
      </c>
      <c r="M549" t="s">
        <v>7165</v>
      </c>
      <c r="N549" t="str">
        <f t="shared" si="8"/>
        <v>Meat</v>
      </c>
      <c r="O549" s="1" t="s">
        <v>448</v>
      </c>
      <c r="P549" t="s">
        <v>6809</v>
      </c>
      <c r="Q549" s="1" t="s">
        <v>6796</v>
      </c>
      <c r="R549" s="1" t="s">
        <v>3492</v>
      </c>
      <c r="S549" s="1" t="s">
        <v>451</v>
      </c>
      <c r="T549" s="1">
        <v>25</v>
      </c>
      <c r="U549" s="1">
        <v>30074</v>
      </c>
      <c r="V549" s="1" t="s">
        <v>169</v>
      </c>
      <c r="W549" s="1">
        <v>10838319</v>
      </c>
      <c r="X549" t="s">
        <v>6810</v>
      </c>
      <c r="Y549" t="s">
        <v>6811</v>
      </c>
      <c r="AA549" t="s">
        <v>68</v>
      </c>
      <c r="AB549" t="s">
        <v>6812</v>
      </c>
      <c r="AC549" t="s">
        <v>6813</v>
      </c>
      <c r="AD549" t="s">
        <v>6814</v>
      </c>
      <c r="AE549" t="s">
        <v>2727</v>
      </c>
      <c r="AF549" t="s">
        <v>73</v>
      </c>
      <c r="AG549" t="s">
        <v>6815</v>
      </c>
      <c r="AH549" t="s">
        <v>75</v>
      </c>
      <c r="AI549" t="s">
        <v>76</v>
      </c>
      <c r="AJ549" t="s">
        <v>77</v>
      </c>
      <c r="AK549" t="s">
        <v>6816</v>
      </c>
      <c r="AL549" t="s">
        <v>156</v>
      </c>
      <c r="AM549" t="s">
        <v>80</v>
      </c>
      <c r="AN549" t="s">
        <v>81</v>
      </c>
      <c r="AO549" t="s">
        <v>82</v>
      </c>
      <c r="AP549" t="s">
        <v>83</v>
      </c>
      <c r="AQ549">
        <v>2018</v>
      </c>
      <c r="AR549">
        <v>42245</v>
      </c>
      <c r="AS549">
        <v>5622159</v>
      </c>
      <c r="AT549">
        <v>357</v>
      </c>
      <c r="AU549" t="s">
        <v>84</v>
      </c>
      <c r="AV549">
        <v>562</v>
      </c>
      <c r="AW549" t="s">
        <v>85</v>
      </c>
      <c r="AX549" t="s">
        <v>86</v>
      </c>
      <c r="AY549">
        <v>562</v>
      </c>
      <c r="AZ549" t="s">
        <v>6817</v>
      </c>
      <c r="BA549" t="s">
        <v>88</v>
      </c>
    </row>
    <row r="550" spans="1:57" hidden="1" x14ac:dyDescent="0.2">
      <c r="A550" t="s">
        <v>6818</v>
      </c>
      <c r="B550" t="s">
        <v>6819</v>
      </c>
      <c r="C550" t="s">
        <v>6820</v>
      </c>
      <c r="D550" t="s">
        <v>6821</v>
      </c>
      <c r="E550" t="s">
        <v>6821</v>
      </c>
      <c r="G550" t="s">
        <v>56</v>
      </c>
      <c r="H550" t="s">
        <v>57</v>
      </c>
      <c r="I550" t="s">
        <v>93</v>
      </c>
      <c r="J550">
        <v>0</v>
      </c>
      <c r="K550" t="s">
        <v>406</v>
      </c>
      <c r="L550" t="s">
        <v>6822</v>
      </c>
      <c r="M550" t="s">
        <v>7165</v>
      </c>
      <c r="N550" t="s">
        <v>7172</v>
      </c>
      <c r="O550" s="1" t="s">
        <v>465</v>
      </c>
      <c r="P550" t="s">
        <v>6823</v>
      </c>
      <c r="Q550" s="1" t="s">
        <v>4462</v>
      </c>
      <c r="R550" s="1" t="s">
        <v>434</v>
      </c>
      <c r="S550" s="1" t="s">
        <v>435</v>
      </c>
      <c r="T550" s="1">
        <v>13</v>
      </c>
      <c r="U550" s="1">
        <v>84723</v>
      </c>
      <c r="V550" s="1" t="s">
        <v>1311</v>
      </c>
      <c r="W550" s="1" t="s">
        <v>6824</v>
      </c>
      <c r="X550" t="s">
        <v>6825</v>
      </c>
      <c r="Y550" t="s">
        <v>6826</v>
      </c>
      <c r="AA550" t="s">
        <v>68</v>
      </c>
      <c r="AB550" t="s">
        <v>6827</v>
      </c>
      <c r="AC550" t="s">
        <v>6828</v>
      </c>
      <c r="AD550" t="s">
        <v>6829</v>
      </c>
      <c r="AE550" t="s">
        <v>2465</v>
      </c>
      <c r="AF550" t="s">
        <v>73</v>
      </c>
      <c r="AG550" t="s">
        <v>6830</v>
      </c>
      <c r="AH550" t="s">
        <v>6831</v>
      </c>
      <c r="AI550" t="s">
        <v>76</v>
      </c>
      <c r="AJ550" t="s">
        <v>77</v>
      </c>
      <c r="AK550" t="s">
        <v>6832</v>
      </c>
      <c r="AL550" t="s">
        <v>156</v>
      </c>
      <c r="AM550" t="s">
        <v>6833</v>
      </c>
      <c r="AN550" t="s">
        <v>81</v>
      </c>
      <c r="AO550" t="s">
        <v>82</v>
      </c>
      <c r="AP550" t="s">
        <v>83</v>
      </c>
      <c r="AQ550">
        <v>2018</v>
      </c>
      <c r="AR550">
        <v>125900</v>
      </c>
      <c r="AS550">
        <v>5626939</v>
      </c>
      <c r="AT550">
        <v>194</v>
      </c>
      <c r="AU550" t="s">
        <v>84</v>
      </c>
      <c r="AV550">
        <v>562</v>
      </c>
      <c r="AW550" t="s">
        <v>85</v>
      </c>
      <c r="AX550" t="s">
        <v>86</v>
      </c>
      <c r="AY550">
        <v>562</v>
      </c>
      <c r="AZ550" t="s">
        <v>6834</v>
      </c>
      <c r="BA550" t="s">
        <v>88</v>
      </c>
    </row>
    <row r="551" spans="1:57" hidden="1" x14ac:dyDescent="0.2">
      <c r="A551" t="s">
        <v>6835</v>
      </c>
      <c r="B551" t="s">
        <v>6836</v>
      </c>
      <c r="C551" t="s">
        <v>6820</v>
      </c>
      <c r="D551" t="s">
        <v>6837</v>
      </c>
      <c r="E551" t="s">
        <v>6837</v>
      </c>
      <c r="G551" t="s">
        <v>56</v>
      </c>
      <c r="H551" t="s">
        <v>57</v>
      </c>
      <c r="I551" t="s">
        <v>93</v>
      </c>
      <c r="J551">
        <v>0</v>
      </c>
      <c r="K551" t="s">
        <v>447</v>
      </c>
      <c r="L551" t="s">
        <v>6822</v>
      </c>
      <c r="M551" t="s">
        <v>7165</v>
      </c>
      <c r="N551" t="s">
        <v>7172</v>
      </c>
      <c r="O551" s="1" t="s">
        <v>183</v>
      </c>
      <c r="P551" t="s">
        <v>184</v>
      </c>
      <c r="Q551" s="1" t="s">
        <v>126</v>
      </c>
      <c r="R551" s="1" t="s">
        <v>185</v>
      </c>
      <c r="S551" s="1" t="s">
        <v>6838</v>
      </c>
      <c r="T551" s="1">
        <v>33</v>
      </c>
      <c r="U551" s="1">
        <v>1587</v>
      </c>
      <c r="V551" s="1" t="s">
        <v>169</v>
      </c>
      <c r="W551" s="1" t="s">
        <v>6824</v>
      </c>
      <c r="X551" t="s">
        <v>6839</v>
      </c>
      <c r="Y551" t="s">
        <v>6840</v>
      </c>
      <c r="AA551" t="s">
        <v>68</v>
      </c>
      <c r="AB551" t="s">
        <v>6841</v>
      </c>
      <c r="AC551" t="s">
        <v>6842</v>
      </c>
      <c r="AD551" t="s">
        <v>6843</v>
      </c>
      <c r="AE551" t="s">
        <v>2858</v>
      </c>
      <c r="AF551" t="s">
        <v>73</v>
      </c>
      <c r="AG551" t="s">
        <v>6844</v>
      </c>
      <c r="AH551" t="s">
        <v>75</v>
      </c>
      <c r="AI551" t="s">
        <v>76</v>
      </c>
      <c r="AJ551" t="s">
        <v>77</v>
      </c>
      <c r="AK551" t="s">
        <v>6845</v>
      </c>
      <c r="AL551" t="s">
        <v>156</v>
      </c>
      <c r="AM551" t="s">
        <v>80</v>
      </c>
      <c r="AN551" t="s">
        <v>81</v>
      </c>
      <c r="AO551" t="s">
        <v>82</v>
      </c>
      <c r="AP551" t="s">
        <v>83</v>
      </c>
      <c r="AQ551">
        <v>2018</v>
      </c>
      <c r="AR551">
        <v>84875</v>
      </c>
      <c r="AS551">
        <v>5585865</v>
      </c>
      <c r="AT551">
        <v>310</v>
      </c>
      <c r="AU551" t="s">
        <v>84</v>
      </c>
      <c r="AV551">
        <v>562</v>
      </c>
      <c r="AW551" t="s">
        <v>85</v>
      </c>
      <c r="AX551" t="s">
        <v>86</v>
      </c>
      <c r="AY551">
        <v>562</v>
      </c>
      <c r="AZ551" t="s">
        <v>6846</v>
      </c>
      <c r="BA551" t="s">
        <v>88</v>
      </c>
    </row>
    <row r="552" spans="1:57" hidden="1" x14ac:dyDescent="0.2">
      <c r="A552" t="s">
        <v>6847</v>
      </c>
      <c r="B552" t="s">
        <v>6848</v>
      </c>
      <c r="C552" t="s">
        <v>6820</v>
      </c>
      <c r="D552" t="s">
        <v>6849</v>
      </c>
      <c r="E552" t="s">
        <v>6849</v>
      </c>
      <c r="G552" t="s">
        <v>56</v>
      </c>
      <c r="H552" t="s">
        <v>57</v>
      </c>
      <c r="I552" t="s">
        <v>93</v>
      </c>
      <c r="J552">
        <v>0</v>
      </c>
      <c r="K552" t="s">
        <v>447</v>
      </c>
      <c r="L552" t="s">
        <v>6822</v>
      </c>
      <c r="M552" t="s">
        <v>7165</v>
      </c>
      <c r="N552" t="s">
        <v>7172</v>
      </c>
      <c r="O552" s="1" t="s">
        <v>183</v>
      </c>
      <c r="P552" t="s">
        <v>538</v>
      </c>
      <c r="Q552" s="1" t="s">
        <v>126</v>
      </c>
      <c r="R552" s="1" t="s">
        <v>185</v>
      </c>
      <c r="S552" s="1" t="s">
        <v>186</v>
      </c>
      <c r="T552" s="1">
        <v>33</v>
      </c>
      <c r="U552" s="1">
        <v>1587</v>
      </c>
      <c r="V552" s="1" t="s">
        <v>169</v>
      </c>
      <c r="W552" s="1" t="s">
        <v>6824</v>
      </c>
      <c r="X552" t="s">
        <v>6850</v>
      </c>
      <c r="Y552" t="s">
        <v>6851</v>
      </c>
      <c r="AA552" t="s">
        <v>68</v>
      </c>
      <c r="AB552" t="s">
        <v>6852</v>
      </c>
      <c r="AC552" t="s">
        <v>6853</v>
      </c>
      <c r="AD552" t="s">
        <v>6854</v>
      </c>
      <c r="AE552" t="s">
        <v>580</v>
      </c>
      <c r="AF552" t="s">
        <v>73</v>
      </c>
      <c r="AG552" t="s">
        <v>6855</v>
      </c>
      <c r="AH552" t="s">
        <v>75</v>
      </c>
      <c r="AI552" t="s">
        <v>76</v>
      </c>
      <c r="AJ552" t="s">
        <v>77</v>
      </c>
      <c r="AK552" t="s">
        <v>6856</v>
      </c>
      <c r="AL552" t="s">
        <v>156</v>
      </c>
      <c r="AM552" t="s">
        <v>80</v>
      </c>
      <c r="AN552" t="s">
        <v>81</v>
      </c>
      <c r="AO552" t="s">
        <v>82</v>
      </c>
      <c r="AP552" t="s">
        <v>83</v>
      </c>
      <c r="AQ552">
        <v>2018</v>
      </c>
      <c r="AR552">
        <v>67659</v>
      </c>
      <c r="AS552">
        <v>5525105</v>
      </c>
      <c r="AT552">
        <v>245</v>
      </c>
      <c r="AU552" t="s">
        <v>84</v>
      </c>
      <c r="AV552">
        <v>562</v>
      </c>
      <c r="AW552" t="s">
        <v>85</v>
      </c>
      <c r="AX552" t="s">
        <v>86</v>
      </c>
      <c r="AY552">
        <v>562</v>
      </c>
      <c r="AZ552" t="s">
        <v>6857</v>
      </c>
      <c r="BA552" t="s">
        <v>88</v>
      </c>
      <c r="BC552" t="s">
        <v>6858</v>
      </c>
      <c r="BD552">
        <v>1</v>
      </c>
    </row>
    <row r="553" spans="1:57" hidden="1" x14ac:dyDescent="0.2">
      <c r="A553" t="s">
        <v>6859</v>
      </c>
      <c r="B553" t="s">
        <v>6860</v>
      </c>
      <c r="C553" t="s">
        <v>6820</v>
      </c>
      <c r="D553" t="s">
        <v>6861</v>
      </c>
      <c r="E553" t="s">
        <v>6861</v>
      </c>
      <c r="G553" t="s">
        <v>56</v>
      </c>
      <c r="H553" t="s">
        <v>57</v>
      </c>
      <c r="I553" t="s">
        <v>93</v>
      </c>
      <c r="J553">
        <v>0</v>
      </c>
      <c r="K553" t="s">
        <v>447</v>
      </c>
      <c r="L553" t="s">
        <v>6822</v>
      </c>
      <c r="M553" t="s">
        <v>7165</v>
      </c>
      <c r="N553" t="s">
        <v>7172</v>
      </c>
      <c r="O553" s="1" t="s">
        <v>183</v>
      </c>
      <c r="P553" t="s">
        <v>184</v>
      </c>
      <c r="Q553" s="1" t="s">
        <v>126</v>
      </c>
      <c r="R553" s="1" t="s">
        <v>185</v>
      </c>
      <c r="S553" s="1" t="s">
        <v>186</v>
      </c>
      <c r="T553" s="1">
        <v>33</v>
      </c>
      <c r="U553" s="1">
        <v>1587</v>
      </c>
      <c r="V553" s="1" t="s">
        <v>169</v>
      </c>
      <c r="W553" s="1" t="s">
        <v>6824</v>
      </c>
      <c r="X553" t="s">
        <v>6862</v>
      </c>
      <c r="Y553" t="s">
        <v>6863</v>
      </c>
      <c r="AA553" t="s">
        <v>68</v>
      </c>
      <c r="AB553" t="s">
        <v>6864</v>
      </c>
      <c r="AC553" t="s">
        <v>6865</v>
      </c>
      <c r="AD553" t="s">
        <v>6866</v>
      </c>
      <c r="AE553" t="s">
        <v>580</v>
      </c>
      <c r="AF553" t="s">
        <v>73</v>
      </c>
      <c r="AG553" t="s">
        <v>6867</v>
      </c>
      <c r="AH553" t="s">
        <v>75</v>
      </c>
      <c r="AI553" t="s">
        <v>76</v>
      </c>
      <c r="AJ553" t="s">
        <v>77</v>
      </c>
      <c r="AK553" t="s">
        <v>6868</v>
      </c>
      <c r="AL553" t="s">
        <v>156</v>
      </c>
      <c r="AM553" t="s">
        <v>80</v>
      </c>
      <c r="AN553" t="s">
        <v>81</v>
      </c>
      <c r="AO553" t="s">
        <v>82</v>
      </c>
      <c r="AP553" t="s">
        <v>83</v>
      </c>
      <c r="AQ553">
        <v>2018</v>
      </c>
      <c r="AR553">
        <v>60456</v>
      </c>
      <c r="AS553">
        <v>5528570</v>
      </c>
      <c r="AT553">
        <v>248</v>
      </c>
      <c r="AU553" t="s">
        <v>84</v>
      </c>
      <c r="AV553">
        <v>562</v>
      </c>
      <c r="AW553" t="s">
        <v>85</v>
      </c>
      <c r="AX553" t="s">
        <v>86</v>
      </c>
      <c r="AY553">
        <v>562</v>
      </c>
      <c r="AZ553" t="s">
        <v>6869</v>
      </c>
      <c r="BA553" t="s">
        <v>88</v>
      </c>
      <c r="BC553" t="s">
        <v>6858</v>
      </c>
      <c r="BD553">
        <v>1</v>
      </c>
    </row>
    <row r="554" spans="1:57" hidden="1" x14ac:dyDescent="0.2">
      <c r="A554" t="s">
        <v>6870</v>
      </c>
      <c r="B554" t="s">
        <v>6871</v>
      </c>
      <c r="C554" t="s">
        <v>6872</v>
      </c>
      <c r="D554" t="s">
        <v>6873</v>
      </c>
      <c r="E554" t="s">
        <v>6873</v>
      </c>
      <c r="G554" t="s">
        <v>56</v>
      </c>
      <c r="H554" t="s">
        <v>57</v>
      </c>
      <c r="I554" t="s">
        <v>93</v>
      </c>
      <c r="J554">
        <v>0</v>
      </c>
      <c r="K554" t="s">
        <v>406</v>
      </c>
      <c r="L554" t="s">
        <v>406</v>
      </c>
      <c r="M554" t="s">
        <v>7165</v>
      </c>
      <c r="N554" t="s">
        <v>7172</v>
      </c>
      <c r="O554" s="1" t="s">
        <v>3194</v>
      </c>
      <c r="P554" t="s">
        <v>6874</v>
      </c>
      <c r="Q554" s="1" t="s">
        <v>373</v>
      </c>
      <c r="R554" s="1" t="s">
        <v>167</v>
      </c>
      <c r="S554" s="1" t="s">
        <v>168</v>
      </c>
      <c r="T554" s="1">
        <v>1817</v>
      </c>
      <c r="U554" s="1">
        <v>61940</v>
      </c>
      <c r="V554" s="1" t="s">
        <v>169</v>
      </c>
      <c r="W554" s="1" t="s">
        <v>6875</v>
      </c>
      <c r="X554" t="s">
        <v>6876</v>
      </c>
      <c r="Y554" t="s">
        <v>6877</v>
      </c>
      <c r="AA554" t="s">
        <v>68</v>
      </c>
      <c r="AB554" t="s">
        <v>6878</v>
      </c>
      <c r="AC554" t="s">
        <v>6879</v>
      </c>
      <c r="AD554" t="s">
        <v>6880</v>
      </c>
      <c r="AE554" t="s">
        <v>2479</v>
      </c>
      <c r="AF554" t="s">
        <v>73</v>
      </c>
      <c r="AG554" t="s">
        <v>6881</v>
      </c>
      <c r="AH554" t="s">
        <v>75</v>
      </c>
      <c r="AI554" t="s">
        <v>76</v>
      </c>
      <c r="AJ554" t="s">
        <v>77</v>
      </c>
      <c r="AK554" t="s">
        <v>425</v>
      </c>
      <c r="AL554" t="s">
        <v>107</v>
      </c>
      <c r="AM554" t="s">
        <v>80</v>
      </c>
      <c r="AN554" t="s">
        <v>81</v>
      </c>
      <c r="AO554" t="s">
        <v>82</v>
      </c>
      <c r="AP554" t="s">
        <v>83</v>
      </c>
      <c r="AQ554">
        <v>2018</v>
      </c>
      <c r="AR554">
        <v>131425</v>
      </c>
      <c r="AS554">
        <v>5145842</v>
      </c>
      <c r="AT554">
        <v>154</v>
      </c>
      <c r="AU554" t="s">
        <v>84</v>
      </c>
      <c r="AV554">
        <v>562</v>
      </c>
      <c r="AW554" t="s">
        <v>85</v>
      </c>
      <c r="AX554" t="s">
        <v>86</v>
      </c>
      <c r="AY554">
        <v>562</v>
      </c>
      <c r="AZ554" t="s">
        <v>6882</v>
      </c>
      <c r="BA554" t="s">
        <v>88</v>
      </c>
      <c r="BC554" t="s">
        <v>6883</v>
      </c>
      <c r="BD554">
        <v>0</v>
      </c>
    </row>
    <row r="555" spans="1:57" hidden="1" x14ac:dyDescent="0.2">
      <c r="A555" t="s">
        <v>6884</v>
      </c>
      <c r="B555" t="s">
        <v>6885</v>
      </c>
      <c r="C555" t="s">
        <v>6872</v>
      </c>
      <c r="D555" t="s">
        <v>6886</v>
      </c>
      <c r="E555" t="s">
        <v>6886</v>
      </c>
      <c r="G555" t="s">
        <v>56</v>
      </c>
      <c r="H555" t="s">
        <v>57</v>
      </c>
      <c r="I555" t="s">
        <v>93</v>
      </c>
      <c r="J555">
        <v>0</v>
      </c>
      <c r="K555" t="s">
        <v>406</v>
      </c>
      <c r="L555" t="s">
        <v>406</v>
      </c>
      <c r="M555" t="s">
        <v>7165</v>
      </c>
      <c r="N555" t="s">
        <v>7172</v>
      </c>
      <c r="O555" s="1" t="s">
        <v>3194</v>
      </c>
      <c r="P555" t="s">
        <v>6874</v>
      </c>
      <c r="Q555" s="1" t="s">
        <v>373</v>
      </c>
      <c r="R555" s="1" t="s">
        <v>167</v>
      </c>
      <c r="S555" s="1" t="s">
        <v>168</v>
      </c>
      <c r="T555" s="1">
        <v>1817</v>
      </c>
      <c r="U555" s="1">
        <v>61940</v>
      </c>
      <c r="V555" s="1" t="s">
        <v>169</v>
      </c>
      <c r="W555" s="1" t="s">
        <v>6875</v>
      </c>
      <c r="X555" t="s">
        <v>6887</v>
      </c>
      <c r="Y555" t="s">
        <v>6888</v>
      </c>
      <c r="AA555" t="s">
        <v>68</v>
      </c>
      <c r="AB555" t="s">
        <v>6889</v>
      </c>
      <c r="AC555" t="s">
        <v>6890</v>
      </c>
      <c r="AD555" t="s">
        <v>6891</v>
      </c>
      <c r="AE555" t="s">
        <v>2926</v>
      </c>
      <c r="AF555" t="s">
        <v>73</v>
      </c>
      <c r="AG555" t="s">
        <v>6892</v>
      </c>
      <c r="AH555" t="s">
        <v>75</v>
      </c>
      <c r="AI555" t="s">
        <v>76</v>
      </c>
      <c r="AJ555" t="s">
        <v>77</v>
      </c>
      <c r="AK555" t="s">
        <v>425</v>
      </c>
      <c r="AL555" t="s">
        <v>107</v>
      </c>
      <c r="AM555" t="s">
        <v>80</v>
      </c>
      <c r="AN555" t="s">
        <v>81</v>
      </c>
      <c r="AO555" t="s">
        <v>82</v>
      </c>
      <c r="AP555" t="s">
        <v>83</v>
      </c>
      <c r="AQ555">
        <v>2018</v>
      </c>
      <c r="AR555">
        <v>138595</v>
      </c>
      <c r="AS555">
        <v>5133164</v>
      </c>
      <c r="AT555">
        <v>163</v>
      </c>
      <c r="AU555" t="s">
        <v>84</v>
      </c>
      <c r="AV555">
        <v>562</v>
      </c>
      <c r="AW555" t="s">
        <v>85</v>
      </c>
      <c r="AX555" t="s">
        <v>86</v>
      </c>
      <c r="AY555">
        <v>562</v>
      </c>
      <c r="AZ555" t="s">
        <v>6893</v>
      </c>
      <c r="BA555" t="s">
        <v>88</v>
      </c>
      <c r="BC555" t="s">
        <v>6883</v>
      </c>
      <c r="BD555">
        <v>0</v>
      </c>
    </row>
    <row r="556" spans="1:57" hidden="1" x14ac:dyDescent="0.2">
      <c r="A556" t="s">
        <v>6894</v>
      </c>
      <c r="B556" t="s">
        <v>6895</v>
      </c>
      <c r="C556" t="s">
        <v>6896</v>
      </c>
      <c r="D556" t="s">
        <v>6897</v>
      </c>
      <c r="E556" t="s">
        <v>6897</v>
      </c>
      <c r="G556" t="s">
        <v>56</v>
      </c>
      <c r="H556" t="s">
        <v>57</v>
      </c>
      <c r="I556" t="s">
        <v>58</v>
      </c>
      <c r="J556" t="s">
        <v>6763</v>
      </c>
      <c r="K556" t="s">
        <v>3132</v>
      </c>
      <c r="L556" t="s">
        <v>3132</v>
      </c>
      <c r="M556" t="s">
        <v>60</v>
      </c>
      <c r="N556" t="str">
        <f t="shared" ref="N556:N589" si="9">M556</f>
        <v>Flour</v>
      </c>
      <c r="O556" s="1" t="s">
        <v>6764</v>
      </c>
      <c r="P556" t="s">
        <v>6764</v>
      </c>
      <c r="Q556" s="1" t="s">
        <v>3530</v>
      </c>
      <c r="R556" s="1" t="s">
        <v>250</v>
      </c>
      <c r="S556" s="1" t="s">
        <v>5139</v>
      </c>
      <c r="T556" s="1">
        <v>343</v>
      </c>
      <c r="U556" s="1">
        <v>29633</v>
      </c>
      <c r="V556" s="1" t="s">
        <v>6898</v>
      </c>
      <c r="W556" s="1">
        <v>0</v>
      </c>
      <c r="X556" t="s">
        <v>6899</v>
      </c>
      <c r="Y556" t="s">
        <v>6900</v>
      </c>
      <c r="AA556" t="s">
        <v>68</v>
      </c>
      <c r="AB556" t="s">
        <v>6901</v>
      </c>
      <c r="AC556" t="s">
        <v>6902</v>
      </c>
      <c r="AD556" t="s">
        <v>6903</v>
      </c>
      <c r="AE556" t="s">
        <v>6904</v>
      </c>
      <c r="AF556" t="s">
        <v>73</v>
      </c>
      <c r="AG556" t="s">
        <v>6905</v>
      </c>
      <c r="AH556" t="s">
        <v>75</v>
      </c>
      <c r="AI556" t="s">
        <v>76</v>
      </c>
      <c r="AJ556" t="s">
        <v>77</v>
      </c>
      <c r="AK556" t="s">
        <v>6906</v>
      </c>
      <c r="AL556" t="s">
        <v>364</v>
      </c>
      <c r="AM556" t="s">
        <v>80</v>
      </c>
      <c r="AN556" t="s">
        <v>81</v>
      </c>
      <c r="AO556" t="s">
        <v>82</v>
      </c>
      <c r="AP556" t="s">
        <v>83</v>
      </c>
      <c r="AQ556">
        <v>2018</v>
      </c>
      <c r="AR556">
        <v>103489</v>
      </c>
      <c r="AS556">
        <v>5407402</v>
      </c>
      <c r="AT556">
        <v>275</v>
      </c>
      <c r="AU556" t="s">
        <v>84</v>
      </c>
      <c r="AV556">
        <v>562</v>
      </c>
      <c r="AW556" t="s">
        <v>85</v>
      </c>
      <c r="AX556" t="s">
        <v>3145</v>
      </c>
      <c r="AY556">
        <v>562</v>
      </c>
      <c r="AZ556" t="s">
        <v>6907</v>
      </c>
      <c r="BA556" t="s">
        <v>88</v>
      </c>
      <c r="BC556" t="s">
        <v>6908</v>
      </c>
      <c r="BD556">
        <v>0</v>
      </c>
      <c r="BE556">
        <v>35</v>
      </c>
    </row>
    <row r="557" spans="1:57" hidden="1" x14ac:dyDescent="0.2">
      <c r="A557" t="s">
        <v>6909</v>
      </c>
      <c r="B557" t="s">
        <v>6910</v>
      </c>
      <c r="C557" t="s">
        <v>6896</v>
      </c>
      <c r="D557" t="s">
        <v>6911</v>
      </c>
      <c r="E557" t="s">
        <v>6911</v>
      </c>
      <c r="G557" t="s">
        <v>56</v>
      </c>
      <c r="H557" t="s">
        <v>57</v>
      </c>
      <c r="I557" t="s">
        <v>58</v>
      </c>
      <c r="J557" t="s">
        <v>6763</v>
      </c>
      <c r="K557" t="s">
        <v>3132</v>
      </c>
      <c r="L557" t="s">
        <v>3132</v>
      </c>
      <c r="M557" t="s">
        <v>60</v>
      </c>
      <c r="N557" t="str">
        <f t="shared" si="9"/>
        <v>Flour</v>
      </c>
      <c r="O557" s="1" t="s">
        <v>6764</v>
      </c>
      <c r="P557" t="s">
        <v>6912</v>
      </c>
      <c r="Q557" s="1" t="s">
        <v>4494</v>
      </c>
      <c r="R557" s="1" t="s">
        <v>250</v>
      </c>
      <c r="S557" s="1" t="s">
        <v>5139</v>
      </c>
      <c r="T557" s="1">
        <v>343</v>
      </c>
      <c r="U557" s="1">
        <v>29633</v>
      </c>
      <c r="V557" s="1" t="s">
        <v>169</v>
      </c>
      <c r="W557" s="1">
        <v>11077768</v>
      </c>
      <c r="X557" t="s">
        <v>6913</v>
      </c>
      <c r="Y557" t="s">
        <v>6914</v>
      </c>
      <c r="AA557" t="s">
        <v>68</v>
      </c>
      <c r="AB557" t="s">
        <v>6915</v>
      </c>
      <c r="AC557" t="s">
        <v>6916</v>
      </c>
      <c r="AD557" t="s">
        <v>6917</v>
      </c>
      <c r="AE557" t="s">
        <v>4131</v>
      </c>
      <c r="AF557" t="s">
        <v>73</v>
      </c>
      <c r="AG557" t="s">
        <v>6918</v>
      </c>
      <c r="AH557" t="s">
        <v>75</v>
      </c>
      <c r="AI557" t="s">
        <v>76</v>
      </c>
      <c r="AJ557" t="s">
        <v>77</v>
      </c>
      <c r="AK557" t="s">
        <v>6919</v>
      </c>
      <c r="AL557" t="s">
        <v>364</v>
      </c>
      <c r="AM557" t="s">
        <v>80</v>
      </c>
      <c r="AN557" t="s">
        <v>81</v>
      </c>
      <c r="AO557" t="s">
        <v>82</v>
      </c>
      <c r="AP557" t="s">
        <v>83</v>
      </c>
      <c r="AQ557">
        <v>2018</v>
      </c>
      <c r="AR557">
        <v>96308</v>
      </c>
      <c r="AS557">
        <v>5381345</v>
      </c>
      <c r="AT557">
        <v>302</v>
      </c>
      <c r="AU557" t="s">
        <v>84</v>
      </c>
      <c r="AV557">
        <v>562</v>
      </c>
      <c r="AW557" t="s">
        <v>85</v>
      </c>
      <c r="AX557" t="s">
        <v>86</v>
      </c>
      <c r="AY557">
        <v>562</v>
      </c>
      <c r="AZ557" t="s">
        <v>6920</v>
      </c>
      <c r="BA557" t="s">
        <v>88</v>
      </c>
      <c r="BC557" t="s">
        <v>6908</v>
      </c>
      <c r="BD557">
        <v>0</v>
      </c>
      <c r="BE557">
        <v>35</v>
      </c>
    </row>
    <row r="558" spans="1:57" hidden="1" x14ac:dyDescent="0.2">
      <c r="A558" t="s">
        <v>6921</v>
      </c>
      <c r="B558" t="s">
        <v>6922</v>
      </c>
      <c r="C558" t="s">
        <v>6896</v>
      </c>
      <c r="D558" t="s">
        <v>6923</v>
      </c>
      <c r="E558" t="s">
        <v>6923</v>
      </c>
      <c r="G558" t="s">
        <v>56</v>
      </c>
      <c r="H558" t="s">
        <v>57</v>
      </c>
      <c r="I558" t="s">
        <v>58</v>
      </c>
      <c r="J558" t="s">
        <v>6763</v>
      </c>
      <c r="K558" t="s">
        <v>3132</v>
      </c>
      <c r="L558" t="s">
        <v>3132</v>
      </c>
      <c r="M558" t="s">
        <v>60</v>
      </c>
      <c r="N558" t="str">
        <f t="shared" si="9"/>
        <v>Flour</v>
      </c>
      <c r="O558" s="1" t="s">
        <v>6764</v>
      </c>
      <c r="P558" t="s">
        <v>6912</v>
      </c>
      <c r="Q558" s="1" t="s">
        <v>4494</v>
      </c>
      <c r="R558" s="1" t="s">
        <v>250</v>
      </c>
      <c r="S558" s="1" t="s">
        <v>5139</v>
      </c>
      <c r="T558" s="1">
        <v>343</v>
      </c>
      <c r="U558" s="1">
        <v>29633</v>
      </c>
      <c r="V558" s="1" t="s">
        <v>169</v>
      </c>
      <c r="W558" s="1">
        <v>11077768</v>
      </c>
      <c r="X558" t="s">
        <v>6924</v>
      </c>
      <c r="Y558" t="s">
        <v>6925</v>
      </c>
      <c r="AA558" t="s">
        <v>68</v>
      </c>
      <c r="AB558" t="s">
        <v>6926</v>
      </c>
      <c r="AC558" t="s">
        <v>6927</v>
      </c>
      <c r="AD558" t="s">
        <v>6928</v>
      </c>
      <c r="AE558" t="s">
        <v>580</v>
      </c>
      <c r="AF558" t="s">
        <v>73</v>
      </c>
      <c r="AG558" t="s">
        <v>6929</v>
      </c>
      <c r="AH558" t="s">
        <v>75</v>
      </c>
      <c r="AI558" t="s">
        <v>76</v>
      </c>
      <c r="AJ558" t="s">
        <v>77</v>
      </c>
      <c r="AK558" t="s">
        <v>6930</v>
      </c>
      <c r="AL558" t="s">
        <v>364</v>
      </c>
      <c r="AM558" t="s">
        <v>80</v>
      </c>
      <c r="AN558" t="s">
        <v>81</v>
      </c>
      <c r="AO558" t="s">
        <v>82</v>
      </c>
      <c r="AP558" t="s">
        <v>83</v>
      </c>
      <c r="AQ558">
        <v>2018</v>
      </c>
      <c r="AR558">
        <v>87392</v>
      </c>
      <c r="AS558">
        <v>5373048</v>
      </c>
      <c r="AT558">
        <v>303</v>
      </c>
      <c r="AU558" t="s">
        <v>84</v>
      </c>
      <c r="AV558">
        <v>562</v>
      </c>
      <c r="AW558" t="s">
        <v>85</v>
      </c>
      <c r="AX558" t="s">
        <v>86</v>
      </c>
      <c r="AY558">
        <v>562</v>
      </c>
      <c r="AZ558" t="s">
        <v>6931</v>
      </c>
      <c r="BA558" t="s">
        <v>88</v>
      </c>
      <c r="BC558" t="s">
        <v>6908</v>
      </c>
      <c r="BD558">
        <v>0</v>
      </c>
      <c r="BE558">
        <v>35</v>
      </c>
    </row>
    <row r="559" spans="1:57" hidden="1" x14ac:dyDescent="0.2">
      <c r="A559" t="s">
        <v>6932</v>
      </c>
      <c r="B559" t="s">
        <v>6933</v>
      </c>
      <c r="C559" t="s">
        <v>6896</v>
      </c>
      <c r="D559" t="s">
        <v>6934</v>
      </c>
      <c r="E559" t="s">
        <v>6934</v>
      </c>
      <c r="G559" t="s">
        <v>56</v>
      </c>
      <c r="H559" t="s">
        <v>57</v>
      </c>
      <c r="I559" t="s">
        <v>58</v>
      </c>
      <c r="J559" t="s">
        <v>6763</v>
      </c>
      <c r="K559" t="s">
        <v>3132</v>
      </c>
      <c r="L559" t="s">
        <v>3132</v>
      </c>
      <c r="M559" t="s">
        <v>60</v>
      </c>
      <c r="N559" t="str">
        <f t="shared" si="9"/>
        <v>Flour</v>
      </c>
      <c r="O559" s="1" t="s">
        <v>6764</v>
      </c>
      <c r="P559" t="s">
        <v>6912</v>
      </c>
      <c r="Q559" s="1" t="s">
        <v>4494</v>
      </c>
      <c r="R559" s="1" t="s">
        <v>250</v>
      </c>
      <c r="S559" s="1" t="s">
        <v>5139</v>
      </c>
      <c r="T559" s="1">
        <v>343</v>
      </c>
      <c r="U559" s="1">
        <v>29633</v>
      </c>
      <c r="V559" s="1" t="s">
        <v>169</v>
      </c>
      <c r="W559" s="1">
        <v>11077768</v>
      </c>
      <c r="X559" t="s">
        <v>6935</v>
      </c>
      <c r="Y559" t="s">
        <v>6936</v>
      </c>
      <c r="AA559" t="s">
        <v>68</v>
      </c>
      <c r="AB559" t="s">
        <v>6937</v>
      </c>
      <c r="AC559" t="s">
        <v>6938</v>
      </c>
      <c r="AD559" t="s">
        <v>6939</v>
      </c>
      <c r="AE559" t="s">
        <v>4131</v>
      </c>
      <c r="AF559" t="s">
        <v>73</v>
      </c>
      <c r="AG559" t="s">
        <v>6940</v>
      </c>
      <c r="AH559" t="s">
        <v>75</v>
      </c>
      <c r="AI559" t="s">
        <v>76</v>
      </c>
      <c r="AJ559" t="s">
        <v>77</v>
      </c>
      <c r="AK559" t="s">
        <v>6941</v>
      </c>
      <c r="AL559" t="s">
        <v>364</v>
      </c>
      <c r="AM559" t="s">
        <v>80</v>
      </c>
      <c r="AN559" t="s">
        <v>81</v>
      </c>
      <c r="AO559" t="s">
        <v>82</v>
      </c>
      <c r="AP559" t="s">
        <v>83</v>
      </c>
      <c r="AQ559">
        <v>2018</v>
      </c>
      <c r="AR559">
        <v>85743</v>
      </c>
      <c r="AS559">
        <v>5382253</v>
      </c>
      <c r="AT559">
        <v>270</v>
      </c>
      <c r="AU559" t="s">
        <v>84</v>
      </c>
      <c r="AV559">
        <v>562</v>
      </c>
      <c r="AW559" t="s">
        <v>85</v>
      </c>
      <c r="AX559" t="s">
        <v>86</v>
      </c>
      <c r="AY559">
        <v>562</v>
      </c>
      <c r="AZ559" t="s">
        <v>6942</v>
      </c>
      <c r="BA559" t="s">
        <v>88</v>
      </c>
      <c r="BC559" t="s">
        <v>6908</v>
      </c>
      <c r="BD559">
        <v>0</v>
      </c>
      <c r="BE559">
        <v>35</v>
      </c>
    </row>
    <row r="560" spans="1:57" ht="15" customHeight="1" x14ac:dyDescent="0.2">
      <c r="A560" t="s">
        <v>6943</v>
      </c>
      <c r="B560" t="s">
        <v>6943</v>
      </c>
      <c r="D560" t="s">
        <v>6944</v>
      </c>
      <c r="H560" t="s">
        <v>57</v>
      </c>
      <c r="I560" t="s">
        <v>58</v>
      </c>
      <c r="J560" t="s">
        <v>4537</v>
      </c>
      <c r="K560" t="s">
        <v>602</v>
      </c>
      <c r="M560" t="s">
        <v>7162</v>
      </c>
      <c r="N560" t="str">
        <f t="shared" si="9"/>
        <v>Other</v>
      </c>
      <c r="O560" s="11" t="s">
        <v>6945</v>
      </c>
      <c r="P560" s="11"/>
      <c r="Q560" s="11" t="s">
        <v>3530</v>
      </c>
      <c r="R560" s="11" t="s">
        <v>6946</v>
      </c>
      <c r="X560" t="s">
        <v>6947</v>
      </c>
      <c r="Y560" t="s">
        <v>6948</v>
      </c>
      <c r="AA560" t="s">
        <v>6949</v>
      </c>
      <c r="AB560" t="s">
        <v>6950</v>
      </c>
      <c r="AC560" t="s">
        <v>6951</v>
      </c>
    </row>
    <row r="561" spans="1:29" ht="15" customHeight="1" x14ac:dyDescent="0.2">
      <c r="A561" t="s">
        <v>6952</v>
      </c>
      <c r="B561" t="s">
        <v>6952</v>
      </c>
      <c r="D561" t="s">
        <v>6953</v>
      </c>
      <c r="H561" t="s">
        <v>57</v>
      </c>
      <c r="I561" t="s">
        <v>58</v>
      </c>
      <c r="J561" t="s">
        <v>4510</v>
      </c>
      <c r="K561" t="s">
        <v>602</v>
      </c>
      <c r="M561" t="s">
        <v>7162</v>
      </c>
      <c r="N561" t="str">
        <f t="shared" si="9"/>
        <v>Other</v>
      </c>
      <c r="O561" s="11" t="s">
        <v>4511</v>
      </c>
      <c r="P561" s="11"/>
      <c r="Q561" s="11" t="s">
        <v>6954</v>
      </c>
      <c r="R561" s="11" t="s">
        <v>6946</v>
      </c>
      <c r="X561" t="s">
        <v>6955</v>
      </c>
      <c r="Y561" t="s">
        <v>6956</v>
      </c>
      <c r="AA561" t="s">
        <v>6949</v>
      </c>
      <c r="AB561" t="s">
        <v>6957</v>
      </c>
      <c r="AC561" t="s">
        <v>6958</v>
      </c>
    </row>
    <row r="562" spans="1:29" ht="15" customHeight="1" x14ac:dyDescent="0.2">
      <c r="A562" t="s">
        <v>6959</v>
      </c>
      <c r="B562" t="s">
        <v>6959</v>
      </c>
      <c r="D562" t="s">
        <v>6960</v>
      </c>
      <c r="H562" t="s">
        <v>57</v>
      </c>
      <c r="I562" t="s">
        <v>58</v>
      </c>
      <c r="J562" t="s">
        <v>4537</v>
      </c>
      <c r="K562" t="s">
        <v>602</v>
      </c>
      <c r="M562" t="s">
        <v>7162</v>
      </c>
      <c r="N562" t="str">
        <f t="shared" si="9"/>
        <v>Other</v>
      </c>
      <c r="O562" s="11" t="s">
        <v>4538</v>
      </c>
      <c r="P562" s="11"/>
      <c r="Q562" s="11" t="s">
        <v>6961</v>
      </c>
      <c r="R562" s="11" t="s">
        <v>6946</v>
      </c>
      <c r="X562" t="s">
        <v>6962</v>
      </c>
      <c r="Y562" t="s">
        <v>6948</v>
      </c>
      <c r="AA562" t="s">
        <v>6963</v>
      </c>
      <c r="AB562" t="s">
        <v>6964</v>
      </c>
    </row>
    <row r="563" spans="1:29" ht="15" customHeight="1" x14ac:dyDescent="0.2">
      <c r="A563" t="s">
        <v>6965</v>
      </c>
      <c r="B563" t="s">
        <v>6965</v>
      </c>
      <c r="D563" t="s">
        <v>6966</v>
      </c>
      <c r="H563" t="s">
        <v>57</v>
      </c>
      <c r="I563" t="s">
        <v>58</v>
      </c>
      <c r="J563" t="s">
        <v>6763</v>
      </c>
      <c r="K563" t="s">
        <v>602</v>
      </c>
      <c r="M563" t="s">
        <v>7162</v>
      </c>
      <c r="N563" t="str">
        <f t="shared" si="9"/>
        <v>Other</v>
      </c>
      <c r="O563" s="11" t="s">
        <v>4538</v>
      </c>
      <c r="P563" s="11"/>
      <c r="Q563" s="11" t="s">
        <v>4741</v>
      </c>
      <c r="R563" s="11" t="s">
        <v>6946</v>
      </c>
      <c r="X563" t="s">
        <v>6967</v>
      </c>
      <c r="Y563" t="s">
        <v>6968</v>
      </c>
      <c r="AA563" t="s">
        <v>6949</v>
      </c>
      <c r="AB563" t="s">
        <v>6969</v>
      </c>
      <c r="AC563" t="s">
        <v>6970</v>
      </c>
    </row>
    <row r="564" spans="1:29" ht="15" customHeight="1" x14ac:dyDescent="0.2">
      <c r="A564" t="s">
        <v>6971</v>
      </c>
      <c r="B564" t="s">
        <v>6971</v>
      </c>
      <c r="D564" t="s">
        <v>6972</v>
      </c>
      <c r="H564" t="s">
        <v>57</v>
      </c>
      <c r="I564" t="s">
        <v>58</v>
      </c>
      <c r="J564" t="s">
        <v>6973</v>
      </c>
      <c r="K564" t="s">
        <v>602</v>
      </c>
      <c r="M564" t="s">
        <v>7162</v>
      </c>
      <c r="N564" t="str">
        <f t="shared" si="9"/>
        <v>Other</v>
      </c>
      <c r="O564" s="11" t="s">
        <v>603</v>
      </c>
      <c r="P564" s="11"/>
      <c r="Q564" s="11" t="s">
        <v>650</v>
      </c>
      <c r="R564" s="11" t="s">
        <v>6974</v>
      </c>
      <c r="X564" t="s">
        <v>6975</v>
      </c>
      <c r="Y564" t="s">
        <v>6976</v>
      </c>
      <c r="AA564" t="s">
        <v>6963</v>
      </c>
      <c r="AB564" t="s">
        <v>6977</v>
      </c>
    </row>
    <row r="565" spans="1:29" ht="15" customHeight="1" x14ac:dyDescent="0.2">
      <c r="A565" t="s">
        <v>6978</v>
      </c>
      <c r="B565" t="s">
        <v>6978</v>
      </c>
      <c r="D565" t="s">
        <v>6979</v>
      </c>
      <c r="H565" t="s">
        <v>57</v>
      </c>
      <c r="I565" t="s">
        <v>58</v>
      </c>
      <c r="J565" t="s">
        <v>4510</v>
      </c>
      <c r="K565" t="s">
        <v>602</v>
      </c>
      <c r="M565" t="s">
        <v>7162</v>
      </c>
      <c r="N565" t="str">
        <f t="shared" si="9"/>
        <v>Other</v>
      </c>
      <c r="O565" s="11" t="s">
        <v>603</v>
      </c>
      <c r="P565" s="11"/>
      <c r="Q565" s="11" t="s">
        <v>674</v>
      </c>
      <c r="R565" s="11" t="s">
        <v>6980</v>
      </c>
      <c r="X565" t="e">
        <v>#N/A</v>
      </c>
      <c r="Y565" t="s">
        <v>6948</v>
      </c>
      <c r="AA565" t="s">
        <v>6949</v>
      </c>
      <c r="AB565" t="e">
        <v>#N/A</v>
      </c>
      <c r="AC565" t="e">
        <v>#N/A</v>
      </c>
    </row>
    <row r="566" spans="1:29" ht="15" customHeight="1" x14ac:dyDescent="0.2">
      <c r="A566" t="s">
        <v>6981</v>
      </c>
      <c r="B566" t="s">
        <v>6981</v>
      </c>
      <c r="D566" t="s">
        <v>6982</v>
      </c>
      <c r="H566" t="s">
        <v>57</v>
      </c>
      <c r="I566" t="s">
        <v>58</v>
      </c>
      <c r="J566" t="s">
        <v>6983</v>
      </c>
      <c r="K566" t="s">
        <v>602</v>
      </c>
      <c r="M566" t="s">
        <v>7162</v>
      </c>
      <c r="N566" t="str">
        <f t="shared" si="9"/>
        <v>Other</v>
      </c>
      <c r="O566" s="11" t="s">
        <v>603</v>
      </c>
      <c r="P566" s="11"/>
      <c r="Q566" s="11" t="s">
        <v>650</v>
      </c>
      <c r="R566" s="11" t="s">
        <v>6984</v>
      </c>
      <c r="X566" t="e">
        <v>#N/A</v>
      </c>
      <c r="Y566" t="s">
        <v>6948</v>
      </c>
      <c r="AA566" t="s">
        <v>6949</v>
      </c>
      <c r="AB566" t="e">
        <v>#N/A</v>
      </c>
      <c r="AC566" t="e">
        <v>#N/A</v>
      </c>
    </row>
    <row r="567" spans="1:29" ht="15" customHeight="1" x14ac:dyDescent="0.2">
      <c r="A567" t="s">
        <v>6985</v>
      </c>
      <c r="B567" t="s">
        <v>6985</v>
      </c>
      <c r="D567" t="s">
        <v>6986</v>
      </c>
      <c r="H567" t="s">
        <v>57</v>
      </c>
      <c r="I567" t="s">
        <v>58</v>
      </c>
      <c r="J567" t="s">
        <v>4510</v>
      </c>
      <c r="K567" t="s">
        <v>602</v>
      </c>
      <c r="M567" t="s">
        <v>7162</v>
      </c>
      <c r="N567" t="str">
        <f t="shared" si="9"/>
        <v>Other</v>
      </c>
      <c r="O567" s="11" t="s">
        <v>603</v>
      </c>
      <c r="P567" s="11"/>
      <c r="Q567" s="11" t="s">
        <v>6987</v>
      </c>
      <c r="R567" s="11" t="s">
        <v>6988</v>
      </c>
      <c r="X567" t="s">
        <v>6989</v>
      </c>
      <c r="Y567" t="s">
        <v>6948</v>
      </c>
      <c r="AA567" t="s">
        <v>6990</v>
      </c>
      <c r="AC567" t="s">
        <v>6991</v>
      </c>
    </row>
    <row r="568" spans="1:29" ht="15" customHeight="1" x14ac:dyDescent="0.2">
      <c r="A568" t="s">
        <v>6992</v>
      </c>
      <c r="B568" t="s">
        <v>6992</v>
      </c>
      <c r="D568" t="s">
        <v>6993</v>
      </c>
      <c r="H568" t="s">
        <v>57</v>
      </c>
      <c r="I568" t="s">
        <v>58</v>
      </c>
      <c r="J568" t="s">
        <v>6994</v>
      </c>
      <c r="K568" t="s">
        <v>602</v>
      </c>
      <c r="M568" t="s">
        <v>7162</v>
      </c>
      <c r="N568" t="str">
        <f t="shared" si="9"/>
        <v>Other</v>
      </c>
      <c r="O568" s="11" t="s">
        <v>4538</v>
      </c>
      <c r="P568" s="11"/>
      <c r="Q568" s="11" t="s">
        <v>6961</v>
      </c>
      <c r="R568" s="11" t="s">
        <v>6946</v>
      </c>
      <c r="X568" t="s">
        <v>6995</v>
      </c>
      <c r="Y568" t="s">
        <v>6996</v>
      </c>
      <c r="AA568" t="s">
        <v>6949</v>
      </c>
      <c r="AB568" t="s">
        <v>6997</v>
      </c>
      <c r="AC568" t="s">
        <v>6996</v>
      </c>
    </row>
    <row r="569" spans="1:29" ht="15" customHeight="1" x14ac:dyDescent="0.2">
      <c r="A569" t="s">
        <v>6998</v>
      </c>
      <c r="B569" t="s">
        <v>6998</v>
      </c>
      <c r="D569" t="s">
        <v>6999</v>
      </c>
      <c r="H569" t="s">
        <v>57</v>
      </c>
      <c r="I569" t="s">
        <v>58</v>
      </c>
      <c r="J569" t="s">
        <v>7000</v>
      </c>
      <c r="K569" t="s">
        <v>602</v>
      </c>
      <c r="M569" t="s">
        <v>7162</v>
      </c>
      <c r="N569" t="str">
        <f t="shared" si="9"/>
        <v>Other</v>
      </c>
      <c r="O569" s="11" t="s">
        <v>7001</v>
      </c>
      <c r="P569" s="11"/>
      <c r="Q569" s="11" t="s">
        <v>7002</v>
      </c>
      <c r="R569" s="11" t="s">
        <v>6984</v>
      </c>
      <c r="X569" t="s">
        <v>7003</v>
      </c>
      <c r="Y569" t="s">
        <v>6948</v>
      </c>
      <c r="AA569" t="s">
        <v>6949</v>
      </c>
      <c r="AB569" t="s">
        <v>7004</v>
      </c>
      <c r="AC569" t="s">
        <v>7005</v>
      </c>
    </row>
    <row r="570" spans="1:29" ht="15" customHeight="1" x14ac:dyDescent="0.2">
      <c r="A570" t="s">
        <v>7006</v>
      </c>
      <c r="B570" t="s">
        <v>7006</v>
      </c>
      <c r="D570" t="s">
        <v>7007</v>
      </c>
      <c r="H570" t="s">
        <v>57</v>
      </c>
      <c r="I570" t="s">
        <v>58</v>
      </c>
      <c r="J570" t="s">
        <v>4537</v>
      </c>
      <c r="K570" t="s">
        <v>602</v>
      </c>
      <c r="M570" t="s">
        <v>7162</v>
      </c>
      <c r="N570" t="str">
        <f t="shared" si="9"/>
        <v>Other</v>
      </c>
      <c r="O570" s="11" t="s">
        <v>4538</v>
      </c>
      <c r="P570" s="11"/>
      <c r="Q570" s="11" t="s">
        <v>6961</v>
      </c>
      <c r="R570" s="11" t="s">
        <v>6946</v>
      </c>
      <c r="X570" t="s">
        <v>7008</v>
      </c>
      <c r="Y570" t="s">
        <v>7009</v>
      </c>
      <c r="AA570" t="s">
        <v>6949</v>
      </c>
      <c r="AB570" t="s">
        <v>7009</v>
      </c>
      <c r="AC570" t="s">
        <v>7010</v>
      </c>
    </row>
    <row r="571" spans="1:29" ht="15" customHeight="1" x14ac:dyDescent="0.2">
      <c r="A571" t="s">
        <v>7011</v>
      </c>
      <c r="B571" t="s">
        <v>7011</v>
      </c>
      <c r="D571" t="s">
        <v>7012</v>
      </c>
      <c r="H571" t="s">
        <v>57</v>
      </c>
      <c r="I571" t="s">
        <v>58</v>
      </c>
      <c r="J571" t="s">
        <v>3528</v>
      </c>
      <c r="K571" t="s">
        <v>602</v>
      </c>
      <c r="M571" t="s">
        <v>7162</v>
      </c>
      <c r="N571" t="str">
        <f t="shared" si="9"/>
        <v>Other</v>
      </c>
      <c r="O571" s="11" t="s">
        <v>7013</v>
      </c>
      <c r="P571" s="11"/>
      <c r="Q571" s="11" t="s">
        <v>3530</v>
      </c>
      <c r="R571" s="11" t="s">
        <v>6946</v>
      </c>
      <c r="X571" t="e">
        <v>#N/A</v>
      </c>
      <c r="Y571" t="s">
        <v>6948</v>
      </c>
      <c r="AA571" t="s">
        <v>6949</v>
      </c>
      <c r="AB571" t="e">
        <v>#N/A</v>
      </c>
      <c r="AC571" t="e">
        <v>#N/A</v>
      </c>
    </row>
    <row r="572" spans="1:29" ht="15" customHeight="1" x14ac:dyDescent="0.2">
      <c r="A572" t="s">
        <v>7014</v>
      </c>
      <c r="B572" t="s">
        <v>7014</v>
      </c>
      <c r="D572" t="s">
        <v>7015</v>
      </c>
      <c r="H572" t="s">
        <v>57</v>
      </c>
      <c r="I572" t="s">
        <v>58</v>
      </c>
      <c r="J572" t="s">
        <v>7016</v>
      </c>
      <c r="K572" t="s">
        <v>602</v>
      </c>
      <c r="M572" t="s">
        <v>7162</v>
      </c>
      <c r="N572" t="str">
        <f t="shared" si="9"/>
        <v>Other</v>
      </c>
      <c r="O572" s="11" t="s">
        <v>7017</v>
      </c>
      <c r="P572" s="11"/>
      <c r="Q572" s="11" t="s">
        <v>7018</v>
      </c>
      <c r="R572" s="11" t="s">
        <v>6946</v>
      </c>
      <c r="X572" t="s">
        <v>7019</v>
      </c>
      <c r="Y572" s="12" t="s">
        <v>7020</v>
      </c>
      <c r="AA572" t="s">
        <v>6963</v>
      </c>
      <c r="AB572" t="s">
        <v>7021</v>
      </c>
    </row>
    <row r="573" spans="1:29" ht="15" customHeight="1" x14ac:dyDescent="0.2">
      <c r="A573" t="s">
        <v>7022</v>
      </c>
      <c r="B573" t="s">
        <v>7022</v>
      </c>
      <c r="D573" t="s">
        <v>7023</v>
      </c>
      <c r="H573" t="s">
        <v>57</v>
      </c>
      <c r="I573" t="s">
        <v>58</v>
      </c>
      <c r="J573" t="s">
        <v>59</v>
      </c>
      <c r="K573" t="s">
        <v>602</v>
      </c>
      <c r="M573" t="s">
        <v>7162</v>
      </c>
      <c r="N573" t="str">
        <f t="shared" si="9"/>
        <v>Other</v>
      </c>
      <c r="O573" s="11" t="s">
        <v>7024</v>
      </c>
      <c r="P573" s="11"/>
      <c r="Q573" s="11" t="s">
        <v>63</v>
      </c>
      <c r="R573" s="11" t="s">
        <v>7025</v>
      </c>
      <c r="X573" t="s">
        <v>7026</v>
      </c>
      <c r="Y573" t="s">
        <v>7027</v>
      </c>
      <c r="AA573" t="s">
        <v>6949</v>
      </c>
      <c r="AB573" t="s">
        <v>7027</v>
      </c>
      <c r="AC573" t="s">
        <v>7028</v>
      </c>
    </row>
    <row r="574" spans="1:29" ht="15" customHeight="1" x14ac:dyDescent="0.2">
      <c r="A574" t="s">
        <v>7029</v>
      </c>
      <c r="B574" t="s">
        <v>7029</v>
      </c>
      <c r="D574" t="s">
        <v>7030</v>
      </c>
      <c r="H574" t="s">
        <v>57</v>
      </c>
      <c r="I574" t="s">
        <v>58</v>
      </c>
      <c r="J574" t="s">
        <v>4537</v>
      </c>
      <c r="K574" t="s">
        <v>602</v>
      </c>
      <c r="M574" t="s">
        <v>7162</v>
      </c>
      <c r="N574" t="str">
        <f t="shared" si="9"/>
        <v>Other</v>
      </c>
      <c r="O574" s="11" t="s">
        <v>4492</v>
      </c>
      <c r="P574" s="11"/>
      <c r="Q574" s="11" t="s">
        <v>7031</v>
      </c>
      <c r="R574" s="11" t="s">
        <v>6946</v>
      </c>
      <c r="X574" t="s">
        <v>7032</v>
      </c>
      <c r="Y574" t="s">
        <v>6948</v>
      </c>
      <c r="AA574" t="s">
        <v>6963</v>
      </c>
      <c r="AB574" t="s">
        <v>7033</v>
      </c>
    </row>
    <row r="575" spans="1:29" ht="15" customHeight="1" x14ac:dyDescent="0.2">
      <c r="A575" t="s">
        <v>7034</v>
      </c>
      <c r="B575" t="s">
        <v>7034</v>
      </c>
      <c r="D575" t="s">
        <v>7035</v>
      </c>
      <c r="H575" t="s">
        <v>57</v>
      </c>
      <c r="I575" t="s">
        <v>58</v>
      </c>
      <c r="J575" t="s">
        <v>59</v>
      </c>
      <c r="K575" t="s">
        <v>602</v>
      </c>
      <c r="M575" t="s">
        <v>7162</v>
      </c>
      <c r="N575" t="str">
        <f t="shared" si="9"/>
        <v>Other</v>
      </c>
      <c r="O575" s="11" t="s">
        <v>61</v>
      </c>
      <c r="P575" s="11"/>
      <c r="Q575" s="11" t="s">
        <v>63</v>
      </c>
      <c r="R575" s="11" t="s">
        <v>7025</v>
      </c>
      <c r="X575" t="s">
        <v>7036</v>
      </c>
      <c r="Y575" t="s">
        <v>7037</v>
      </c>
      <c r="AA575" t="s">
        <v>6963</v>
      </c>
      <c r="AB575" t="s">
        <v>7038</v>
      </c>
    </row>
    <row r="576" spans="1:29" ht="15" customHeight="1" x14ac:dyDescent="0.2">
      <c r="A576" t="s">
        <v>7039</v>
      </c>
      <c r="B576" t="s">
        <v>7039</v>
      </c>
      <c r="D576" t="s">
        <v>7040</v>
      </c>
      <c r="H576" t="s">
        <v>57</v>
      </c>
      <c r="I576" t="s">
        <v>58</v>
      </c>
      <c r="J576" t="s">
        <v>4510</v>
      </c>
      <c r="K576" t="s">
        <v>602</v>
      </c>
      <c r="M576" t="s">
        <v>7162</v>
      </c>
      <c r="N576" t="str">
        <f t="shared" si="9"/>
        <v>Other</v>
      </c>
      <c r="O576" s="11" t="s">
        <v>7001</v>
      </c>
      <c r="P576" s="11"/>
      <c r="Q576" s="11" t="s">
        <v>7002</v>
      </c>
      <c r="R576" s="11" t="s">
        <v>6984</v>
      </c>
      <c r="X576" t="s">
        <v>7041</v>
      </c>
      <c r="Y576" s="12" t="s">
        <v>7042</v>
      </c>
      <c r="AA576" t="s">
        <v>6949</v>
      </c>
      <c r="AB576" t="s">
        <v>7043</v>
      </c>
      <c r="AC576" t="s">
        <v>7042</v>
      </c>
    </row>
    <row r="577" spans="1:29" ht="15" customHeight="1" x14ac:dyDescent="0.2">
      <c r="A577" t="s">
        <v>7044</v>
      </c>
      <c r="B577" t="s">
        <v>7044</v>
      </c>
      <c r="D577" t="s">
        <v>7045</v>
      </c>
      <c r="H577" t="s">
        <v>57</v>
      </c>
      <c r="I577" t="s">
        <v>58</v>
      </c>
      <c r="J577" t="s">
        <v>7046</v>
      </c>
      <c r="K577" t="s">
        <v>602</v>
      </c>
      <c r="M577" t="s">
        <v>7162</v>
      </c>
      <c r="N577" t="str">
        <f t="shared" si="9"/>
        <v>Other</v>
      </c>
      <c r="O577" s="11" t="s">
        <v>7047</v>
      </c>
      <c r="P577" s="11"/>
      <c r="Q577" s="11" t="s">
        <v>7048</v>
      </c>
      <c r="R577" s="11" t="s">
        <v>6946</v>
      </c>
      <c r="X577" t="s">
        <v>7049</v>
      </c>
      <c r="Y577" t="s">
        <v>6948</v>
      </c>
      <c r="AA577" t="s">
        <v>6963</v>
      </c>
      <c r="AB577" t="s">
        <v>7050</v>
      </c>
    </row>
    <row r="578" spans="1:29" ht="15" customHeight="1" x14ac:dyDescent="0.2">
      <c r="A578" t="s">
        <v>7051</v>
      </c>
      <c r="B578" t="s">
        <v>7051</v>
      </c>
      <c r="D578" t="s">
        <v>7052</v>
      </c>
      <c r="H578" t="s">
        <v>57</v>
      </c>
      <c r="I578" t="s">
        <v>58</v>
      </c>
      <c r="J578" t="s">
        <v>6983</v>
      </c>
      <c r="K578" t="s">
        <v>602</v>
      </c>
      <c r="M578" t="s">
        <v>7162</v>
      </c>
      <c r="N578" t="str">
        <f t="shared" si="9"/>
        <v>Other</v>
      </c>
      <c r="O578" s="11" t="s">
        <v>603</v>
      </c>
      <c r="P578" s="11"/>
      <c r="Q578" s="11" t="s">
        <v>650</v>
      </c>
      <c r="R578" s="11" t="s">
        <v>6984</v>
      </c>
      <c r="X578" t="s">
        <v>7053</v>
      </c>
      <c r="Y578" t="s">
        <v>7054</v>
      </c>
      <c r="AA578" t="s">
        <v>6963</v>
      </c>
      <c r="AB578" t="s">
        <v>7055</v>
      </c>
    </row>
    <row r="579" spans="1:29" ht="15" customHeight="1" x14ac:dyDescent="0.2">
      <c r="A579" t="s">
        <v>7056</v>
      </c>
      <c r="B579" t="s">
        <v>7056</v>
      </c>
      <c r="C579" t="s">
        <v>7057</v>
      </c>
      <c r="D579" t="s">
        <v>7058</v>
      </c>
      <c r="H579" t="s">
        <v>57</v>
      </c>
      <c r="I579" t="s">
        <v>58</v>
      </c>
      <c r="J579" t="s">
        <v>4564</v>
      </c>
      <c r="K579" t="s">
        <v>602</v>
      </c>
      <c r="M579" t="s">
        <v>7162</v>
      </c>
      <c r="N579" t="str">
        <f t="shared" si="9"/>
        <v>Other</v>
      </c>
      <c r="O579" s="11" t="s">
        <v>4565</v>
      </c>
      <c r="P579" s="11"/>
      <c r="Q579" s="11" t="s">
        <v>7059</v>
      </c>
      <c r="R579" s="11" t="s">
        <v>7060</v>
      </c>
      <c r="X579" t="s">
        <v>7061</v>
      </c>
      <c r="Y579" t="s">
        <v>7062</v>
      </c>
      <c r="AA579" t="s">
        <v>6949</v>
      </c>
      <c r="AB579" t="s">
        <v>7063</v>
      </c>
      <c r="AC579" t="s">
        <v>7062</v>
      </c>
    </row>
    <row r="580" spans="1:29" ht="15" customHeight="1" x14ac:dyDescent="0.2">
      <c r="A580" t="s">
        <v>7064</v>
      </c>
      <c r="B580" t="s">
        <v>7064</v>
      </c>
      <c r="D580" t="s">
        <v>7065</v>
      </c>
      <c r="H580" t="s">
        <v>57</v>
      </c>
      <c r="I580" t="s">
        <v>58</v>
      </c>
      <c r="J580" t="s">
        <v>7066</v>
      </c>
      <c r="K580" t="s">
        <v>602</v>
      </c>
      <c r="M580" t="s">
        <v>7162</v>
      </c>
      <c r="N580" t="str">
        <f t="shared" si="9"/>
        <v>Other</v>
      </c>
      <c r="O580" s="11" t="s">
        <v>7067</v>
      </c>
      <c r="P580" s="11"/>
      <c r="Q580" s="11" t="s">
        <v>4567</v>
      </c>
      <c r="R580" s="11" t="s">
        <v>7068</v>
      </c>
      <c r="X580" t="s">
        <v>7069</v>
      </c>
      <c r="Y580" t="s">
        <v>7070</v>
      </c>
      <c r="AA580" t="s">
        <v>6949</v>
      </c>
      <c r="AB580" t="s">
        <v>7071</v>
      </c>
      <c r="AC580" t="s">
        <v>7070</v>
      </c>
    </row>
    <row r="581" spans="1:29" ht="15" customHeight="1" x14ac:dyDescent="0.2">
      <c r="A581" t="s">
        <v>7072</v>
      </c>
      <c r="B581" t="s">
        <v>7072</v>
      </c>
      <c r="D581" t="s">
        <v>7073</v>
      </c>
      <c r="H581" t="s">
        <v>57</v>
      </c>
      <c r="I581" t="s">
        <v>58</v>
      </c>
      <c r="J581" t="s">
        <v>7074</v>
      </c>
      <c r="K581" t="s">
        <v>602</v>
      </c>
      <c r="M581" t="s">
        <v>7162</v>
      </c>
      <c r="N581" t="str">
        <f t="shared" si="9"/>
        <v>Other</v>
      </c>
      <c r="O581" s="11" t="s">
        <v>6945</v>
      </c>
      <c r="P581" s="11"/>
      <c r="Q581" s="11" t="s">
        <v>6954</v>
      </c>
      <c r="R581" s="11" t="s">
        <v>6946</v>
      </c>
      <c r="X581" t="s">
        <v>7075</v>
      </c>
      <c r="Y581" s="12" t="s">
        <v>7076</v>
      </c>
      <c r="AA581" t="s">
        <v>6949</v>
      </c>
      <c r="AB581" t="s">
        <v>7077</v>
      </c>
      <c r="AC581" t="s">
        <v>7076</v>
      </c>
    </row>
    <row r="582" spans="1:29" ht="15" customHeight="1" x14ac:dyDescent="0.2">
      <c r="A582" t="s">
        <v>7078</v>
      </c>
      <c r="B582" t="s">
        <v>7078</v>
      </c>
      <c r="D582" t="s">
        <v>7079</v>
      </c>
      <c r="H582" t="s">
        <v>57</v>
      </c>
      <c r="I582" t="s">
        <v>93</v>
      </c>
      <c r="J582">
        <v>0</v>
      </c>
      <c r="K582" t="s">
        <v>602</v>
      </c>
      <c r="M582" t="s">
        <v>7162</v>
      </c>
      <c r="N582" t="str">
        <f t="shared" si="9"/>
        <v>Other</v>
      </c>
      <c r="O582" s="11" t="s">
        <v>208</v>
      </c>
      <c r="P582" s="11"/>
      <c r="Q582" s="11" t="s">
        <v>166</v>
      </c>
      <c r="R582" s="11" t="s">
        <v>7080</v>
      </c>
      <c r="X582" t="s">
        <v>7081</v>
      </c>
      <c r="Y582" t="s">
        <v>7082</v>
      </c>
      <c r="AA582" t="s">
        <v>6949</v>
      </c>
      <c r="AB582" t="s">
        <v>7083</v>
      </c>
      <c r="AC582" t="s">
        <v>7082</v>
      </c>
    </row>
    <row r="583" spans="1:29" ht="15" customHeight="1" x14ac:dyDescent="0.2">
      <c r="A583" t="s">
        <v>7084</v>
      </c>
      <c r="B583" t="s">
        <v>7084</v>
      </c>
      <c r="D583" t="s">
        <v>7085</v>
      </c>
      <c r="H583" t="s">
        <v>57</v>
      </c>
      <c r="I583" t="s">
        <v>93</v>
      </c>
      <c r="J583">
        <v>0</v>
      </c>
      <c r="K583" t="s">
        <v>602</v>
      </c>
      <c r="M583" t="s">
        <v>7162</v>
      </c>
      <c r="N583" t="str">
        <f t="shared" si="9"/>
        <v>Other</v>
      </c>
      <c r="O583" s="11" t="s">
        <v>4872</v>
      </c>
      <c r="P583" s="11"/>
      <c r="Q583" s="11" t="s">
        <v>144</v>
      </c>
      <c r="R583" s="11" t="s">
        <v>7086</v>
      </c>
      <c r="X583" t="s">
        <v>7087</v>
      </c>
      <c r="Y583" t="s">
        <v>7088</v>
      </c>
      <c r="AA583" t="s">
        <v>6949</v>
      </c>
      <c r="AB583" t="s">
        <v>7089</v>
      </c>
      <c r="AC583" t="s">
        <v>7088</v>
      </c>
    </row>
    <row r="584" spans="1:29" ht="15" customHeight="1" x14ac:dyDescent="0.2">
      <c r="A584" t="s">
        <v>7090</v>
      </c>
      <c r="B584" t="s">
        <v>7090</v>
      </c>
      <c r="D584" t="s">
        <v>7091</v>
      </c>
      <c r="H584" t="s">
        <v>57</v>
      </c>
      <c r="I584" t="s">
        <v>93</v>
      </c>
      <c r="J584">
        <v>0</v>
      </c>
      <c r="K584" t="s">
        <v>602</v>
      </c>
      <c r="M584" t="s">
        <v>7162</v>
      </c>
      <c r="N584" t="str">
        <f t="shared" si="9"/>
        <v>Other</v>
      </c>
      <c r="O584" s="11" t="s">
        <v>7092</v>
      </c>
      <c r="P584" s="11"/>
      <c r="Q584" s="11" t="s">
        <v>3090</v>
      </c>
      <c r="R584" s="11" t="s">
        <v>7093</v>
      </c>
      <c r="X584" t="s">
        <v>7094</v>
      </c>
      <c r="Y584" t="s">
        <v>7095</v>
      </c>
      <c r="AA584" t="s">
        <v>6949</v>
      </c>
      <c r="AB584" t="s">
        <v>7096</v>
      </c>
      <c r="AC584" t="s">
        <v>7095</v>
      </c>
    </row>
    <row r="585" spans="1:29" ht="15" hidden="1" customHeight="1" x14ac:dyDescent="0.2">
      <c r="A585" t="s">
        <v>7097</v>
      </c>
      <c r="B585" s="13" t="s">
        <v>7098</v>
      </c>
      <c r="C585" s="14" t="s">
        <v>7099</v>
      </c>
      <c r="D585" t="s">
        <v>7100</v>
      </c>
      <c r="H585" t="s">
        <v>57</v>
      </c>
      <c r="I585" t="s">
        <v>93</v>
      </c>
      <c r="J585">
        <v>0</v>
      </c>
      <c r="K585" t="s">
        <v>7101</v>
      </c>
      <c r="L585" t="s">
        <v>7101</v>
      </c>
      <c r="M585" t="s">
        <v>7168</v>
      </c>
      <c r="N585" t="str">
        <f t="shared" si="9"/>
        <v>Vegetable</v>
      </c>
      <c r="O585" s="11" t="s">
        <v>7102</v>
      </c>
      <c r="P585" s="11"/>
      <c r="Q585" s="11" t="s">
        <v>144</v>
      </c>
      <c r="R585" s="11" t="s">
        <v>7103</v>
      </c>
      <c r="X585" t="s">
        <v>7104</v>
      </c>
      <c r="Y585" t="s">
        <v>7105</v>
      </c>
      <c r="Z585" t="s">
        <v>7106</v>
      </c>
      <c r="AA585" t="s">
        <v>68</v>
      </c>
      <c r="AB585" t="s">
        <v>7107</v>
      </c>
    </row>
    <row r="586" spans="1:29" ht="15" customHeight="1" x14ac:dyDescent="0.2">
      <c r="A586" t="s">
        <v>7108</v>
      </c>
      <c r="B586" t="s">
        <v>7108</v>
      </c>
      <c r="D586" t="s">
        <v>7109</v>
      </c>
      <c r="H586" t="s">
        <v>57</v>
      </c>
      <c r="I586" t="s">
        <v>93</v>
      </c>
      <c r="J586">
        <v>0</v>
      </c>
      <c r="K586" t="s">
        <v>602</v>
      </c>
      <c r="M586" t="s">
        <v>7162</v>
      </c>
      <c r="N586" t="str">
        <f t="shared" si="9"/>
        <v>Other</v>
      </c>
      <c r="O586" s="11" t="s">
        <v>7110</v>
      </c>
      <c r="P586" s="11"/>
      <c r="Q586" s="11" t="s">
        <v>7111</v>
      </c>
      <c r="R586" s="11" t="s">
        <v>7068</v>
      </c>
      <c r="X586" t="s">
        <v>7112</v>
      </c>
      <c r="Y586" t="s">
        <v>7113</v>
      </c>
      <c r="AA586" t="s">
        <v>6949</v>
      </c>
      <c r="AB586" t="e">
        <v>#N/A</v>
      </c>
      <c r="AC586" t="e">
        <v>#N/A</v>
      </c>
    </row>
    <row r="587" spans="1:29" ht="15" customHeight="1" x14ac:dyDescent="0.2">
      <c r="A587" t="s">
        <v>7114</v>
      </c>
      <c r="B587" t="s">
        <v>7114</v>
      </c>
      <c r="D587" t="s">
        <v>7115</v>
      </c>
      <c r="H587" t="s">
        <v>57</v>
      </c>
      <c r="I587" t="s">
        <v>93</v>
      </c>
      <c r="J587">
        <v>0</v>
      </c>
      <c r="K587" t="s">
        <v>602</v>
      </c>
      <c r="M587" t="s">
        <v>7162</v>
      </c>
      <c r="N587" t="str">
        <f t="shared" si="9"/>
        <v>Other</v>
      </c>
      <c r="O587" s="11" t="s">
        <v>4754</v>
      </c>
      <c r="P587" s="11"/>
      <c r="Q587" s="11" t="s">
        <v>4567</v>
      </c>
      <c r="R587" s="11" t="s">
        <v>7068</v>
      </c>
      <c r="X587" t="s">
        <v>7116</v>
      </c>
      <c r="Y587" t="s">
        <v>7117</v>
      </c>
      <c r="AA587" t="s">
        <v>6949</v>
      </c>
      <c r="AB587" t="s">
        <v>7118</v>
      </c>
      <c r="AC587" t="s">
        <v>7117</v>
      </c>
    </row>
    <row r="588" spans="1:29" ht="15" hidden="1" customHeight="1" x14ac:dyDescent="0.2">
      <c r="A588" t="s">
        <v>7119</v>
      </c>
      <c r="B588" s="4" t="s">
        <v>7120</v>
      </c>
      <c r="C588" t="s">
        <v>2536</v>
      </c>
      <c r="D588" t="s">
        <v>7121</v>
      </c>
      <c r="E588" t="s">
        <v>7121</v>
      </c>
      <c r="H588" t="s">
        <v>57</v>
      </c>
      <c r="I588" t="s">
        <v>7122</v>
      </c>
      <c r="J588" t="s">
        <v>6983</v>
      </c>
      <c r="L588" t="s">
        <v>2663</v>
      </c>
      <c r="M588" t="s">
        <v>7165</v>
      </c>
      <c r="N588" t="str">
        <f t="shared" si="9"/>
        <v>Meat</v>
      </c>
      <c r="O588" s="1" t="s">
        <v>603</v>
      </c>
      <c r="P588" t="s">
        <v>649</v>
      </c>
      <c r="Q588" t="s">
        <v>7123</v>
      </c>
      <c r="R588" t="s">
        <v>7124</v>
      </c>
      <c r="T588" s="1">
        <v>11</v>
      </c>
      <c r="U588" s="1">
        <v>2124</v>
      </c>
      <c r="V588" t="s">
        <v>651</v>
      </c>
      <c r="X588" s="4" t="s">
        <v>7125</v>
      </c>
      <c r="Y588" s="4" t="s">
        <v>7126</v>
      </c>
      <c r="AA588" t="s">
        <v>68</v>
      </c>
    </row>
    <row r="589" spans="1:29" ht="15" hidden="1" customHeight="1" x14ac:dyDescent="0.2">
      <c r="A589" t="s">
        <v>7127</v>
      </c>
      <c r="B589" s="4" t="s">
        <v>7128</v>
      </c>
      <c r="C589" t="s">
        <v>7129</v>
      </c>
      <c r="D589" t="s">
        <v>7130</v>
      </c>
      <c r="E589" t="s">
        <v>7130</v>
      </c>
      <c r="H589" t="s">
        <v>57</v>
      </c>
      <c r="I589" t="s">
        <v>7122</v>
      </c>
      <c r="J589">
        <v>0</v>
      </c>
      <c r="L589" t="s">
        <v>7131</v>
      </c>
      <c r="M589" t="s">
        <v>7168</v>
      </c>
      <c r="N589" t="str">
        <f t="shared" si="9"/>
        <v>Vegetable</v>
      </c>
      <c r="O589" t="s">
        <v>7132</v>
      </c>
      <c r="R589" t="s">
        <v>7133</v>
      </c>
      <c r="T589">
        <v>5662</v>
      </c>
      <c r="U589">
        <v>29425</v>
      </c>
      <c r="X589" s="4" t="s">
        <v>7134</v>
      </c>
      <c r="Y589" s="4" t="s">
        <v>7135</v>
      </c>
      <c r="AA589" t="s">
        <v>68</v>
      </c>
    </row>
    <row r="590" spans="1:29" ht="15" customHeight="1" x14ac:dyDescent="0.2">
      <c r="X590" s="4"/>
    </row>
  </sheetData>
  <autoFilter ref="A1:BE589" xr:uid="{00000000-0001-0000-0000-000000000000}">
    <filterColumn colId="12">
      <filters>
        <filter val="Other"/>
      </filters>
    </filterColumn>
  </autoFilter>
  <conditionalFormatting sqref="X1:X1048576">
    <cfRule type="duplicateValues" dxfId="1" priority="1"/>
  </conditionalFormatting>
  <hyperlinks>
    <hyperlink ref="Y581" r:id="rId1" display="https://trace.ncbi.nlm.nih.gov/Traces?run=SRR6154928" xr:uid="{461CCF0D-AD3A-48FD-AB48-F426551F2FE8}"/>
    <hyperlink ref="Y572" r:id="rId2" display="https://trace.ncbi.nlm.nih.gov/Traces?run=SRR1783851" xr:uid="{AC0053CC-0324-438F-9C99-F05568DE0191}"/>
    <hyperlink ref="Y576" r:id="rId3" display="https://trace.ncbi.nlm.nih.gov/Traces?run=SRR6154931" xr:uid="{ACFA67F5-46E8-48BE-A0F4-7643DB297D52}"/>
  </hyperlinks>
  <pageMargins left="0.7" right="0.7" top="0.75" bottom="0.75" header="0.3" footer="0.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5D4A-F645-4E73-B595-F2DFE61D9E74}">
  <dimension ref="A1:BB58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6.5" customWidth="1"/>
    <col min="2" max="2" width="17" customWidth="1"/>
    <col min="3" max="3" width="27.83203125" customWidth="1"/>
    <col min="4" max="4" width="18.1640625" customWidth="1"/>
    <col min="5" max="5" width="18.5" customWidth="1"/>
    <col min="6" max="6" width="18.1640625" customWidth="1"/>
    <col min="8" max="8" width="18.5" customWidth="1"/>
    <col min="9" max="9" width="63.83203125" bestFit="1" customWidth="1"/>
    <col min="10" max="10" width="9.1640625" bestFit="1" customWidth="1"/>
    <col min="11" max="12" width="9.1640625" customWidth="1"/>
    <col min="13" max="13" width="9.1640625" bestFit="1" customWidth="1"/>
    <col min="14" max="14" width="30.6640625" bestFit="1" customWidth="1"/>
    <col min="16" max="16" width="22" customWidth="1"/>
    <col min="17" max="17" width="54.6640625" style="11" bestFit="1" customWidth="1"/>
    <col min="20" max="20" width="52" customWidth="1"/>
    <col min="22" max="22" width="16.83203125" customWidth="1"/>
    <col min="23" max="23" width="18.33203125" customWidth="1"/>
    <col min="24" max="24" width="13.5" customWidth="1"/>
    <col min="25" max="25" width="9.1640625" customWidth="1"/>
    <col min="26" max="26" width="14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11</v>
      </c>
      <c r="K1" t="s">
        <v>7166</v>
      </c>
      <c r="L1" t="s">
        <v>7171</v>
      </c>
      <c r="M1" s="1" t="s">
        <v>12</v>
      </c>
      <c r="N1" t="s">
        <v>13</v>
      </c>
      <c r="O1" s="1" t="s">
        <v>14</v>
      </c>
      <c r="P1" s="1" t="s">
        <v>15</v>
      </c>
      <c r="Q1" s="25" t="s">
        <v>7193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26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">
      <c r="A2" t="s">
        <v>6894</v>
      </c>
      <c r="B2" t="s">
        <v>6895</v>
      </c>
      <c r="C2" t="s">
        <v>6896</v>
      </c>
      <c r="D2" t="s">
        <v>6897</v>
      </c>
      <c r="E2" t="s">
        <v>6897</v>
      </c>
      <c r="G2" t="s">
        <v>56</v>
      </c>
      <c r="H2" t="s">
        <v>58</v>
      </c>
      <c r="I2" t="s">
        <v>3132</v>
      </c>
      <c r="J2" t="s">
        <v>3132</v>
      </c>
      <c r="K2" t="s">
        <v>60</v>
      </c>
      <c r="L2" t="s">
        <v>60</v>
      </c>
      <c r="M2" s="1" t="s">
        <v>6764</v>
      </c>
      <c r="N2" t="s">
        <v>6764</v>
      </c>
      <c r="O2" s="1" t="s">
        <v>3530</v>
      </c>
      <c r="P2" s="1" t="s">
        <v>250</v>
      </c>
      <c r="Q2" s="11" t="s">
        <v>7327</v>
      </c>
      <c r="R2" s="1">
        <v>343</v>
      </c>
      <c r="S2" s="1">
        <v>29633</v>
      </c>
      <c r="T2" s="1" t="s">
        <v>6898</v>
      </c>
      <c r="U2" s="1">
        <v>0</v>
      </c>
      <c r="V2" t="s">
        <v>6899</v>
      </c>
      <c r="W2" t="s">
        <v>6900</v>
      </c>
      <c r="X2" t="s">
        <v>68</v>
      </c>
      <c r="Y2" t="s">
        <v>6901</v>
      </c>
      <c r="Z2" t="s">
        <v>6902</v>
      </c>
      <c r="AA2" t="s">
        <v>6903</v>
      </c>
      <c r="AB2" t="s">
        <v>6904</v>
      </c>
      <c r="AC2" t="s">
        <v>73</v>
      </c>
      <c r="AD2" t="s">
        <v>6905</v>
      </c>
      <c r="AE2" t="s">
        <v>75</v>
      </c>
      <c r="AF2" t="s">
        <v>76</v>
      </c>
      <c r="AG2" t="s">
        <v>77</v>
      </c>
      <c r="AH2" t="s">
        <v>6906</v>
      </c>
      <c r="AI2" t="s">
        <v>364</v>
      </c>
      <c r="AJ2" t="s">
        <v>80</v>
      </c>
      <c r="AK2" t="s">
        <v>81</v>
      </c>
      <c r="AL2" t="s">
        <v>82</v>
      </c>
      <c r="AM2" t="s">
        <v>83</v>
      </c>
      <c r="AN2">
        <v>2018</v>
      </c>
      <c r="AO2">
        <v>103489</v>
      </c>
      <c r="AP2">
        <v>5407402</v>
      </c>
      <c r="AQ2">
        <v>275</v>
      </c>
      <c r="AR2" t="s">
        <v>84</v>
      </c>
      <c r="AS2">
        <v>562</v>
      </c>
      <c r="AT2" t="s">
        <v>85</v>
      </c>
      <c r="AU2" t="s">
        <v>3145</v>
      </c>
      <c r="AV2">
        <v>562</v>
      </c>
      <c r="AW2" t="s">
        <v>6907</v>
      </c>
      <c r="AX2" t="s">
        <v>88</v>
      </c>
      <c r="AZ2" t="s">
        <v>6908</v>
      </c>
      <c r="BA2">
        <v>0</v>
      </c>
      <c r="BB2">
        <v>35</v>
      </c>
    </row>
    <row r="3" spans="1:54" x14ac:dyDescent="0.2">
      <c r="A3" t="s">
        <v>3176</v>
      </c>
      <c r="B3" t="s">
        <v>3176</v>
      </c>
      <c r="C3" t="s">
        <v>3177</v>
      </c>
      <c r="D3" t="s">
        <v>3178</v>
      </c>
      <c r="E3" t="s">
        <v>3178</v>
      </c>
      <c r="G3" t="s">
        <v>56</v>
      </c>
      <c r="H3" t="s">
        <v>93</v>
      </c>
      <c r="I3" t="s">
        <v>3132</v>
      </c>
      <c r="J3" t="s">
        <v>3133</v>
      </c>
      <c r="K3" t="s">
        <v>60</v>
      </c>
      <c r="L3" t="s">
        <v>60</v>
      </c>
      <c r="M3" s="1" t="s">
        <v>3179</v>
      </c>
      <c r="N3" t="s">
        <v>3180</v>
      </c>
      <c r="O3" s="1" t="s">
        <v>144</v>
      </c>
      <c r="P3" s="1" t="s">
        <v>64</v>
      </c>
      <c r="Q3" s="11" t="s">
        <v>7331</v>
      </c>
      <c r="R3" s="1">
        <v>1611</v>
      </c>
      <c r="S3" s="1">
        <v>134246</v>
      </c>
      <c r="T3" s="1" t="s">
        <v>3181</v>
      </c>
      <c r="U3" s="1">
        <v>11587602</v>
      </c>
      <c r="V3" t="s">
        <v>3182</v>
      </c>
      <c r="W3" t="s">
        <v>3183</v>
      </c>
      <c r="X3" t="s">
        <v>68</v>
      </c>
      <c r="Y3" t="s">
        <v>3184</v>
      </c>
      <c r="Z3" t="s">
        <v>3185</v>
      </c>
      <c r="AA3" t="s">
        <v>3186</v>
      </c>
      <c r="AB3" t="s">
        <v>3142</v>
      </c>
      <c r="AC3" t="s">
        <v>73</v>
      </c>
      <c r="AD3" t="s">
        <v>3187</v>
      </c>
      <c r="AE3" t="s">
        <v>75</v>
      </c>
      <c r="AF3" t="s">
        <v>76</v>
      </c>
      <c r="AG3" t="s">
        <v>77</v>
      </c>
      <c r="AH3" t="s">
        <v>3188</v>
      </c>
      <c r="AI3" t="s">
        <v>156</v>
      </c>
      <c r="AJ3" t="s">
        <v>80</v>
      </c>
      <c r="AK3" t="s">
        <v>81</v>
      </c>
      <c r="AL3" t="s">
        <v>82</v>
      </c>
      <c r="AM3" t="s">
        <v>83</v>
      </c>
      <c r="AN3">
        <v>2018</v>
      </c>
      <c r="AO3">
        <v>50186</v>
      </c>
      <c r="AP3">
        <v>5045720</v>
      </c>
      <c r="AQ3">
        <v>256</v>
      </c>
      <c r="AR3" t="s">
        <v>84</v>
      </c>
      <c r="AS3">
        <v>562</v>
      </c>
      <c r="AT3" t="s">
        <v>85</v>
      </c>
      <c r="AU3" t="s">
        <v>3145</v>
      </c>
      <c r="AV3">
        <v>562</v>
      </c>
      <c r="AW3" t="s">
        <v>3189</v>
      </c>
      <c r="AX3" t="s">
        <v>88</v>
      </c>
      <c r="AZ3" t="s">
        <v>3160</v>
      </c>
      <c r="BA3">
        <v>11</v>
      </c>
    </row>
    <row r="4" spans="1:54" x14ac:dyDescent="0.2">
      <c r="A4" t="s">
        <v>3161</v>
      </c>
      <c r="B4" t="s">
        <v>3161</v>
      </c>
      <c r="C4" t="s">
        <v>3162</v>
      </c>
      <c r="D4" t="s">
        <v>3163</v>
      </c>
      <c r="E4" t="s">
        <v>3163</v>
      </c>
      <c r="G4" t="s">
        <v>56</v>
      </c>
      <c r="H4" t="s">
        <v>58</v>
      </c>
      <c r="I4" t="s">
        <v>3132</v>
      </c>
      <c r="J4" t="s">
        <v>3133</v>
      </c>
      <c r="K4" t="s">
        <v>60</v>
      </c>
      <c r="L4" t="s">
        <v>60</v>
      </c>
      <c r="M4" s="1" t="s">
        <v>3165</v>
      </c>
      <c r="N4" t="s">
        <v>3166</v>
      </c>
      <c r="O4" s="1" t="s">
        <v>144</v>
      </c>
      <c r="P4" s="1" t="s">
        <v>270</v>
      </c>
      <c r="Q4" s="11" t="s">
        <v>7313</v>
      </c>
      <c r="R4" s="1">
        <v>7249</v>
      </c>
      <c r="S4" s="1">
        <v>85893</v>
      </c>
      <c r="T4" s="1" t="s">
        <v>169</v>
      </c>
      <c r="U4" s="1">
        <v>11587576</v>
      </c>
      <c r="V4" t="s">
        <v>3168</v>
      </c>
      <c r="W4" t="s">
        <v>3169</v>
      </c>
      <c r="X4" t="s">
        <v>68</v>
      </c>
      <c r="Y4" t="s">
        <v>3170</v>
      </c>
      <c r="Z4" t="s">
        <v>3171</v>
      </c>
      <c r="AA4" t="s">
        <v>3172</v>
      </c>
      <c r="AB4" t="s">
        <v>3142</v>
      </c>
      <c r="AC4" t="s">
        <v>73</v>
      </c>
      <c r="AD4" t="s">
        <v>3173</v>
      </c>
      <c r="AE4" t="s">
        <v>75</v>
      </c>
      <c r="AF4" t="s">
        <v>76</v>
      </c>
      <c r="AG4" t="s">
        <v>77</v>
      </c>
      <c r="AH4" t="s">
        <v>3174</v>
      </c>
      <c r="AI4" t="s">
        <v>364</v>
      </c>
      <c r="AJ4" t="s">
        <v>80</v>
      </c>
      <c r="AK4" t="s">
        <v>81</v>
      </c>
      <c r="AL4" t="s">
        <v>82</v>
      </c>
      <c r="AM4" t="s">
        <v>83</v>
      </c>
      <c r="AN4">
        <v>2018</v>
      </c>
      <c r="AO4">
        <v>41363</v>
      </c>
      <c r="AP4">
        <v>5443180</v>
      </c>
      <c r="AQ4">
        <v>445</v>
      </c>
      <c r="AR4" t="s">
        <v>84</v>
      </c>
      <c r="AS4">
        <v>562</v>
      </c>
      <c r="AT4" t="s">
        <v>85</v>
      </c>
      <c r="AU4" t="s">
        <v>3145</v>
      </c>
      <c r="AV4">
        <v>562</v>
      </c>
      <c r="AW4" t="s">
        <v>3175</v>
      </c>
      <c r="AX4" t="s">
        <v>88</v>
      </c>
    </row>
    <row r="5" spans="1:54" x14ac:dyDescent="0.2">
      <c r="A5" t="s">
        <v>3147</v>
      </c>
      <c r="B5" t="s">
        <v>3147</v>
      </c>
      <c r="C5" t="s">
        <v>3148</v>
      </c>
      <c r="D5" t="s">
        <v>3149</v>
      </c>
      <c r="E5" t="s">
        <v>3149</v>
      </c>
      <c r="G5" t="s">
        <v>56</v>
      </c>
      <c r="H5" t="s">
        <v>93</v>
      </c>
      <c r="I5" t="s">
        <v>3132</v>
      </c>
      <c r="J5" t="s">
        <v>3133</v>
      </c>
      <c r="K5" t="s">
        <v>60</v>
      </c>
      <c r="L5" t="s">
        <v>60</v>
      </c>
      <c r="M5" s="1" t="s">
        <v>3150</v>
      </c>
      <c r="N5" t="s">
        <v>3151</v>
      </c>
      <c r="O5" s="1" t="s">
        <v>144</v>
      </c>
      <c r="P5" s="1" t="s">
        <v>64</v>
      </c>
      <c r="Q5" s="11" t="s">
        <v>7331</v>
      </c>
      <c r="R5" s="1">
        <v>1611</v>
      </c>
      <c r="S5" s="1">
        <v>134246</v>
      </c>
      <c r="T5" s="1" t="s">
        <v>169</v>
      </c>
      <c r="U5" s="1">
        <v>11077291</v>
      </c>
      <c r="V5" t="s">
        <v>3152</v>
      </c>
      <c r="W5" t="s">
        <v>3153</v>
      </c>
      <c r="X5" t="s">
        <v>68</v>
      </c>
      <c r="Y5" t="s">
        <v>3154</v>
      </c>
      <c r="Z5" t="s">
        <v>3155</v>
      </c>
      <c r="AA5" t="s">
        <v>3156</v>
      </c>
      <c r="AB5" t="s">
        <v>3142</v>
      </c>
      <c r="AC5" t="s">
        <v>73</v>
      </c>
      <c r="AD5" t="s">
        <v>3157</v>
      </c>
      <c r="AE5" t="s">
        <v>75</v>
      </c>
      <c r="AF5" t="s">
        <v>76</v>
      </c>
      <c r="AG5" t="s">
        <v>77</v>
      </c>
      <c r="AH5" t="s">
        <v>3158</v>
      </c>
      <c r="AI5" t="s">
        <v>156</v>
      </c>
      <c r="AJ5" t="s">
        <v>80</v>
      </c>
      <c r="AK5" t="s">
        <v>81</v>
      </c>
      <c r="AL5" t="s">
        <v>82</v>
      </c>
      <c r="AM5" t="s">
        <v>83</v>
      </c>
      <c r="AN5">
        <v>2018</v>
      </c>
      <c r="AO5">
        <v>130874</v>
      </c>
      <c r="AP5">
        <v>5140807</v>
      </c>
      <c r="AQ5">
        <v>202</v>
      </c>
      <c r="AR5" t="s">
        <v>84</v>
      </c>
      <c r="AS5">
        <v>562</v>
      </c>
      <c r="AT5" t="s">
        <v>85</v>
      </c>
      <c r="AU5" t="s">
        <v>3145</v>
      </c>
      <c r="AV5">
        <v>562</v>
      </c>
      <c r="AW5" t="s">
        <v>3159</v>
      </c>
      <c r="AX5" t="s">
        <v>88</v>
      </c>
      <c r="AZ5" t="s">
        <v>3160</v>
      </c>
      <c r="BA5">
        <v>11</v>
      </c>
    </row>
    <row r="6" spans="1:54" x14ac:dyDescent="0.2">
      <c r="A6" t="s">
        <v>3129</v>
      </c>
      <c r="B6" t="s">
        <v>3129</v>
      </c>
      <c r="C6" t="s">
        <v>3130</v>
      </c>
      <c r="D6" t="s">
        <v>3131</v>
      </c>
      <c r="E6" t="s">
        <v>3131</v>
      </c>
      <c r="G6" t="s">
        <v>56</v>
      </c>
      <c r="H6" t="s">
        <v>93</v>
      </c>
      <c r="I6" t="s">
        <v>3132</v>
      </c>
      <c r="J6" t="s">
        <v>3133</v>
      </c>
      <c r="K6" t="s">
        <v>60</v>
      </c>
      <c r="L6" t="s">
        <v>60</v>
      </c>
      <c r="M6" s="1" t="s">
        <v>3134</v>
      </c>
      <c r="N6" t="s">
        <v>3135</v>
      </c>
      <c r="O6" s="1" t="s">
        <v>3136</v>
      </c>
      <c r="P6" s="1" t="s">
        <v>64</v>
      </c>
      <c r="Q6" s="11" t="s">
        <v>7331</v>
      </c>
      <c r="R6" s="1">
        <v>162</v>
      </c>
      <c r="S6" s="1">
        <v>1544</v>
      </c>
      <c r="T6" s="1" t="s">
        <v>169</v>
      </c>
      <c r="U6" s="1">
        <v>11020076</v>
      </c>
      <c r="V6" t="s">
        <v>3137</v>
      </c>
      <c r="W6" t="s">
        <v>3138</v>
      </c>
      <c r="X6" t="s">
        <v>68</v>
      </c>
      <c r="Y6" t="s">
        <v>3139</v>
      </c>
      <c r="Z6" t="s">
        <v>3140</v>
      </c>
      <c r="AA6" t="s">
        <v>3141</v>
      </c>
      <c r="AB6" t="s">
        <v>3142</v>
      </c>
      <c r="AC6" t="s">
        <v>73</v>
      </c>
      <c r="AD6" t="s">
        <v>3143</v>
      </c>
      <c r="AE6" t="s">
        <v>75</v>
      </c>
      <c r="AF6" t="s">
        <v>76</v>
      </c>
      <c r="AG6" t="s">
        <v>77</v>
      </c>
      <c r="AH6" t="s">
        <v>3144</v>
      </c>
      <c r="AI6" t="s">
        <v>156</v>
      </c>
      <c r="AJ6" t="s">
        <v>80</v>
      </c>
      <c r="AK6" t="s">
        <v>81</v>
      </c>
      <c r="AL6" t="s">
        <v>82</v>
      </c>
      <c r="AM6" t="s">
        <v>83</v>
      </c>
      <c r="AN6">
        <v>2018</v>
      </c>
      <c r="AO6">
        <v>169935</v>
      </c>
      <c r="AP6">
        <v>5124027</v>
      </c>
      <c r="AQ6">
        <v>107</v>
      </c>
      <c r="AR6" t="s">
        <v>84</v>
      </c>
      <c r="AS6">
        <v>562</v>
      </c>
      <c r="AT6" t="s">
        <v>85</v>
      </c>
      <c r="AU6" t="s">
        <v>3145</v>
      </c>
      <c r="AV6">
        <v>562</v>
      </c>
      <c r="AW6" t="s">
        <v>3146</v>
      </c>
      <c r="AX6" t="s">
        <v>88</v>
      </c>
    </row>
    <row r="7" spans="1:54" x14ac:dyDescent="0.2">
      <c r="A7" t="s">
        <v>6373</v>
      </c>
      <c r="B7" t="s">
        <v>6374</v>
      </c>
      <c r="C7" s="2" t="s">
        <v>6375</v>
      </c>
      <c r="D7" t="s">
        <v>6376</v>
      </c>
      <c r="E7" s="2" t="s">
        <v>6377</v>
      </c>
      <c r="G7" t="s">
        <v>56</v>
      </c>
      <c r="H7" t="s">
        <v>58</v>
      </c>
      <c r="I7" t="s">
        <v>6378</v>
      </c>
      <c r="J7" t="s">
        <v>6378</v>
      </c>
      <c r="K7" t="s">
        <v>7165</v>
      </c>
      <c r="L7" t="s">
        <v>7172</v>
      </c>
      <c r="M7" s="1" t="s">
        <v>6379</v>
      </c>
      <c r="N7" t="s">
        <v>6380</v>
      </c>
      <c r="O7" s="1" t="s">
        <v>144</v>
      </c>
      <c r="P7" s="1" t="s">
        <v>355</v>
      </c>
      <c r="Q7" s="11" t="s">
        <v>7198</v>
      </c>
      <c r="R7" s="1">
        <v>8660</v>
      </c>
      <c r="S7" s="1">
        <v>1607</v>
      </c>
      <c r="T7" s="1" t="s">
        <v>169</v>
      </c>
      <c r="U7" s="1">
        <v>11655534</v>
      </c>
      <c r="V7" t="s">
        <v>6381</v>
      </c>
      <c r="W7" t="s">
        <v>6382</v>
      </c>
      <c r="X7" t="s">
        <v>68</v>
      </c>
      <c r="Y7" t="s">
        <v>6383</v>
      </c>
      <c r="Z7" t="s">
        <v>6384</v>
      </c>
      <c r="AA7" t="s">
        <v>6385</v>
      </c>
      <c r="AB7" t="s">
        <v>6311</v>
      </c>
      <c r="AC7" t="s">
        <v>73</v>
      </c>
      <c r="AD7" t="s">
        <v>6386</v>
      </c>
      <c r="AE7" t="s">
        <v>75</v>
      </c>
      <c r="AF7" t="s">
        <v>76</v>
      </c>
      <c r="AG7" t="s">
        <v>77</v>
      </c>
      <c r="AH7" t="s">
        <v>363</v>
      </c>
      <c r="AI7" t="s">
        <v>79</v>
      </c>
      <c r="AJ7" t="s">
        <v>80</v>
      </c>
      <c r="AK7" t="s">
        <v>81</v>
      </c>
      <c r="AL7" t="s">
        <v>6314</v>
      </c>
      <c r="AM7" t="s">
        <v>83</v>
      </c>
      <c r="AN7">
        <v>2019</v>
      </c>
      <c r="AO7">
        <v>102875</v>
      </c>
      <c r="AP7">
        <v>5090190</v>
      </c>
      <c r="AQ7">
        <v>230</v>
      </c>
      <c r="AR7" t="s">
        <v>84</v>
      </c>
      <c r="AS7">
        <v>562</v>
      </c>
      <c r="AT7" t="s">
        <v>85</v>
      </c>
      <c r="AU7" t="s">
        <v>86</v>
      </c>
      <c r="AV7">
        <v>562</v>
      </c>
      <c r="AW7" t="s">
        <v>6387</v>
      </c>
      <c r="AX7" t="s">
        <v>88</v>
      </c>
    </row>
    <row r="8" spans="1:54" x14ac:dyDescent="0.2">
      <c r="A8" t="s">
        <v>6298</v>
      </c>
      <c r="B8" t="s">
        <v>6299</v>
      </c>
      <c r="C8" t="s">
        <v>6300</v>
      </c>
      <c r="D8" t="s">
        <v>6301</v>
      </c>
      <c r="E8" t="s">
        <v>6301</v>
      </c>
      <c r="G8" t="s">
        <v>56</v>
      </c>
      <c r="H8" t="s">
        <v>58</v>
      </c>
      <c r="I8" t="s">
        <v>6302</v>
      </c>
      <c r="J8" t="s">
        <v>6303</v>
      </c>
      <c r="K8" t="s">
        <v>7165</v>
      </c>
      <c r="L8" t="s">
        <v>7172</v>
      </c>
      <c r="M8" s="1" t="s">
        <v>3635</v>
      </c>
      <c r="N8" t="s">
        <v>6304</v>
      </c>
      <c r="O8" s="1" t="s">
        <v>3090</v>
      </c>
      <c r="P8" s="1" t="s">
        <v>434</v>
      </c>
      <c r="Q8" s="11" t="s">
        <v>7213</v>
      </c>
      <c r="R8" s="1">
        <v>447</v>
      </c>
      <c r="S8" s="1">
        <v>30763</v>
      </c>
      <c r="T8" s="1" t="s">
        <v>3196</v>
      </c>
      <c r="U8" s="1" t="s">
        <v>6305</v>
      </c>
      <c r="V8" t="s">
        <v>6306</v>
      </c>
      <c r="W8" t="s">
        <v>6307</v>
      </c>
      <c r="X8" t="s">
        <v>68</v>
      </c>
      <c r="Y8" t="s">
        <v>6308</v>
      </c>
      <c r="Z8" t="s">
        <v>6309</v>
      </c>
      <c r="AA8" t="s">
        <v>6310</v>
      </c>
      <c r="AB8" t="s">
        <v>6311</v>
      </c>
      <c r="AC8" t="s">
        <v>73</v>
      </c>
      <c r="AD8" t="s">
        <v>6312</v>
      </c>
      <c r="AE8" t="s">
        <v>75</v>
      </c>
      <c r="AF8" t="s">
        <v>76</v>
      </c>
      <c r="AG8" t="s">
        <v>77</v>
      </c>
      <c r="AH8" t="s">
        <v>6313</v>
      </c>
      <c r="AI8" t="s">
        <v>364</v>
      </c>
      <c r="AJ8" t="s">
        <v>80</v>
      </c>
      <c r="AK8" t="s">
        <v>81</v>
      </c>
      <c r="AL8" t="s">
        <v>6314</v>
      </c>
      <c r="AM8" t="s">
        <v>83</v>
      </c>
      <c r="AN8">
        <v>2019</v>
      </c>
      <c r="AO8">
        <v>179518</v>
      </c>
      <c r="AP8">
        <v>5404784</v>
      </c>
      <c r="AQ8">
        <v>212</v>
      </c>
      <c r="AR8" t="s">
        <v>84</v>
      </c>
      <c r="AS8">
        <v>562</v>
      </c>
      <c r="AT8" t="s">
        <v>85</v>
      </c>
      <c r="AU8" t="s">
        <v>86</v>
      </c>
      <c r="AV8">
        <v>562</v>
      </c>
      <c r="AW8" t="s">
        <v>6315</v>
      </c>
      <c r="AX8" t="s">
        <v>88</v>
      </c>
    </row>
    <row r="9" spans="1:54" x14ac:dyDescent="0.2">
      <c r="A9" t="s">
        <v>6226</v>
      </c>
      <c r="B9" t="s">
        <v>6227</v>
      </c>
      <c r="C9" t="s">
        <v>6228</v>
      </c>
      <c r="D9" t="s">
        <v>6229</v>
      </c>
      <c r="E9" t="s">
        <v>6229</v>
      </c>
      <c r="G9" t="s">
        <v>56</v>
      </c>
      <c r="H9" t="s">
        <v>58</v>
      </c>
      <c r="I9" t="s">
        <v>406</v>
      </c>
      <c r="J9" t="s">
        <v>6230</v>
      </c>
      <c r="K9" t="s">
        <v>7165</v>
      </c>
      <c r="L9" t="s">
        <v>7172</v>
      </c>
      <c r="M9" s="1" t="s">
        <v>3392</v>
      </c>
      <c r="N9" t="s">
        <v>6231</v>
      </c>
      <c r="O9" s="1" t="s">
        <v>3090</v>
      </c>
      <c r="P9" s="1" t="s">
        <v>434</v>
      </c>
      <c r="Q9" s="11" t="s">
        <v>7228</v>
      </c>
      <c r="R9" s="1">
        <v>57</v>
      </c>
      <c r="S9" s="1">
        <v>33331</v>
      </c>
      <c r="T9" s="1" t="s">
        <v>3394</v>
      </c>
      <c r="U9" s="1">
        <v>11398995</v>
      </c>
      <c r="V9" t="s">
        <v>6232</v>
      </c>
      <c r="W9" t="s">
        <v>6233</v>
      </c>
      <c r="X9" t="s">
        <v>68</v>
      </c>
      <c r="Y9" t="s">
        <v>6234</v>
      </c>
      <c r="Z9" t="s">
        <v>6235</v>
      </c>
      <c r="AA9" t="s">
        <v>6236</v>
      </c>
      <c r="AB9" t="s">
        <v>6208</v>
      </c>
      <c r="AC9" t="s">
        <v>73</v>
      </c>
      <c r="AD9" t="s">
        <v>6237</v>
      </c>
      <c r="AE9" t="s">
        <v>3402</v>
      </c>
      <c r="AF9" t="s">
        <v>76</v>
      </c>
      <c r="AG9" t="s">
        <v>77</v>
      </c>
      <c r="AH9" t="s">
        <v>6238</v>
      </c>
      <c r="AI9" t="s">
        <v>364</v>
      </c>
      <c r="AJ9" t="s">
        <v>3404</v>
      </c>
      <c r="AK9" t="s">
        <v>81</v>
      </c>
      <c r="AL9" t="s">
        <v>82</v>
      </c>
      <c r="AM9" t="s">
        <v>83</v>
      </c>
      <c r="AN9">
        <v>2018</v>
      </c>
      <c r="AO9">
        <v>42140</v>
      </c>
      <c r="AP9">
        <v>5532216</v>
      </c>
      <c r="AQ9">
        <v>373</v>
      </c>
      <c r="AR9" t="s">
        <v>84</v>
      </c>
      <c r="AS9">
        <v>562</v>
      </c>
      <c r="AT9" t="s">
        <v>85</v>
      </c>
      <c r="AU9" t="s">
        <v>86</v>
      </c>
      <c r="AV9">
        <v>562</v>
      </c>
      <c r="AW9" t="s">
        <v>6239</v>
      </c>
      <c r="AX9" t="s">
        <v>88</v>
      </c>
    </row>
    <row r="10" spans="1:54" x14ac:dyDescent="0.2">
      <c r="A10" t="s">
        <v>6198</v>
      </c>
      <c r="B10" t="s">
        <v>6199</v>
      </c>
      <c r="C10" t="s">
        <v>6200</v>
      </c>
      <c r="D10" t="s">
        <v>6201</v>
      </c>
      <c r="E10" t="s">
        <v>6201</v>
      </c>
      <c r="G10" t="s">
        <v>56</v>
      </c>
      <c r="H10" t="s">
        <v>58</v>
      </c>
      <c r="I10" t="s">
        <v>447</v>
      </c>
      <c r="J10" t="s">
        <v>6202</v>
      </c>
      <c r="K10" t="s">
        <v>7165</v>
      </c>
      <c r="L10" t="s">
        <v>7172</v>
      </c>
      <c r="M10" s="1" t="s">
        <v>3392</v>
      </c>
      <c r="N10" t="s">
        <v>3392</v>
      </c>
      <c r="O10" s="1" t="s">
        <v>3090</v>
      </c>
      <c r="P10" s="1" t="s">
        <v>434</v>
      </c>
      <c r="Q10" s="11" t="s">
        <v>7228</v>
      </c>
      <c r="R10" s="1">
        <v>57</v>
      </c>
      <c r="S10" s="1">
        <v>33331</v>
      </c>
      <c r="T10" s="1" t="s">
        <v>3394</v>
      </c>
      <c r="U10" s="1">
        <v>0</v>
      </c>
      <c r="V10" t="s">
        <v>6203</v>
      </c>
      <c r="W10" t="s">
        <v>6204</v>
      </c>
      <c r="X10" t="s">
        <v>68</v>
      </c>
      <c r="Y10" t="s">
        <v>6205</v>
      </c>
      <c r="Z10" t="s">
        <v>6206</v>
      </c>
      <c r="AA10" t="s">
        <v>6207</v>
      </c>
      <c r="AB10" t="s">
        <v>6208</v>
      </c>
      <c r="AC10" t="s">
        <v>73</v>
      </c>
      <c r="AD10" t="s">
        <v>6209</v>
      </c>
      <c r="AE10" t="s">
        <v>3402</v>
      </c>
      <c r="AF10" t="s">
        <v>76</v>
      </c>
      <c r="AG10" t="s">
        <v>77</v>
      </c>
      <c r="AH10" t="s">
        <v>6210</v>
      </c>
      <c r="AI10" t="s">
        <v>364</v>
      </c>
      <c r="AJ10" t="s">
        <v>3404</v>
      </c>
      <c r="AK10" t="s">
        <v>81</v>
      </c>
      <c r="AL10" t="s">
        <v>82</v>
      </c>
      <c r="AM10" t="s">
        <v>83</v>
      </c>
      <c r="AN10">
        <v>2018</v>
      </c>
      <c r="AO10">
        <v>73341</v>
      </c>
      <c r="AP10">
        <v>5456959</v>
      </c>
      <c r="AQ10">
        <v>384</v>
      </c>
      <c r="AR10" t="s">
        <v>84</v>
      </c>
      <c r="AS10">
        <v>562</v>
      </c>
      <c r="AT10" t="s">
        <v>85</v>
      </c>
      <c r="AU10" t="s">
        <v>86</v>
      </c>
      <c r="AV10">
        <v>562</v>
      </c>
      <c r="AW10" t="s">
        <v>6211</v>
      </c>
      <c r="AX10" t="s">
        <v>88</v>
      </c>
    </row>
    <row r="11" spans="1:54" x14ac:dyDescent="0.2">
      <c r="A11" t="s">
        <v>5345</v>
      </c>
      <c r="B11" t="s">
        <v>5346</v>
      </c>
      <c r="C11" s="2" t="s">
        <v>5347</v>
      </c>
      <c r="D11" t="s">
        <v>5348</v>
      </c>
      <c r="E11" t="s">
        <v>5348</v>
      </c>
      <c r="G11" t="s">
        <v>56</v>
      </c>
      <c r="H11" t="s">
        <v>58</v>
      </c>
      <c r="I11" t="s">
        <v>5350</v>
      </c>
      <c r="J11" t="s">
        <v>648</v>
      </c>
      <c r="K11" t="s">
        <v>7165</v>
      </c>
      <c r="L11" t="s">
        <v>7165</v>
      </c>
      <c r="M11" s="1" t="s">
        <v>3392</v>
      </c>
      <c r="N11" t="s">
        <v>5351</v>
      </c>
      <c r="O11" s="1" t="s">
        <v>373</v>
      </c>
      <c r="P11" s="1" t="s">
        <v>167</v>
      </c>
      <c r="Q11" s="11" t="s">
        <v>7227</v>
      </c>
      <c r="R11" s="1">
        <v>57</v>
      </c>
      <c r="S11" s="1">
        <v>33331</v>
      </c>
      <c r="T11" s="1" t="s">
        <v>169</v>
      </c>
      <c r="U11" s="1">
        <v>8063273</v>
      </c>
      <c r="V11" t="s">
        <v>5352</v>
      </c>
      <c r="W11" t="s">
        <v>5353</v>
      </c>
      <c r="X11" t="s">
        <v>68</v>
      </c>
      <c r="Y11" t="s">
        <v>5354</v>
      </c>
      <c r="Z11" t="s">
        <v>5355</v>
      </c>
      <c r="AA11" t="s">
        <v>5356</v>
      </c>
      <c r="AB11" t="s">
        <v>864</v>
      </c>
      <c r="AC11" t="s">
        <v>73</v>
      </c>
      <c r="AD11" t="s">
        <v>5357</v>
      </c>
      <c r="AE11" t="s">
        <v>3402</v>
      </c>
      <c r="AF11" t="s">
        <v>76</v>
      </c>
      <c r="AG11" t="s">
        <v>77</v>
      </c>
      <c r="AH11" t="s">
        <v>5358</v>
      </c>
      <c r="AI11" t="s">
        <v>364</v>
      </c>
      <c r="AJ11" t="s">
        <v>3404</v>
      </c>
      <c r="AK11" t="s">
        <v>81</v>
      </c>
      <c r="AL11" t="s">
        <v>82</v>
      </c>
      <c r="AM11" t="s">
        <v>83</v>
      </c>
      <c r="AN11">
        <v>2016</v>
      </c>
      <c r="AO11">
        <v>72886</v>
      </c>
      <c r="AP11">
        <v>5771703</v>
      </c>
      <c r="AQ11">
        <v>298</v>
      </c>
      <c r="AR11" t="s">
        <v>84</v>
      </c>
      <c r="AS11">
        <v>562</v>
      </c>
      <c r="AT11" t="s">
        <v>85</v>
      </c>
      <c r="AU11" t="s">
        <v>86</v>
      </c>
      <c r="AV11">
        <v>562</v>
      </c>
      <c r="AW11" t="s">
        <v>5359</v>
      </c>
      <c r="AX11" t="s">
        <v>88</v>
      </c>
    </row>
    <row r="12" spans="1:54" x14ac:dyDescent="0.2">
      <c r="A12" t="s">
        <v>6057</v>
      </c>
      <c r="B12" t="s">
        <v>6058</v>
      </c>
      <c r="C12" s="2" t="s">
        <v>6059</v>
      </c>
      <c r="D12" t="s">
        <v>6060</v>
      </c>
      <c r="E12" s="2" t="s">
        <v>6061</v>
      </c>
      <c r="F12" t="s">
        <v>2985</v>
      </c>
      <c r="G12" t="s">
        <v>56</v>
      </c>
      <c r="H12" t="s">
        <v>58</v>
      </c>
      <c r="I12" t="s">
        <v>352</v>
      </c>
      <c r="J12" t="s">
        <v>352</v>
      </c>
      <c r="K12" t="s">
        <v>7165</v>
      </c>
      <c r="L12" t="s">
        <v>7172</v>
      </c>
      <c r="M12" s="1" t="s">
        <v>4039</v>
      </c>
      <c r="N12" t="s">
        <v>6063</v>
      </c>
      <c r="O12" s="1" t="s">
        <v>144</v>
      </c>
      <c r="P12" s="1" t="s">
        <v>355</v>
      </c>
      <c r="Q12" s="11" t="s">
        <v>7198</v>
      </c>
      <c r="R12" s="1">
        <v>1294</v>
      </c>
      <c r="S12" s="1">
        <v>64900</v>
      </c>
      <c r="T12" s="1" t="s">
        <v>3265</v>
      </c>
      <c r="U12" s="1">
        <v>11077347</v>
      </c>
      <c r="V12" t="s">
        <v>6064</v>
      </c>
      <c r="W12" t="s">
        <v>6065</v>
      </c>
      <c r="X12" t="s">
        <v>68</v>
      </c>
      <c r="Y12" t="s">
        <v>6066</v>
      </c>
      <c r="Z12" t="s">
        <v>6067</v>
      </c>
      <c r="AA12" t="s">
        <v>6068</v>
      </c>
      <c r="AB12" t="s">
        <v>864</v>
      </c>
      <c r="AC12" t="s">
        <v>73</v>
      </c>
      <c r="AD12" t="s">
        <v>6069</v>
      </c>
      <c r="AE12" t="s">
        <v>3402</v>
      </c>
      <c r="AF12" t="s">
        <v>76</v>
      </c>
      <c r="AG12" t="s">
        <v>77</v>
      </c>
      <c r="AH12" t="s">
        <v>6070</v>
      </c>
      <c r="AI12" t="s">
        <v>6071</v>
      </c>
      <c r="AJ12" t="s">
        <v>3404</v>
      </c>
      <c r="AK12" t="s">
        <v>81</v>
      </c>
      <c r="AL12" t="s">
        <v>82</v>
      </c>
      <c r="AM12" t="s">
        <v>83</v>
      </c>
      <c r="AN12">
        <v>2018</v>
      </c>
      <c r="AO12">
        <v>86406</v>
      </c>
      <c r="AP12">
        <v>5083333</v>
      </c>
      <c r="AQ12">
        <v>191</v>
      </c>
      <c r="AR12" t="s">
        <v>84</v>
      </c>
      <c r="AS12">
        <v>562</v>
      </c>
      <c r="AT12" t="s">
        <v>85</v>
      </c>
      <c r="AU12" t="s">
        <v>86</v>
      </c>
      <c r="AV12">
        <v>562</v>
      </c>
      <c r="AW12" t="s">
        <v>6072</v>
      </c>
      <c r="AX12" t="s">
        <v>88</v>
      </c>
    </row>
    <row r="13" spans="1:54" x14ac:dyDescent="0.2">
      <c r="A13" t="s">
        <v>5628</v>
      </c>
      <c r="B13" t="s">
        <v>5629</v>
      </c>
      <c r="C13" t="s">
        <v>5630</v>
      </c>
      <c r="D13" t="s">
        <v>5631</v>
      </c>
      <c r="E13" t="s">
        <v>5631</v>
      </c>
      <c r="G13" t="s">
        <v>56</v>
      </c>
      <c r="H13" t="s">
        <v>58</v>
      </c>
      <c r="I13" t="s">
        <v>5537</v>
      </c>
      <c r="J13" t="s">
        <v>5537</v>
      </c>
      <c r="K13" t="s">
        <v>7165</v>
      </c>
      <c r="L13" t="s">
        <v>7165</v>
      </c>
      <c r="M13" s="1" t="s">
        <v>3903</v>
      </c>
      <c r="N13" t="s">
        <v>5633</v>
      </c>
      <c r="O13" s="1" t="s">
        <v>166</v>
      </c>
      <c r="P13" s="1" t="s">
        <v>250</v>
      </c>
      <c r="Q13" s="11" t="s">
        <v>7208</v>
      </c>
      <c r="R13" s="1">
        <v>101</v>
      </c>
      <c r="S13" s="1">
        <v>1589</v>
      </c>
      <c r="T13" s="1" t="s">
        <v>5634</v>
      </c>
      <c r="U13" s="1">
        <v>9664487</v>
      </c>
      <c r="V13" t="s">
        <v>5635</v>
      </c>
      <c r="W13" t="s">
        <v>5636</v>
      </c>
      <c r="X13" t="s">
        <v>68</v>
      </c>
      <c r="Y13" t="s">
        <v>5637</v>
      </c>
      <c r="Z13" t="s">
        <v>5638</v>
      </c>
      <c r="AA13" t="s">
        <v>5639</v>
      </c>
      <c r="AB13" t="s">
        <v>864</v>
      </c>
      <c r="AC13" t="s">
        <v>73</v>
      </c>
      <c r="AD13" t="s">
        <v>5640</v>
      </c>
      <c r="AE13" t="s">
        <v>5641</v>
      </c>
      <c r="AF13" t="s">
        <v>76</v>
      </c>
      <c r="AG13" t="s">
        <v>77</v>
      </c>
      <c r="AH13" t="s">
        <v>5642</v>
      </c>
      <c r="AI13" t="s">
        <v>5643</v>
      </c>
      <c r="AJ13" t="s">
        <v>5644</v>
      </c>
      <c r="AK13" t="s">
        <v>81</v>
      </c>
      <c r="AL13" t="s">
        <v>82</v>
      </c>
      <c r="AM13" t="s">
        <v>83</v>
      </c>
      <c r="AN13">
        <v>2017</v>
      </c>
      <c r="AO13">
        <v>119590</v>
      </c>
      <c r="AP13">
        <v>5422313</v>
      </c>
      <c r="AQ13">
        <v>121</v>
      </c>
      <c r="AR13" t="s">
        <v>84</v>
      </c>
      <c r="AS13">
        <v>562</v>
      </c>
      <c r="AT13" t="s">
        <v>85</v>
      </c>
      <c r="AU13" t="s">
        <v>86</v>
      </c>
      <c r="AV13">
        <v>562</v>
      </c>
      <c r="AW13" t="s">
        <v>5645</v>
      </c>
      <c r="AX13" t="s">
        <v>88</v>
      </c>
      <c r="AZ13" t="s">
        <v>5646</v>
      </c>
      <c r="BA13">
        <v>0</v>
      </c>
    </row>
    <row r="14" spans="1:54" x14ac:dyDescent="0.2">
      <c r="A14" t="s">
        <v>5607</v>
      </c>
      <c r="B14" t="s">
        <v>5608</v>
      </c>
      <c r="C14" t="s">
        <v>5609</v>
      </c>
      <c r="D14" t="s">
        <v>5610</v>
      </c>
      <c r="E14" t="s">
        <v>5610</v>
      </c>
      <c r="F14" t="s">
        <v>2985</v>
      </c>
      <c r="G14" t="s">
        <v>56</v>
      </c>
      <c r="H14" t="s">
        <v>58</v>
      </c>
      <c r="I14" t="s">
        <v>140</v>
      </c>
      <c r="J14" t="s">
        <v>5612</v>
      </c>
      <c r="K14" t="s">
        <v>7165</v>
      </c>
      <c r="L14" t="s">
        <v>7165</v>
      </c>
      <c r="M14" s="1" t="s">
        <v>5613</v>
      </c>
      <c r="N14" t="s">
        <v>5614</v>
      </c>
      <c r="O14" s="1" t="s">
        <v>4494</v>
      </c>
      <c r="P14" s="1" t="s">
        <v>250</v>
      </c>
      <c r="Q14" s="11" t="s">
        <v>7207</v>
      </c>
      <c r="R14" s="1">
        <v>17</v>
      </c>
      <c r="S14" s="1">
        <v>2169</v>
      </c>
      <c r="T14" s="1" t="s">
        <v>5615</v>
      </c>
      <c r="U14" s="1">
        <v>9529871</v>
      </c>
      <c r="V14" t="s">
        <v>5616</v>
      </c>
      <c r="W14" t="s">
        <v>5617</v>
      </c>
      <c r="X14" t="s">
        <v>68</v>
      </c>
      <c r="Y14" t="s">
        <v>5618</v>
      </c>
      <c r="Z14" t="s">
        <v>5619</v>
      </c>
      <c r="AA14" t="s">
        <v>5620</v>
      </c>
      <c r="AB14" t="s">
        <v>864</v>
      </c>
      <c r="AC14" t="s">
        <v>73</v>
      </c>
      <c r="AD14" t="s">
        <v>5621</v>
      </c>
      <c r="AE14" t="s">
        <v>5622</v>
      </c>
      <c r="AF14" t="s">
        <v>76</v>
      </c>
      <c r="AG14" t="s">
        <v>77</v>
      </c>
      <c r="AH14" t="s">
        <v>5623</v>
      </c>
      <c r="AI14" t="s">
        <v>5624</v>
      </c>
      <c r="AJ14" t="s">
        <v>5625</v>
      </c>
      <c r="AK14" t="s">
        <v>81</v>
      </c>
      <c r="AL14" t="s">
        <v>82</v>
      </c>
      <c r="AM14" t="s">
        <v>83</v>
      </c>
      <c r="AN14">
        <v>2017</v>
      </c>
      <c r="AO14">
        <v>132165</v>
      </c>
      <c r="AP14">
        <v>5777375</v>
      </c>
      <c r="AQ14">
        <v>284</v>
      </c>
      <c r="AR14" t="s">
        <v>84</v>
      </c>
      <c r="AS14">
        <v>562</v>
      </c>
      <c r="AT14" t="s">
        <v>85</v>
      </c>
      <c r="AU14" t="s">
        <v>86</v>
      </c>
      <c r="AV14">
        <v>562</v>
      </c>
      <c r="AW14" t="s">
        <v>5626</v>
      </c>
      <c r="AX14" t="s">
        <v>88</v>
      </c>
      <c r="AZ14" t="s">
        <v>5627</v>
      </c>
      <c r="BA14">
        <v>26</v>
      </c>
      <c r="BB14">
        <v>16</v>
      </c>
    </row>
    <row r="15" spans="1:54" x14ac:dyDescent="0.2">
      <c r="A15" t="s">
        <v>5412</v>
      </c>
      <c r="B15" t="s">
        <v>5413</v>
      </c>
      <c r="C15" t="s">
        <v>5414</v>
      </c>
      <c r="D15" t="s">
        <v>5415</v>
      </c>
      <c r="E15" t="s">
        <v>5415</v>
      </c>
      <c r="G15" t="s">
        <v>56</v>
      </c>
      <c r="H15" t="s">
        <v>58</v>
      </c>
      <c r="I15" t="s">
        <v>5350</v>
      </c>
      <c r="J15" t="s">
        <v>648</v>
      </c>
      <c r="K15" t="s">
        <v>7165</v>
      </c>
      <c r="L15" t="s">
        <v>7165</v>
      </c>
      <c r="M15" s="1" t="s">
        <v>5416</v>
      </c>
      <c r="N15" t="s">
        <v>5417</v>
      </c>
      <c r="O15" s="1" t="s">
        <v>126</v>
      </c>
      <c r="P15" s="1" t="s">
        <v>127</v>
      </c>
      <c r="Q15" s="11" t="s">
        <v>7300</v>
      </c>
      <c r="R15" s="1">
        <v>443</v>
      </c>
      <c r="S15" s="1">
        <v>2216</v>
      </c>
      <c r="T15" s="1" t="s">
        <v>169</v>
      </c>
      <c r="U15" s="1">
        <v>15705783</v>
      </c>
      <c r="V15" t="s">
        <v>5419</v>
      </c>
      <c r="W15" t="s">
        <v>5420</v>
      </c>
      <c r="X15" t="s">
        <v>68</v>
      </c>
      <c r="Y15" t="s">
        <v>5421</v>
      </c>
      <c r="Z15" t="s">
        <v>5422</v>
      </c>
      <c r="AA15" t="s">
        <v>5423</v>
      </c>
      <c r="AB15" t="s">
        <v>864</v>
      </c>
      <c r="AC15" t="s">
        <v>73</v>
      </c>
      <c r="AD15" t="s">
        <v>5424</v>
      </c>
      <c r="AE15" t="s">
        <v>75</v>
      </c>
      <c r="AF15" t="s">
        <v>76</v>
      </c>
      <c r="AG15" t="s">
        <v>77</v>
      </c>
      <c r="AH15" t="s">
        <v>5425</v>
      </c>
      <c r="AI15" t="s">
        <v>364</v>
      </c>
      <c r="AJ15" t="s">
        <v>80</v>
      </c>
      <c r="AK15" t="s">
        <v>81</v>
      </c>
      <c r="AL15" t="s">
        <v>82</v>
      </c>
      <c r="AM15" t="s">
        <v>83</v>
      </c>
      <c r="AN15">
        <v>2016</v>
      </c>
      <c r="AO15">
        <v>140272</v>
      </c>
      <c r="AP15">
        <v>5119354</v>
      </c>
      <c r="AQ15">
        <v>102</v>
      </c>
      <c r="AR15" t="s">
        <v>84</v>
      </c>
      <c r="AS15">
        <v>562</v>
      </c>
      <c r="AT15" t="s">
        <v>85</v>
      </c>
      <c r="AU15" t="s">
        <v>86</v>
      </c>
      <c r="AV15">
        <v>562</v>
      </c>
      <c r="AW15" t="s">
        <v>5426</v>
      </c>
      <c r="AX15" t="s">
        <v>88</v>
      </c>
      <c r="AZ15" t="s">
        <v>5427</v>
      </c>
      <c r="BA15">
        <v>2</v>
      </c>
    </row>
    <row r="16" spans="1:54" x14ac:dyDescent="0.2">
      <c r="A16" t="s">
        <v>853</v>
      </c>
      <c r="B16" t="s">
        <v>854</v>
      </c>
      <c r="C16" t="s">
        <v>855</v>
      </c>
      <c r="D16" t="s">
        <v>856</v>
      </c>
      <c r="E16" t="s">
        <v>856</v>
      </c>
      <c r="G16" t="s">
        <v>56</v>
      </c>
      <c r="H16" t="s">
        <v>58</v>
      </c>
      <c r="I16" t="s">
        <v>857</v>
      </c>
      <c r="J16" t="s">
        <v>857</v>
      </c>
      <c r="K16" t="s">
        <v>7165</v>
      </c>
      <c r="L16" t="s">
        <v>7165</v>
      </c>
      <c r="M16" s="1" t="s">
        <v>603</v>
      </c>
      <c r="N16" t="s">
        <v>649</v>
      </c>
      <c r="O16" s="1" t="s">
        <v>605</v>
      </c>
      <c r="P16" s="1" t="s">
        <v>127</v>
      </c>
      <c r="Q16" s="11" t="s">
        <v>7194</v>
      </c>
      <c r="R16" s="1">
        <v>11</v>
      </c>
      <c r="S16" s="1">
        <v>2124</v>
      </c>
      <c r="T16" s="1" t="s">
        <v>858</v>
      </c>
      <c r="U16" s="1" t="s">
        <v>170</v>
      </c>
      <c r="V16" t="s">
        <v>859</v>
      </c>
      <c r="W16" t="s">
        <v>860</v>
      </c>
      <c r="X16" t="s">
        <v>68</v>
      </c>
      <c r="Y16" t="s">
        <v>861</v>
      </c>
      <c r="Z16" t="s">
        <v>862</v>
      </c>
      <c r="AA16" t="s">
        <v>863</v>
      </c>
      <c r="AB16" t="s">
        <v>864</v>
      </c>
      <c r="AC16" t="s">
        <v>73</v>
      </c>
      <c r="AD16" t="s">
        <v>865</v>
      </c>
      <c r="AE16" t="s">
        <v>154</v>
      </c>
      <c r="AF16" t="s">
        <v>76</v>
      </c>
      <c r="AG16" t="s">
        <v>77</v>
      </c>
      <c r="AH16" t="s">
        <v>630</v>
      </c>
      <c r="AI16" t="s">
        <v>866</v>
      </c>
      <c r="AJ16" t="s">
        <v>867</v>
      </c>
      <c r="AK16" t="s">
        <v>81</v>
      </c>
      <c r="AL16" t="s">
        <v>82</v>
      </c>
      <c r="AM16" t="s">
        <v>83</v>
      </c>
      <c r="AN16">
        <v>2008</v>
      </c>
      <c r="AO16">
        <v>188435</v>
      </c>
      <c r="AP16">
        <v>5539873</v>
      </c>
      <c r="AQ16">
        <v>117</v>
      </c>
      <c r="AR16" t="s">
        <v>84</v>
      </c>
      <c r="AS16">
        <v>562</v>
      </c>
      <c r="AT16" t="s">
        <v>85</v>
      </c>
      <c r="AU16" t="s">
        <v>86</v>
      </c>
      <c r="AV16">
        <v>562</v>
      </c>
      <c r="AW16" t="s">
        <v>868</v>
      </c>
      <c r="AX16" t="s">
        <v>88</v>
      </c>
      <c r="AZ16" t="s">
        <v>869</v>
      </c>
      <c r="BA16">
        <v>28</v>
      </c>
    </row>
    <row r="17" spans="1:54" x14ac:dyDescent="0.2">
      <c r="A17" t="s">
        <v>5862</v>
      </c>
      <c r="B17" t="s">
        <v>5863</v>
      </c>
      <c r="C17" t="s">
        <v>5864</v>
      </c>
      <c r="D17" t="s">
        <v>5865</v>
      </c>
      <c r="E17" t="s">
        <v>5865</v>
      </c>
      <c r="G17" t="s">
        <v>56</v>
      </c>
      <c r="H17" t="s">
        <v>93</v>
      </c>
      <c r="I17" t="s">
        <v>140</v>
      </c>
      <c r="J17" t="s">
        <v>5852</v>
      </c>
      <c r="K17" t="s">
        <v>7165</v>
      </c>
      <c r="L17" t="s">
        <v>7165</v>
      </c>
      <c r="M17" s="1" t="s">
        <v>448</v>
      </c>
      <c r="N17" t="s">
        <v>4485</v>
      </c>
      <c r="O17" s="1" t="s">
        <v>3090</v>
      </c>
      <c r="P17" s="1" t="s">
        <v>434</v>
      </c>
      <c r="Q17" s="11" t="s">
        <v>7214</v>
      </c>
      <c r="R17" s="1">
        <v>25</v>
      </c>
      <c r="S17" s="1">
        <v>30074</v>
      </c>
      <c r="T17" s="1" t="s">
        <v>3196</v>
      </c>
      <c r="U17" s="1">
        <v>9907087</v>
      </c>
      <c r="V17" t="s">
        <v>5866</v>
      </c>
      <c r="W17" t="s">
        <v>5867</v>
      </c>
      <c r="X17" t="s">
        <v>68</v>
      </c>
      <c r="Y17" t="s">
        <v>5868</v>
      </c>
      <c r="Z17" t="s">
        <v>5869</v>
      </c>
      <c r="AA17" t="s">
        <v>5870</v>
      </c>
      <c r="AB17" t="s">
        <v>4106</v>
      </c>
      <c r="AC17" t="s">
        <v>73</v>
      </c>
      <c r="AD17" t="s">
        <v>5871</v>
      </c>
      <c r="AE17" t="s">
        <v>75</v>
      </c>
      <c r="AF17" t="s">
        <v>76</v>
      </c>
      <c r="AG17" t="s">
        <v>77</v>
      </c>
      <c r="AH17" t="s">
        <v>5872</v>
      </c>
      <c r="AI17" t="s">
        <v>156</v>
      </c>
      <c r="AJ17" t="s">
        <v>80</v>
      </c>
      <c r="AK17" t="s">
        <v>81</v>
      </c>
      <c r="AL17" t="s">
        <v>82</v>
      </c>
      <c r="AM17" t="s">
        <v>83</v>
      </c>
      <c r="AN17">
        <v>2017</v>
      </c>
      <c r="AO17">
        <v>117869</v>
      </c>
      <c r="AP17">
        <v>5606292</v>
      </c>
      <c r="AQ17">
        <v>251</v>
      </c>
      <c r="AR17" t="s">
        <v>84</v>
      </c>
      <c r="AS17">
        <v>562</v>
      </c>
      <c r="AT17" t="s">
        <v>85</v>
      </c>
      <c r="AU17" t="s">
        <v>86</v>
      </c>
      <c r="AV17">
        <v>562</v>
      </c>
      <c r="AW17" t="s">
        <v>5873</v>
      </c>
      <c r="AX17" t="s">
        <v>88</v>
      </c>
      <c r="AZ17" t="s">
        <v>461</v>
      </c>
      <c r="BA17">
        <v>34</v>
      </c>
    </row>
    <row r="18" spans="1:54" x14ac:dyDescent="0.2">
      <c r="A18" t="s">
        <v>5709</v>
      </c>
      <c r="B18" t="s">
        <v>5710</v>
      </c>
      <c r="C18" t="s">
        <v>5711</v>
      </c>
      <c r="D18" t="s">
        <v>5712</v>
      </c>
      <c r="E18" t="s">
        <v>5712</v>
      </c>
      <c r="G18" t="s">
        <v>56</v>
      </c>
      <c r="H18" t="s">
        <v>93</v>
      </c>
      <c r="I18" t="s">
        <v>140</v>
      </c>
      <c r="J18" t="s">
        <v>5537</v>
      </c>
      <c r="K18" t="s">
        <v>7165</v>
      </c>
      <c r="L18" t="s">
        <v>7165</v>
      </c>
      <c r="M18" s="1" t="s">
        <v>5713</v>
      </c>
      <c r="N18" t="s">
        <v>5714</v>
      </c>
      <c r="O18" s="1" t="s">
        <v>126</v>
      </c>
      <c r="P18" s="1" t="s">
        <v>127</v>
      </c>
      <c r="Q18" s="11" t="s">
        <v>7299</v>
      </c>
      <c r="R18" s="1">
        <v>691</v>
      </c>
      <c r="S18" s="1">
        <v>52838</v>
      </c>
      <c r="T18" s="1" t="s">
        <v>5716</v>
      </c>
      <c r="U18" s="1">
        <v>9664487</v>
      </c>
      <c r="V18" t="s">
        <v>5717</v>
      </c>
      <c r="W18" t="s">
        <v>5718</v>
      </c>
      <c r="X18" t="s">
        <v>68</v>
      </c>
      <c r="Y18" t="s">
        <v>5719</v>
      </c>
      <c r="Z18" t="s">
        <v>5720</v>
      </c>
      <c r="AA18" t="s">
        <v>5721</v>
      </c>
      <c r="AB18" t="s">
        <v>4106</v>
      </c>
      <c r="AC18" t="s">
        <v>73</v>
      </c>
      <c r="AD18" t="s">
        <v>5722</v>
      </c>
      <c r="AE18" t="s">
        <v>5723</v>
      </c>
      <c r="AF18" t="s">
        <v>76</v>
      </c>
      <c r="AG18" t="s">
        <v>77</v>
      </c>
      <c r="AH18" t="s">
        <v>5724</v>
      </c>
      <c r="AI18" t="s">
        <v>3115</v>
      </c>
      <c r="AJ18" t="s">
        <v>5725</v>
      </c>
      <c r="AK18" t="s">
        <v>81</v>
      </c>
      <c r="AL18" t="s">
        <v>82</v>
      </c>
      <c r="AM18" t="s">
        <v>83</v>
      </c>
      <c r="AN18">
        <v>2017</v>
      </c>
      <c r="AO18">
        <v>181104</v>
      </c>
      <c r="AP18">
        <v>5320323</v>
      </c>
      <c r="AQ18">
        <v>90</v>
      </c>
      <c r="AR18" t="s">
        <v>84</v>
      </c>
      <c r="AS18">
        <v>562</v>
      </c>
      <c r="AT18" t="s">
        <v>85</v>
      </c>
      <c r="AU18" t="s">
        <v>86</v>
      </c>
      <c r="AV18">
        <v>562</v>
      </c>
      <c r="AW18" t="s">
        <v>5726</v>
      </c>
      <c r="AX18" t="s">
        <v>88</v>
      </c>
    </row>
    <row r="19" spans="1:54" x14ac:dyDescent="0.2">
      <c r="A19" t="s">
        <v>4097</v>
      </c>
      <c r="B19" t="s">
        <v>4098</v>
      </c>
      <c r="C19" t="s">
        <v>4099</v>
      </c>
      <c r="D19" t="s">
        <v>4100</v>
      </c>
      <c r="E19" t="s">
        <v>4100</v>
      </c>
      <c r="G19" t="s">
        <v>56</v>
      </c>
      <c r="H19" t="s">
        <v>58</v>
      </c>
      <c r="I19" t="s">
        <v>2663</v>
      </c>
      <c r="J19" t="s">
        <v>2663</v>
      </c>
      <c r="K19" t="s">
        <v>7165</v>
      </c>
      <c r="L19" t="s">
        <v>7165</v>
      </c>
      <c r="M19" s="1" t="s">
        <v>603</v>
      </c>
      <c r="N19" t="s">
        <v>169</v>
      </c>
      <c r="O19" s="1" t="s">
        <v>875</v>
      </c>
      <c r="P19" s="1" t="s">
        <v>64</v>
      </c>
      <c r="Q19" s="11" t="s">
        <v>7220</v>
      </c>
      <c r="R19" s="1">
        <v>11</v>
      </c>
      <c r="S19" s="1">
        <v>2124</v>
      </c>
      <c r="T19" s="1" t="s">
        <v>169</v>
      </c>
      <c r="U19" s="1">
        <v>10664297</v>
      </c>
      <c r="V19" t="s">
        <v>4101</v>
      </c>
      <c r="W19" t="s">
        <v>4102</v>
      </c>
      <c r="X19" t="s">
        <v>68</v>
      </c>
      <c r="Y19" t="s">
        <v>4103</v>
      </c>
      <c r="Z19" t="s">
        <v>4104</v>
      </c>
      <c r="AA19" t="s">
        <v>4105</v>
      </c>
      <c r="AB19" t="s">
        <v>4106</v>
      </c>
      <c r="AC19" t="s">
        <v>73</v>
      </c>
      <c r="AD19" t="s">
        <v>4107</v>
      </c>
      <c r="AE19" t="s">
        <v>75</v>
      </c>
      <c r="AF19" t="s">
        <v>76</v>
      </c>
      <c r="AG19" t="s">
        <v>77</v>
      </c>
      <c r="AH19" t="s">
        <v>4108</v>
      </c>
      <c r="AI19" t="s">
        <v>615</v>
      </c>
      <c r="AJ19" t="s">
        <v>616</v>
      </c>
      <c r="AK19" t="s">
        <v>81</v>
      </c>
      <c r="AL19" t="s">
        <v>82</v>
      </c>
      <c r="AM19" t="s">
        <v>83</v>
      </c>
      <c r="AN19">
        <v>2018</v>
      </c>
      <c r="AO19">
        <v>114032</v>
      </c>
      <c r="AP19">
        <v>5279921</v>
      </c>
      <c r="AQ19">
        <v>261</v>
      </c>
      <c r="AR19" t="s">
        <v>84</v>
      </c>
      <c r="AS19">
        <v>562</v>
      </c>
      <c r="AT19" t="s">
        <v>85</v>
      </c>
      <c r="AU19" t="s">
        <v>86</v>
      </c>
      <c r="AV19">
        <v>562</v>
      </c>
      <c r="AW19" t="s">
        <v>4109</v>
      </c>
      <c r="AX19" t="s">
        <v>88</v>
      </c>
      <c r="AZ19" t="s">
        <v>841</v>
      </c>
      <c r="BA19">
        <v>0</v>
      </c>
      <c r="BB19">
        <v>1</v>
      </c>
    </row>
    <row r="20" spans="1:54" x14ac:dyDescent="0.2">
      <c r="A20" t="s">
        <v>5979</v>
      </c>
      <c r="B20" t="s">
        <v>5980</v>
      </c>
      <c r="C20" t="s">
        <v>5981</v>
      </c>
      <c r="D20" t="s">
        <v>5982</v>
      </c>
      <c r="E20" t="s">
        <v>5982</v>
      </c>
      <c r="G20" t="s">
        <v>56</v>
      </c>
      <c r="H20" t="s">
        <v>58</v>
      </c>
      <c r="I20" t="s">
        <v>140</v>
      </c>
      <c r="J20" t="s">
        <v>5983</v>
      </c>
      <c r="K20" t="s">
        <v>7165</v>
      </c>
      <c r="L20" t="s">
        <v>7165</v>
      </c>
      <c r="M20" s="1" t="s">
        <v>3848</v>
      </c>
      <c r="N20" t="s">
        <v>5984</v>
      </c>
      <c r="O20" s="1" t="s">
        <v>144</v>
      </c>
      <c r="P20" s="1" t="s">
        <v>313</v>
      </c>
      <c r="Q20" s="11" t="s">
        <v>7343</v>
      </c>
      <c r="R20" s="1">
        <v>441</v>
      </c>
      <c r="S20" s="1">
        <v>42499</v>
      </c>
      <c r="T20" s="1" t="e">
        <v>#N/A</v>
      </c>
      <c r="U20" s="1" t="e">
        <v>#N/A</v>
      </c>
      <c r="V20" t="s">
        <v>5986</v>
      </c>
      <c r="W20" t="s">
        <v>5987</v>
      </c>
      <c r="X20" t="s">
        <v>68</v>
      </c>
      <c r="Y20" t="s">
        <v>5988</v>
      </c>
      <c r="Z20" t="s">
        <v>5989</v>
      </c>
      <c r="AA20" t="s">
        <v>5990</v>
      </c>
      <c r="AB20" t="s">
        <v>4106</v>
      </c>
      <c r="AC20" t="s">
        <v>73</v>
      </c>
      <c r="AD20" t="s">
        <v>5991</v>
      </c>
      <c r="AE20" t="s">
        <v>75</v>
      </c>
      <c r="AF20" t="s">
        <v>76</v>
      </c>
      <c r="AG20" t="s">
        <v>77</v>
      </c>
      <c r="AH20" t="s">
        <v>5992</v>
      </c>
      <c r="AI20" t="s">
        <v>79</v>
      </c>
      <c r="AJ20" t="s">
        <v>80</v>
      </c>
      <c r="AK20" t="s">
        <v>81</v>
      </c>
      <c r="AL20" t="s">
        <v>82</v>
      </c>
      <c r="AM20" t="s">
        <v>83</v>
      </c>
      <c r="AN20">
        <v>2017</v>
      </c>
      <c r="AO20">
        <v>91836</v>
      </c>
      <c r="AP20">
        <v>5317558</v>
      </c>
      <c r="AQ20">
        <v>317</v>
      </c>
      <c r="AR20" t="s">
        <v>84</v>
      </c>
      <c r="AS20">
        <v>562</v>
      </c>
      <c r="AT20" t="s">
        <v>85</v>
      </c>
      <c r="AU20" t="s">
        <v>86</v>
      </c>
      <c r="AV20">
        <v>562</v>
      </c>
      <c r="AW20" t="s">
        <v>5993</v>
      </c>
      <c r="AX20" t="s">
        <v>88</v>
      </c>
    </row>
    <row r="21" spans="1:54" x14ac:dyDescent="0.2">
      <c r="A21" t="s">
        <v>5428</v>
      </c>
      <c r="B21" t="s">
        <v>5429</v>
      </c>
      <c r="C21" t="s">
        <v>5414</v>
      </c>
      <c r="D21" t="s">
        <v>5430</v>
      </c>
      <c r="E21" t="s">
        <v>5430</v>
      </c>
      <c r="G21" t="s">
        <v>56</v>
      </c>
      <c r="H21" t="s">
        <v>58</v>
      </c>
      <c r="I21" t="s">
        <v>648</v>
      </c>
      <c r="J21" t="s">
        <v>648</v>
      </c>
      <c r="K21" t="s">
        <v>7165</v>
      </c>
      <c r="L21" t="s">
        <v>7165</v>
      </c>
      <c r="M21" s="1" t="s">
        <v>5416</v>
      </c>
      <c r="N21" t="s">
        <v>3180</v>
      </c>
      <c r="O21" s="1" t="s">
        <v>126</v>
      </c>
      <c r="P21" s="1" t="s">
        <v>127</v>
      </c>
      <c r="Q21" s="11" t="s">
        <v>7300</v>
      </c>
      <c r="R21" s="1">
        <v>443</v>
      </c>
      <c r="S21" s="1">
        <v>2216</v>
      </c>
      <c r="T21" s="1" t="s">
        <v>169</v>
      </c>
      <c r="U21" s="1" t="s">
        <v>170</v>
      </c>
      <c r="V21" t="s">
        <v>5431</v>
      </c>
      <c r="W21" t="s">
        <v>5432</v>
      </c>
      <c r="X21" t="s">
        <v>68</v>
      </c>
      <c r="Y21" t="s">
        <v>5433</v>
      </c>
      <c r="Z21" t="s">
        <v>5434</v>
      </c>
      <c r="AA21" t="s">
        <v>5435</v>
      </c>
      <c r="AB21" t="s">
        <v>2465</v>
      </c>
      <c r="AC21" t="s">
        <v>73</v>
      </c>
      <c r="AD21" t="s">
        <v>5436</v>
      </c>
      <c r="AE21" t="s">
        <v>75</v>
      </c>
      <c r="AF21" t="s">
        <v>76</v>
      </c>
      <c r="AG21" t="s">
        <v>77</v>
      </c>
      <c r="AH21" t="s">
        <v>5425</v>
      </c>
      <c r="AI21" t="s">
        <v>364</v>
      </c>
      <c r="AJ21" t="s">
        <v>80</v>
      </c>
      <c r="AK21" t="s">
        <v>81</v>
      </c>
      <c r="AL21" t="s">
        <v>82</v>
      </c>
      <c r="AM21" t="s">
        <v>83</v>
      </c>
      <c r="AN21">
        <v>2016</v>
      </c>
      <c r="AO21">
        <v>115329</v>
      </c>
      <c r="AP21">
        <v>5116516</v>
      </c>
      <c r="AQ21">
        <v>103</v>
      </c>
      <c r="AR21" t="s">
        <v>84</v>
      </c>
      <c r="AS21">
        <v>562</v>
      </c>
      <c r="AT21" t="s">
        <v>85</v>
      </c>
      <c r="AU21" t="s">
        <v>86</v>
      </c>
      <c r="AV21">
        <v>562</v>
      </c>
      <c r="AW21" t="s">
        <v>5437</v>
      </c>
      <c r="AX21" t="s">
        <v>88</v>
      </c>
      <c r="AZ21" t="s">
        <v>5427</v>
      </c>
      <c r="BA21">
        <v>2</v>
      </c>
    </row>
    <row r="22" spans="1:54" x14ac:dyDescent="0.2">
      <c r="A22" t="s">
        <v>5597</v>
      </c>
      <c r="B22" t="s">
        <v>5598</v>
      </c>
      <c r="C22" t="s">
        <v>5579</v>
      </c>
      <c r="D22" t="s">
        <v>5599</v>
      </c>
      <c r="E22" t="s">
        <v>5599</v>
      </c>
      <c r="G22" t="s">
        <v>56</v>
      </c>
      <c r="H22" t="s">
        <v>93</v>
      </c>
      <c r="I22" t="s">
        <v>140</v>
      </c>
      <c r="J22" t="s">
        <v>5537</v>
      </c>
      <c r="K22" t="s">
        <v>7165</v>
      </c>
      <c r="L22" t="s">
        <v>7165</v>
      </c>
      <c r="M22" s="1" t="s">
        <v>3647</v>
      </c>
      <c r="N22" t="s">
        <v>5581</v>
      </c>
      <c r="O22" s="1" t="s">
        <v>144</v>
      </c>
      <c r="P22" s="8" t="s">
        <v>5582</v>
      </c>
      <c r="Q22" s="11" t="s">
        <v>7314</v>
      </c>
      <c r="R22" s="1">
        <v>515</v>
      </c>
      <c r="S22" s="1">
        <v>15599</v>
      </c>
      <c r="T22" s="1" t="s">
        <v>5584</v>
      </c>
      <c r="U22" s="1">
        <v>9529871</v>
      </c>
      <c r="V22" t="s">
        <v>5600</v>
      </c>
      <c r="W22" t="s">
        <v>5601</v>
      </c>
      <c r="X22" t="s">
        <v>68</v>
      </c>
      <c r="Y22" t="s">
        <v>5602</v>
      </c>
      <c r="Z22" t="s">
        <v>5603</v>
      </c>
      <c r="AA22" t="s">
        <v>5604</v>
      </c>
      <c r="AB22" t="s">
        <v>2465</v>
      </c>
      <c r="AC22" t="s">
        <v>73</v>
      </c>
      <c r="AD22" t="s">
        <v>5605</v>
      </c>
      <c r="AE22" t="s">
        <v>5591</v>
      </c>
      <c r="AF22" t="s">
        <v>76</v>
      </c>
      <c r="AG22" t="s">
        <v>77</v>
      </c>
      <c r="AH22" t="s">
        <v>5592</v>
      </c>
      <c r="AI22" t="s">
        <v>5593</v>
      </c>
      <c r="AJ22" t="s">
        <v>5594</v>
      </c>
      <c r="AK22" t="s">
        <v>532</v>
      </c>
      <c r="AL22" t="s">
        <v>533</v>
      </c>
      <c r="AM22" t="s">
        <v>83</v>
      </c>
      <c r="AN22">
        <v>2017</v>
      </c>
      <c r="AO22">
        <v>200372</v>
      </c>
      <c r="AP22">
        <v>5064535</v>
      </c>
      <c r="AQ22">
        <v>143</v>
      </c>
      <c r="AR22" t="s">
        <v>84</v>
      </c>
      <c r="AS22">
        <v>562</v>
      </c>
      <c r="AT22" t="s">
        <v>85</v>
      </c>
      <c r="AU22" t="s">
        <v>86</v>
      </c>
      <c r="AV22">
        <v>562</v>
      </c>
      <c r="AW22" t="s">
        <v>5606</v>
      </c>
      <c r="AX22" t="s">
        <v>88</v>
      </c>
      <c r="AZ22" t="s">
        <v>5596</v>
      </c>
      <c r="BA22">
        <v>0</v>
      </c>
    </row>
    <row r="23" spans="1:54" x14ac:dyDescent="0.2">
      <c r="A23" t="s">
        <v>6818</v>
      </c>
      <c r="B23" t="s">
        <v>6819</v>
      </c>
      <c r="C23" t="s">
        <v>6820</v>
      </c>
      <c r="D23" t="s">
        <v>6821</v>
      </c>
      <c r="E23" t="s">
        <v>6821</v>
      </c>
      <c r="G23" t="s">
        <v>56</v>
      </c>
      <c r="H23" t="s">
        <v>93</v>
      </c>
      <c r="I23" t="s">
        <v>406</v>
      </c>
      <c r="J23" t="s">
        <v>6822</v>
      </c>
      <c r="K23" t="s">
        <v>7165</v>
      </c>
      <c r="L23" t="s">
        <v>7172</v>
      </c>
      <c r="M23" s="1" t="s">
        <v>465</v>
      </c>
      <c r="N23" t="s">
        <v>6823</v>
      </c>
      <c r="O23" s="1" t="s">
        <v>4462</v>
      </c>
      <c r="P23" s="1" t="s">
        <v>434</v>
      </c>
      <c r="Q23" s="11" t="s">
        <v>7195</v>
      </c>
      <c r="R23" s="1">
        <v>13</v>
      </c>
      <c r="S23" s="1">
        <v>84723</v>
      </c>
      <c r="T23" s="1" t="s">
        <v>1311</v>
      </c>
      <c r="U23" s="1" t="s">
        <v>6824</v>
      </c>
      <c r="V23" t="s">
        <v>6825</v>
      </c>
      <c r="W23" t="s">
        <v>6826</v>
      </c>
      <c r="X23" t="s">
        <v>68</v>
      </c>
      <c r="Y23" t="s">
        <v>6827</v>
      </c>
      <c r="Z23" t="s">
        <v>6828</v>
      </c>
      <c r="AA23" t="s">
        <v>6829</v>
      </c>
      <c r="AB23" t="s">
        <v>2465</v>
      </c>
      <c r="AC23" t="s">
        <v>73</v>
      </c>
      <c r="AD23" t="s">
        <v>6830</v>
      </c>
      <c r="AE23" t="s">
        <v>6831</v>
      </c>
      <c r="AF23" t="s">
        <v>76</v>
      </c>
      <c r="AG23" t="s">
        <v>77</v>
      </c>
      <c r="AH23" t="s">
        <v>6832</v>
      </c>
      <c r="AI23" t="s">
        <v>156</v>
      </c>
      <c r="AJ23" t="s">
        <v>6833</v>
      </c>
      <c r="AK23" t="s">
        <v>81</v>
      </c>
      <c r="AL23" t="s">
        <v>82</v>
      </c>
      <c r="AM23" t="s">
        <v>83</v>
      </c>
      <c r="AN23">
        <v>2018</v>
      </c>
      <c r="AO23">
        <v>125900</v>
      </c>
      <c r="AP23">
        <v>5626939</v>
      </c>
      <c r="AQ23">
        <v>194</v>
      </c>
      <c r="AR23" t="s">
        <v>84</v>
      </c>
      <c r="AS23">
        <v>562</v>
      </c>
      <c r="AT23" t="s">
        <v>85</v>
      </c>
      <c r="AU23" t="s">
        <v>86</v>
      </c>
      <c r="AV23">
        <v>562</v>
      </c>
      <c r="AW23" t="s">
        <v>6834</v>
      </c>
      <c r="AX23" t="s">
        <v>88</v>
      </c>
    </row>
    <row r="24" spans="1:54" x14ac:dyDescent="0.2">
      <c r="A24" t="s">
        <v>6073</v>
      </c>
      <c r="B24" t="s">
        <v>6074</v>
      </c>
      <c r="C24" t="s">
        <v>6075</v>
      </c>
      <c r="D24" t="s">
        <v>6076</v>
      </c>
      <c r="E24" s="2" t="s">
        <v>6077</v>
      </c>
      <c r="G24" t="s">
        <v>56</v>
      </c>
      <c r="H24" t="s">
        <v>93</v>
      </c>
      <c r="I24" t="s">
        <v>352</v>
      </c>
      <c r="J24" t="s">
        <v>352</v>
      </c>
      <c r="K24" t="s">
        <v>7165</v>
      </c>
      <c r="L24" t="s">
        <v>7172</v>
      </c>
      <c r="M24" s="1" t="s">
        <v>353</v>
      </c>
      <c r="N24" t="s">
        <v>354</v>
      </c>
      <c r="O24" s="1" t="s">
        <v>144</v>
      </c>
      <c r="P24" s="1" t="s">
        <v>355</v>
      </c>
      <c r="Q24" s="11" t="s">
        <v>7198</v>
      </c>
      <c r="R24" s="1">
        <v>155</v>
      </c>
      <c r="S24" s="1">
        <v>1607</v>
      </c>
      <c r="T24" s="1" t="s">
        <v>169</v>
      </c>
      <c r="U24" s="1">
        <v>11077347</v>
      </c>
      <c r="V24" t="s">
        <v>6078</v>
      </c>
      <c r="W24" t="s">
        <v>6079</v>
      </c>
      <c r="X24" t="s">
        <v>68</v>
      </c>
      <c r="Y24" t="s">
        <v>6080</v>
      </c>
      <c r="Z24" t="s">
        <v>6081</v>
      </c>
      <c r="AA24" t="s">
        <v>6082</v>
      </c>
      <c r="AB24" t="s">
        <v>2465</v>
      </c>
      <c r="AC24" t="s">
        <v>73</v>
      </c>
      <c r="AD24" t="s">
        <v>6083</v>
      </c>
      <c r="AE24" t="s">
        <v>75</v>
      </c>
      <c r="AF24" t="s">
        <v>76</v>
      </c>
      <c r="AG24" t="s">
        <v>77</v>
      </c>
      <c r="AH24" t="s">
        <v>363</v>
      </c>
      <c r="AI24" t="s">
        <v>156</v>
      </c>
      <c r="AJ24" t="s">
        <v>80</v>
      </c>
      <c r="AK24" t="s">
        <v>81</v>
      </c>
      <c r="AL24" t="s">
        <v>82</v>
      </c>
      <c r="AM24" t="s">
        <v>83</v>
      </c>
      <c r="AN24">
        <v>2018</v>
      </c>
      <c r="AO24">
        <v>88122</v>
      </c>
      <c r="AP24">
        <v>5110103</v>
      </c>
      <c r="AQ24">
        <v>176</v>
      </c>
      <c r="AR24" t="s">
        <v>84</v>
      </c>
      <c r="AS24">
        <v>562</v>
      </c>
      <c r="AT24" t="s">
        <v>85</v>
      </c>
      <c r="AU24" t="s">
        <v>86</v>
      </c>
      <c r="AV24">
        <v>562</v>
      </c>
      <c r="AW24" t="s">
        <v>6084</v>
      </c>
      <c r="AX24" t="s">
        <v>88</v>
      </c>
    </row>
    <row r="25" spans="1:54" x14ac:dyDescent="0.2">
      <c r="A25" t="s">
        <v>2455</v>
      </c>
      <c r="B25" t="s">
        <v>2456</v>
      </c>
      <c r="C25" t="s">
        <v>2457</v>
      </c>
      <c r="D25" t="s">
        <v>2458</v>
      </c>
      <c r="E25" t="s">
        <v>2458</v>
      </c>
      <c r="G25" t="s">
        <v>56</v>
      </c>
      <c r="H25" t="s">
        <v>58</v>
      </c>
      <c r="I25" t="s">
        <v>2459</v>
      </c>
      <c r="J25" t="s">
        <v>1327</v>
      </c>
      <c r="K25" t="s">
        <v>7165</v>
      </c>
      <c r="L25" t="s">
        <v>7165</v>
      </c>
      <c r="M25" s="1" t="s">
        <v>603</v>
      </c>
      <c r="N25" t="s">
        <v>649</v>
      </c>
      <c r="O25" s="1" t="s">
        <v>605</v>
      </c>
      <c r="P25" s="1" t="s">
        <v>127</v>
      </c>
      <c r="Q25" s="11" t="s">
        <v>7194</v>
      </c>
      <c r="R25" s="1">
        <v>11</v>
      </c>
      <c r="S25" s="1">
        <v>2124</v>
      </c>
      <c r="T25" s="1" t="s">
        <v>169</v>
      </c>
      <c r="U25" s="1">
        <v>8816512</v>
      </c>
      <c r="V25" t="s">
        <v>2460</v>
      </c>
      <c r="W25" t="s">
        <v>2461</v>
      </c>
      <c r="X25" t="s">
        <v>68</v>
      </c>
      <c r="Y25" t="s">
        <v>2462</v>
      </c>
      <c r="Z25" t="s">
        <v>2463</v>
      </c>
      <c r="AA25" t="s">
        <v>2464</v>
      </c>
      <c r="AB25" t="s">
        <v>2465</v>
      </c>
      <c r="AC25" t="s">
        <v>73</v>
      </c>
      <c r="AD25" t="s">
        <v>2466</v>
      </c>
      <c r="AE25" t="s">
        <v>75</v>
      </c>
      <c r="AF25" t="s">
        <v>76</v>
      </c>
      <c r="AG25" t="s">
        <v>77</v>
      </c>
      <c r="AH25" t="s">
        <v>2467</v>
      </c>
      <c r="AI25" t="s">
        <v>615</v>
      </c>
      <c r="AJ25" t="s">
        <v>616</v>
      </c>
      <c r="AK25" t="s">
        <v>81</v>
      </c>
      <c r="AL25" t="s">
        <v>82</v>
      </c>
      <c r="AM25" t="s">
        <v>83</v>
      </c>
      <c r="AN25">
        <v>2016</v>
      </c>
      <c r="AO25">
        <v>160449</v>
      </c>
      <c r="AP25">
        <v>5498286</v>
      </c>
      <c r="AQ25">
        <v>198</v>
      </c>
      <c r="AR25" t="s">
        <v>84</v>
      </c>
      <c r="AS25">
        <v>562</v>
      </c>
      <c r="AT25" t="s">
        <v>85</v>
      </c>
      <c r="AU25" t="s">
        <v>86</v>
      </c>
      <c r="AV25">
        <v>562</v>
      </c>
      <c r="AW25" t="s">
        <v>2468</v>
      </c>
      <c r="AX25" t="s">
        <v>88</v>
      </c>
    </row>
    <row r="26" spans="1:54" x14ac:dyDescent="0.2">
      <c r="A26" t="s">
        <v>5966</v>
      </c>
      <c r="B26" t="s">
        <v>5967</v>
      </c>
      <c r="C26" t="s">
        <v>5968</v>
      </c>
      <c r="D26" t="s">
        <v>5969</v>
      </c>
      <c r="E26" t="s">
        <v>5969</v>
      </c>
      <c r="G26" t="s">
        <v>56</v>
      </c>
      <c r="H26" t="s">
        <v>93</v>
      </c>
      <c r="I26" t="s">
        <v>140</v>
      </c>
      <c r="J26" t="s">
        <v>5970</v>
      </c>
      <c r="K26" t="s">
        <v>7165</v>
      </c>
      <c r="L26" t="s">
        <v>7165</v>
      </c>
      <c r="M26" s="1" t="s">
        <v>183</v>
      </c>
      <c r="N26" t="s">
        <v>184</v>
      </c>
      <c r="O26" s="1" t="s">
        <v>4350</v>
      </c>
      <c r="P26" s="1" t="s">
        <v>185</v>
      </c>
      <c r="Q26" s="11" t="s">
        <v>7210</v>
      </c>
      <c r="R26" s="1">
        <v>33</v>
      </c>
      <c r="S26" s="1">
        <v>1587</v>
      </c>
      <c r="T26" s="1" t="s">
        <v>169</v>
      </c>
      <c r="U26" s="1">
        <v>10286324</v>
      </c>
      <c r="V26" t="s">
        <v>5971</v>
      </c>
      <c r="W26" t="s">
        <v>5972</v>
      </c>
      <c r="X26" t="s">
        <v>68</v>
      </c>
      <c r="Y26" t="s">
        <v>5973</v>
      </c>
      <c r="Z26" t="s">
        <v>5974</v>
      </c>
      <c r="AA26" t="s">
        <v>5975</v>
      </c>
      <c r="AB26" t="s">
        <v>2806</v>
      </c>
      <c r="AC26" t="s">
        <v>73</v>
      </c>
      <c r="AD26" t="s">
        <v>5976</v>
      </c>
      <c r="AF26" t="s">
        <v>76</v>
      </c>
      <c r="AG26" t="s">
        <v>77</v>
      </c>
      <c r="AH26" t="s">
        <v>5977</v>
      </c>
      <c r="AI26" t="s">
        <v>156</v>
      </c>
      <c r="AJ26" t="s">
        <v>531</v>
      </c>
      <c r="AK26" t="s">
        <v>532</v>
      </c>
      <c r="AL26" t="s">
        <v>533</v>
      </c>
      <c r="AM26" t="s">
        <v>83</v>
      </c>
      <c r="AN26">
        <v>2017</v>
      </c>
      <c r="AO26">
        <v>133325</v>
      </c>
      <c r="AP26">
        <v>5589391</v>
      </c>
      <c r="AQ26">
        <v>247</v>
      </c>
      <c r="AR26" t="s">
        <v>84</v>
      </c>
      <c r="AS26">
        <v>562</v>
      </c>
      <c r="AT26" t="s">
        <v>85</v>
      </c>
      <c r="AU26" t="s">
        <v>86</v>
      </c>
      <c r="AV26">
        <v>562</v>
      </c>
      <c r="AW26" t="s">
        <v>5978</v>
      </c>
      <c r="AX26" t="s">
        <v>88</v>
      </c>
      <c r="AZ26" t="s">
        <v>535</v>
      </c>
      <c r="BA26">
        <v>0</v>
      </c>
    </row>
    <row r="27" spans="1:54" x14ac:dyDescent="0.2">
      <c r="A27" t="s">
        <v>5661</v>
      </c>
      <c r="B27" t="s">
        <v>5662</v>
      </c>
      <c r="C27" t="s">
        <v>5630</v>
      </c>
      <c r="D27" t="s">
        <v>5663</v>
      </c>
      <c r="E27" t="s">
        <v>5663</v>
      </c>
      <c r="G27" t="s">
        <v>56</v>
      </c>
      <c r="H27" t="s">
        <v>58</v>
      </c>
      <c r="I27" t="s">
        <v>5537</v>
      </c>
      <c r="J27" t="s">
        <v>5537</v>
      </c>
      <c r="K27" t="s">
        <v>7165</v>
      </c>
      <c r="L27" t="s">
        <v>7165</v>
      </c>
      <c r="M27" s="1" t="s">
        <v>3903</v>
      </c>
      <c r="N27" t="s">
        <v>5664</v>
      </c>
      <c r="O27" s="1" t="s">
        <v>166</v>
      </c>
      <c r="P27" s="1" t="s">
        <v>250</v>
      </c>
      <c r="Q27" s="11" t="s">
        <v>7208</v>
      </c>
      <c r="R27" s="1">
        <v>101</v>
      </c>
      <c r="S27" s="1">
        <v>1589</v>
      </c>
      <c r="T27" s="1" t="s">
        <v>5634</v>
      </c>
      <c r="U27" s="1">
        <v>9664487</v>
      </c>
      <c r="V27" t="s">
        <v>5665</v>
      </c>
      <c r="W27" t="s">
        <v>5666</v>
      </c>
      <c r="X27" t="s">
        <v>68</v>
      </c>
      <c r="Y27" t="s">
        <v>5667</v>
      </c>
      <c r="Z27" t="s">
        <v>5668</v>
      </c>
      <c r="AA27" t="s">
        <v>5669</v>
      </c>
      <c r="AB27" t="s">
        <v>2806</v>
      </c>
      <c r="AC27" t="s">
        <v>73</v>
      </c>
      <c r="AD27" t="s">
        <v>5670</v>
      </c>
      <c r="AE27" t="s">
        <v>5671</v>
      </c>
      <c r="AF27" t="s">
        <v>76</v>
      </c>
      <c r="AG27" t="s">
        <v>77</v>
      </c>
      <c r="AH27" t="s">
        <v>5642</v>
      </c>
      <c r="AI27" t="s">
        <v>5672</v>
      </c>
      <c r="AJ27" t="s">
        <v>5673</v>
      </c>
      <c r="AK27" t="s">
        <v>81</v>
      </c>
      <c r="AL27" t="s">
        <v>82</v>
      </c>
      <c r="AM27" t="s">
        <v>83</v>
      </c>
      <c r="AN27">
        <v>2017</v>
      </c>
      <c r="AO27">
        <v>164017</v>
      </c>
      <c r="AP27">
        <v>5456490</v>
      </c>
      <c r="AQ27">
        <v>112</v>
      </c>
      <c r="AR27" t="s">
        <v>84</v>
      </c>
      <c r="AS27">
        <v>562</v>
      </c>
      <c r="AT27" t="s">
        <v>85</v>
      </c>
      <c r="AU27" t="s">
        <v>86</v>
      </c>
      <c r="AV27">
        <v>562</v>
      </c>
      <c r="AW27" t="s">
        <v>5674</v>
      </c>
      <c r="AX27" t="s">
        <v>88</v>
      </c>
      <c r="AZ27" t="s">
        <v>5646</v>
      </c>
      <c r="BA27">
        <v>0</v>
      </c>
    </row>
    <row r="28" spans="1:54" x14ac:dyDescent="0.2">
      <c r="A28" t="s">
        <v>5647</v>
      </c>
      <c r="B28" t="s">
        <v>5648</v>
      </c>
      <c r="C28" t="s">
        <v>5630</v>
      </c>
      <c r="D28" t="s">
        <v>5649</v>
      </c>
      <c r="E28" t="s">
        <v>5649</v>
      </c>
      <c r="G28" t="s">
        <v>56</v>
      </c>
      <c r="H28" t="s">
        <v>58</v>
      </c>
      <c r="I28" t="s">
        <v>5650</v>
      </c>
      <c r="J28" t="s">
        <v>5537</v>
      </c>
      <c r="K28" t="s">
        <v>7165</v>
      </c>
      <c r="L28" t="s">
        <v>7165</v>
      </c>
      <c r="M28" s="1" t="s">
        <v>3903</v>
      </c>
      <c r="N28" t="s">
        <v>5651</v>
      </c>
      <c r="O28" s="1" t="s">
        <v>166</v>
      </c>
      <c r="P28" s="1" t="s">
        <v>250</v>
      </c>
      <c r="Q28" s="11" t="s">
        <v>7208</v>
      </c>
      <c r="R28" s="1">
        <v>101</v>
      </c>
      <c r="S28" s="1">
        <v>1589</v>
      </c>
      <c r="T28" s="1" t="s">
        <v>5652</v>
      </c>
      <c r="U28" s="1">
        <v>0</v>
      </c>
      <c r="V28" t="s">
        <v>5653</v>
      </c>
      <c r="W28" t="s">
        <v>5654</v>
      </c>
      <c r="X28" t="s">
        <v>68</v>
      </c>
      <c r="Y28" t="s">
        <v>5655</v>
      </c>
      <c r="Z28" t="s">
        <v>5656</v>
      </c>
      <c r="AA28" t="s">
        <v>5657</v>
      </c>
      <c r="AB28" t="s">
        <v>2806</v>
      </c>
      <c r="AC28" t="s">
        <v>73</v>
      </c>
      <c r="AD28" t="s">
        <v>5658</v>
      </c>
      <c r="AE28" t="s">
        <v>5641</v>
      </c>
      <c r="AF28" t="s">
        <v>76</v>
      </c>
      <c r="AG28" t="s">
        <v>77</v>
      </c>
      <c r="AH28" t="s">
        <v>5659</v>
      </c>
      <c r="AI28" t="s">
        <v>5643</v>
      </c>
      <c r="AJ28" t="s">
        <v>5644</v>
      </c>
      <c r="AK28" t="s">
        <v>81</v>
      </c>
      <c r="AL28" t="s">
        <v>82</v>
      </c>
      <c r="AM28" t="s">
        <v>83</v>
      </c>
      <c r="AN28">
        <v>2017</v>
      </c>
      <c r="AO28">
        <v>92944</v>
      </c>
      <c r="AP28">
        <v>5395643</v>
      </c>
      <c r="AQ28">
        <v>172</v>
      </c>
      <c r="AR28" t="s">
        <v>84</v>
      </c>
      <c r="AS28">
        <v>562</v>
      </c>
      <c r="AT28" t="s">
        <v>85</v>
      </c>
      <c r="AU28" t="s">
        <v>86</v>
      </c>
      <c r="AV28">
        <v>562</v>
      </c>
      <c r="AW28" t="s">
        <v>5660</v>
      </c>
      <c r="AX28" t="s">
        <v>88</v>
      </c>
      <c r="AZ28" t="s">
        <v>5646</v>
      </c>
      <c r="BA28">
        <v>0</v>
      </c>
    </row>
    <row r="29" spans="1:54" x14ac:dyDescent="0.2">
      <c r="A29" t="s">
        <v>2798</v>
      </c>
      <c r="B29" t="s">
        <v>2799</v>
      </c>
      <c r="C29" t="s">
        <v>2785</v>
      </c>
      <c r="D29" t="s">
        <v>2800</v>
      </c>
      <c r="E29" t="s">
        <v>2800</v>
      </c>
      <c r="G29" t="s">
        <v>56</v>
      </c>
      <c r="H29" t="s">
        <v>58</v>
      </c>
      <c r="I29" t="s">
        <v>2641</v>
      </c>
      <c r="J29" t="s">
        <v>700</v>
      </c>
      <c r="K29" t="s">
        <v>7165</v>
      </c>
      <c r="L29" t="s">
        <v>7165</v>
      </c>
      <c r="M29" s="1" t="s">
        <v>603</v>
      </c>
      <c r="N29" t="s">
        <v>649</v>
      </c>
      <c r="O29" s="1" t="s">
        <v>605</v>
      </c>
      <c r="P29" s="1" t="s">
        <v>820</v>
      </c>
      <c r="Q29" s="11" t="s">
        <v>7341</v>
      </c>
      <c r="R29" s="1">
        <v>11</v>
      </c>
      <c r="S29" s="1">
        <v>2124</v>
      </c>
      <c r="T29" s="1" t="s">
        <v>169</v>
      </c>
      <c r="U29" s="1">
        <v>11525938</v>
      </c>
      <c r="V29" t="s">
        <v>2801</v>
      </c>
      <c r="W29" t="s">
        <v>2802</v>
      </c>
      <c r="X29" t="s">
        <v>68</v>
      </c>
      <c r="Y29" t="s">
        <v>2803</v>
      </c>
      <c r="Z29" t="s">
        <v>2804</v>
      </c>
      <c r="AA29" t="s">
        <v>2805</v>
      </c>
      <c r="AB29" t="s">
        <v>2806</v>
      </c>
      <c r="AC29" t="s">
        <v>73</v>
      </c>
      <c r="AD29" t="s">
        <v>2807</v>
      </c>
      <c r="AE29" t="s">
        <v>75</v>
      </c>
      <c r="AF29" t="s">
        <v>76</v>
      </c>
      <c r="AG29" t="s">
        <v>77</v>
      </c>
      <c r="AH29" t="s">
        <v>2808</v>
      </c>
      <c r="AI29" t="s">
        <v>615</v>
      </c>
      <c r="AJ29" t="s">
        <v>616</v>
      </c>
      <c r="AK29" t="s">
        <v>81</v>
      </c>
      <c r="AL29" t="s">
        <v>82</v>
      </c>
      <c r="AM29" t="s">
        <v>83</v>
      </c>
      <c r="AN29">
        <v>2017</v>
      </c>
      <c r="AO29">
        <v>79472</v>
      </c>
      <c r="AP29">
        <v>5431852</v>
      </c>
      <c r="AQ29">
        <v>308</v>
      </c>
      <c r="AR29" t="s">
        <v>84</v>
      </c>
      <c r="AS29">
        <v>562</v>
      </c>
      <c r="AT29" t="s">
        <v>85</v>
      </c>
      <c r="AU29" t="s">
        <v>86</v>
      </c>
      <c r="AV29">
        <v>562</v>
      </c>
      <c r="AW29" t="s">
        <v>2809</v>
      </c>
      <c r="AX29" t="s">
        <v>88</v>
      </c>
      <c r="AZ29" t="s">
        <v>2797</v>
      </c>
      <c r="BA29">
        <v>8</v>
      </c>
    </row>
    <row r="30" spans="1:54" x14ac:dyDescent="0.2">
      <c r="A30" t="s">
        <v>2939</v>
      </c>
      <c r="B30" t="s">
        <v>2940</v>
      </c>
      <c r="C30" t="s">
        <v>2941</v>
      </c>
      <c r="D30" t="s">
        <v>2942</v>
      </c>
      <c r="E30" t="s">
        <v>2942</v>
      </c>
      <c r="G30" t="s">
        <v>56</v>
      </c>
      <c r="H30" t="s">
        <v>58</v>
      </c>
      <c r="I30" t="s">
        <v>2889</v>
      </c>
      <c r="J30" t="s">
        <v>2889</v>
      </c>
      <c r="K30" t="s">
        <v>7165</v>
      </c>
      <c r="L30" t="s">
        <v>7165</v>
      </c>
      <c r="M30" s="1" t="s">
        <v>603</v>
      </c>
      <c r="N30" t="s">
        <v>649</v>
      </c>
      <c r="O30" s="1" t="s">
        <v>605</v>
      </c>
      <c r="P30" s="1" t="s">
        <v>127</v>
      </c>
      <c r="Q30" s="11" t="s">
        <v>7211</v>
      </c>
      <c r="R30" s="1">
        <v>11</v>
      </c>
      <c r="S30" s="1">
        <v>2124</v>
      </c>
      <c r="T30" s="1" t="s">
        <v>169</v>
      </c>
      <c r="U30" s="1">
        <v>10596157</v>
      </c>
      <c r="V30" t="s">
        <v>2943</v>
      </c>
      <c r="W30" t="s">
        <v>2944</v>
      </c>
      <c r="X30" t="s">
        <v>68</v>
      </c>
      <c r="Y30" t="s">
        <v>2945</v>
      </c>
      <c r="Z30" t="s">
        <v>2946</v>
      </c>
      <c r="AA30" t="s">
        <v>2947</v>
      </c>
      <c r="AB30" t="s">
        <v>2806</v>
      </c>
      <c r="AC30" t="s">
        <v>73</v>
      </c>
      <c r="AD30" t="s">
        <v>2948</v>
      </c>
      <c r="AE30" t="s">
        <v>75</v>
      </c>
      <c r="AF30" t="s">
        <v>76</v>
      </c>
      <c r="AG30" t="s">
        <v>77</v>
      </c>
      <c r="AH30" t="s">
        <v>669</v>
      </c>
      <c r="AI30" t="s">
        <v>615</v>
      </c>
      <c r="AJ30" t="s">
        <v>616</v>
      </c>
      <c r="AK30" t="s">
        <v>81</v>
      </c>
      <c r="AL30" t="s">
        <v>82</v>
      </c>
      <c r="AM30" t="s">
        <v>83</v>
      </c>
      <c r="AN30">
        <v>2017</v>
      </c>
      <c r="AO30">
        <v>124148</v>
      </c>
      <c r="AP30">
        <v>5332070</v>
      </c>
      <c r="AQ30">
        <v>298</v>
      </c>
      <c r="AR30" t="s">
        <v>84</v>
      </c>
      <c r="AS30">
        <v>562</v>
      </c>
      <c r="AT30" t="s">
        <v>85</v>
      </c>
      <c r="AU30" t="s">
        <v>86</v>
      </c>
      <c r="AV30">
        <v>562</v>
      </c>
      <c r="AW30" t="s">
        <v>2949</v>
      </c>
      <c r="AX30" t="s">
        <v>88</v>
      </c>
      <c r="AZ30" t="s">
        <v>2873</v>
      </c>
      <c r="BA30">
        <v>0</v>
      </c>
    </row>
    <row r="31" spans="1:54" x14ac:dyDescent="0.2">
      <c r="A31" t="s">
        <v>3301</v>
      </c>
      <c r="B31" t="s">
        <v>3302</v>
      </c>
      <c r="C31" t="s">
        <v>3303</v>
      </c>
      <c r="D31" t="s">
        <v>3304</v>
      </c>
      <c r="E31" t="s">
        <v>3304</v>
      </c>
      <c r="G31" t="s">
        <v>56</v>
      </c>
      <c r="H31" t="s">
        <v>58</v>
      </c>
      <c r="I31" t="s">
        <v>3305</v>
      </c>
      <c r="J31" t="s">
        <v>3305</v>
      </c>
      <c r="K31" t="s">
        <v>7165</v>
      </c>
      <c r="L31" t="s">
        <v>7165</v>
      </c>
      <c r="M31" s="1" t="s">
        <v>603</v>
      </c>
      <c r="N31" t="s">
        <v>649</v>
      </c>
      <c r="O31" s="1" t="s">
        <v>674</v>
      </c>
      <c r="P31" s="1" t="s">
        <v>64</v>
      </c>
      <c r="Q31" s="11" t="s">
        <v>7220</v>
      </c>
      <c r="R31" s="1">
        <v>11</v>
      </c>
      <c r="S31" s="1">
        <v>2124</v>
      </c>
      <c r="T31" s="1" t="s">
        <v>651</v>
      </c>
      <c r="U31" s="1">
        <v>10634302</v>
      </c>
      <c r="V31" t="s">
        <v>3306</v>
      </c>
      <c r="W31" t="s">
        <v>3307</v>
      </c>
      <c r="X31" t="s">
        <v>68</v>
      </c>
      <c r="Y31" t="s">
        <v>3308</v>
      </c>
      <c r="Z31" t="s">
        <v>3309</v>
      </c>
      <c r="AA31" t="s">
        <v>3310</v>
      </c>
      <c r="AB31" t="s">
        <v>3311</v>
      </c>
      <c r="AC31" t="s">
        <v>73</v>
      </c>
      <c r="AD31" t="s">
        <v>3312</v>
      </c>
      <c r="AE31" t="s">
        <v>75</v>
      </c>
      <c r="AF31" t="s">
        <v>76</v>
      </c>
      <c r="AG31" t="s">
        <v>77</v>
      </c>
      <c r="AH31" t="s">
        <v>780</v>
      </c>
      <c r="AI31" t="s">
        <v>615</v>
      </c>
      <c r="AJ31" t="s">
        <v>616</v>
      </c>
      <c r="AK31" t="s">
        <v>81</v>
      </c>
      <c r="AL31" t="s">
        <v>82</v>
      </c>
      <c r="AM31" t="s">
        <v>83</v>
      </c>
      <c r="AN31">
        <v>2018</v>
      </c>
      <c r="AO31">
        <v>77252</v>
      </c>
      <c r="AP31">
        <v>5288913</v>
      </c>
      <c r="AQ31">
        <v>284</v>
      </c>
      <c r="AR31" t="s">
        <v>84</v>
      </c>
      <c r="AS31">
        <v>562</v>
      </c>
      <c r="AT31" t="s">
        <v>85</v>
      </c>
      <c r="AU31" t="s">
        <v>86</v>
      </c>
      <c r="AV31">
        <v>562</v>
      </c>
      <c r="AW31" t="s">
        <v>3313</v>
      </c>
      <c r="AX31" t="s">
        <v>88</v>
      </c>
      <c r="AZ31" t="s">
        <v>841</v>
      </c>
      <c r="BA31">
        <v>1</v>
      </c>
      <c r="BB31">
        <v>1</v>
      </c>
    </row>
    <row r="32" spans="1:54" x14ac:dyDescent="0.2">
      <c r="A32" t="s">
        <v>4242</v>
      </c>
      <c r="B32" t="s">
        <v>4243</v>
      </c>
      <c r="C32" t="s">
        <v>4244</v>
      </c>
      <c r="D32" t="s">
        <v>4245</v>
      </c>
      <c r="E32" t="s">
        <v>4245</v>
      </c>
      <c r="G32" t="s">
        <v>56</v>
      </c>
      <c r="H32" t="s">
        <v>58</v>
      </c>
      <c r="I32" t="s">
        <v>2663</v>
      </c>
      <c r="J32" t="s">
        <v>2663</v>
      </c>
      <c r="K32" t="s">
        <v>7165</v>
      </c>
      <c r="L32" t="s">
        <v>7165</v>
      </c>
      <c r="M32" s="1" t="s">
        <v>603</v>
      </c>
      <c r="N32" t="s">
        <v>649</v>
      </c>
      <c r="O32" s="1" t="s">
        <v>875</v>
      </c>
      <c r="P32" s="1" t="s">
        <v>64</v>
      </c>
      <c r="Q32" s="11" t="s">
        <v>7220</v>
      </c>
      <c r="R32" s="1">
        <v>11</v>
      </c>
      <c r="S32" s="1">
        <v>2124</v>
      </c>
      <c r="T32" s="1" t="s">
        <v>169</v>
      </c>
      <c r="U32" s="1">
        <v>10664297</v>
      </c>
      <c r="V32" t="s">
        <v>4246</v>
      </c>
      <c r="W32" t="s">
        <v>4247</v>
      </c>
      <c r="X32" t="s">
        <v>68</v>
      </c>
      <c r="Y32" t="s">
        <v>4248</v>
      </c>
      <c r="Z32" t="s">
        <v>4249</v>
      </c>
      <c r="AA32" t="s">
        <v>4250</v>
      </c>
      <c r="AB32" t="s">
        <v>3311</v>
      </c>
      <c r="AC32" t="s">
        <v>73</v>
      </c>
      <c r="AD32" t="s">
        <v>4251</v>
      </c>
      <c r="AE32" t="s">
        <v>75</v>
      </c>
      <c r="AF32" t="s">
        <v>76</v>
      </c>
      <c r="AG32" t="s">
        <v>77</v>
      </c>
      <c r="AH32" t="s">
        <v>4252</v>
      </c>
      <c r="AI32" t="s">
        <v>615</v>
      </c>
      <c r="AJ32" t="s">
        <v>616</v>
      </c>
      <c r="AK32" t="s">
        <v>81</v>
      </c>
      <c r="AL32" t="s">
        <v>82</v>
      </c>
      <c r="AM32" t="s">
        <v>83</v>
      </c>
      <c r="AN32">
        <v>2018</v>
      </c>
      <c r="AO32">
        <v>131553</v>
      </c>
      <c r="AP32">
        <v>5267854</v>
      </c>
      <c r="AQ32">
        <v>239</v>
      </c>
      <c r="AR32" t="s">
        <v>84</v>
      </c>
      <c r="AS32">
        <v>562</v>
      </c>
      <c r="AT32" t="s">
        <v>85</v>
      </c>
      <c r="AU32" t="s">
        <v>86</v>
      </c>
      <c r="AV32">
        <v>562</v>
      </c>
      <c r="AW32" t="s">
        <v>4253</v>
      </c>
      <c r="AX32" t="s">
        <v>88</v>
      </c>
      <c r="AZ32" t="s">
        <v>841</v>
      </c>
      <c r="BA32">
        <v>0</v>
      </c>
      <c r="BB32">
        <v>1</v>
      </c>
    </row>
    <row r="33" spans="1:54" x14ac:dyDescent="0.2">
      <c r="A33" t="s">
        <v>5577</v>
      </c>
      <c r="B33" t="s">
        <v>5578</v>
      </c>
      <c r="C33" t="s">
        <v>5579</v>
      </c>
      <c r="D33" t="s">
        <v>5580</v>
      </c>
      <c r="E33" t="s">
        <v>5580</v>
      </c>
      <c r="G33" t="s">
        <v>56</v>
      </c>
      <c r="H33" t="s">
        <v>93</v>
      </c>
      <c r="I33" t="s">
        <v>5537</v>
      </c>
      <c r="J33" t="s">
        <v>5537</v>
      </c>
      <c r="K33" t="s">
        <v>7165</v>
      </c>
      <c r="L33" t="s">
        <v>7165</v>
      </c>
      <c r="M33" s="1" t="s">
        <v>3647</v>
      </c>
      <c r="N33" t="s">
        <v>5581</v>
      </c>
      <c r="O33" s="1" t="s">
        <v>144</v>
      </c>
      <c r="P33" s="8" t="s">
        <v>5582</v>
      </c>
      <c r="Q33" s="11" t="s">
        <v>7314</v>
      </c>
      <c r="R33" s="1">
        <v>515</v>
      </c>
      <c r="S33" s="1">
        <v>15599</v>
      </c>
      <c r="T33" s="1" t="s">
        <v>5584</v>
      </c>
      <c r="U33" s="1">
        <v>9529871</v>
      </c>
      <c r="V33" t="s">
        <v>5585</v>
      </c>
      <c r="W33" t="s">
        <v>5586</v>
      </c>
      <c r="X33" t="s">
        <v>68</v>
      </c>
      <c r="Y33" t="s">
        <v>5587</v>
      </c>
      <c r="Z33" t="s">
        <v>5588</v>
      </c>
      <c r="AA33" t="s">
        <v>5589</v>
      </c>
      <c r="AB33" t="s">
        <v>3311</v>
      </c>
      <c r="AC33" t="s">
        <v>73</v>
      </c>
      <c r="AD33" t="s">
        <v>5590</v>
      </c>
      <c r="AE33" t="s">
        <v>5591</v>
      </c>
      <c r="AF33" t="s">
        <v>76</v>
      </c>
      <c r="AG33" t="s">
        <v>77</v>
      </c>
      <c r="AH33" t="s">
        <v>5592</v>
      </c>
      <c r="AI33" t="s">
        <v>5593</v>
      </c>
      <c r="AJ33" t="s">
        <v>5594</v>
      </c>
      <c r="AK33" t="s">
        <v>532</v>
      </c>
      <c r="AL33" t="s">
        <v>533</v>
      </c>
      <c r="AM33" t="s">
        <v>83</v>
      </c>
      <c r="AN33">
        <v>2017</v>
      </c>
      <c r="AO33">
        <v>214313</v>
      </c>
      <c r="AP33">
        <v>5065945</v>
      </c>
      <c r="AQ33">
        <v>154</v>
      </c>
      <c r="AR33" t="s">
        <v>84</v>
      </c>
      <c r="AS33">
        <v>562</v>
      </c>
      <c r="AT33" t="s">
        <v>85</v>
      </c>
      <c r="AU33" t="s">
        <v>86</v>
      </c>
      <c r="AV33">
        <v>562</v>
      </c>
      <c r="AW33" t="s">
        <v>5595</v>
      </c>
      <c r="AX33" t="s">
        <v>88</v>
      </c>
      <c r="AZ33" t="s">
        <v>5596</v>
      </c>
      <c r="BA33">
        <v>1</v>
      </c>
    </row>
    <row r="34" spans="1:54" x14ac:dyDescent="0.2">
      <c r="A34" t="s">
        <v>5757</v>
      </c>
      <c r="B34" t="s">
        <v>5758</v>
      </c>
      <c r="C34" t="s">
        <v>5759</v>
      </c>
      <c r="D34" t="s">
        <v>5760</v>
      </c>
      <c r="E34" t="s">
        <v>5760</v>
      </c>
      <c r="G34" t="s">
        <v>56</v>
      </c>
      <c r="H34" t="s">
        <v>93</v>
      </c>
      <c r="I34" t="s">
        <v>140</v>
      </c>
      <c r="J34" t="s">
        <v>5745</v>
      </c>
      <c r="K34" t="s">
        <v>7165</v>
      </c>
      <c r="L34" t="s">
        <v>7165</v>
      </c>
      <c r="M34" s="1" t="s">
        <v>4872</v>
      </c>
      <c r="N34" t="s">
        <v>4873</v>
      </c>
      <c r="O34" s="1" t="s">
        <v>144</v>
      </c>
      <c r="P34" s="1" t="s">
        <v>313</v>
      </c>
      <c r="Q34" s="11" t="s">
        <v>7344</v>
      </c>
      <c r="R34" s="1">
        <v>56</v>
      </c>
      <c r="S34" s="1">
        <v>14734</v>
      </c>
      <c r="T34" s="1" t="s">
        <v>169</v>
      </c>
      <c r="U34" s="1" t="s">
        <v>170</v>
      </c>
      <c r="V34" t="s">
        <v>5761</v>
      </c>
      <c r="W34" t="s">
        <v>5762</v>
      </c>
      <c r="X34" t="s">
        <v>68</v>
      </c>
      <c r="Y34" t="s">
        <v>5763</v>
      </c>
      <c r="Z34" t="s">
        <v>5764</v>
      </c>
      <c r="AA34" t="s">
        <v>5765</v>
      </c>
      <c r="AB34" t="s">
        <v>3311</v>
      </c>
      <c r="AC34" t="s">
        <v>73</v>
      </c>
      <c r="AD34" t="s">
        <v>5766</v>
      </c>
      <c r="AE34" t="s">
        <v>75</v>
      </c>
      <c r="AF34" t="s">
        <v>76</v>
      </c>
      <c r="AG34" t="s">
        <v>77</v>
      </c>
      <c r="AH34" t="s">
        <v>4881</v>
      </c>
      <c r="AI34" t="s">
        <v>107</v>
      </c>
      <c r="AJ34" t="s">
        <v>80</v>
      </c>
      <c r="AK34" t="s">
        <v>81</v>
      </c>
      <c r="AL34" t="s">
        <v>82</v>
      </c>
      <c r="AM34" t="s">
        <v>83</v>
      </c>
      <c r="AN34">
        <v>2017</v>
      </c>
      <c r="AO34">
        <v>181766</v>
      </c>
      <c r="AP34">
        <v>5112020</v>
      </c>
      <c r="AQ34">
        <v>90</v>
      </c>
      <c r="AR34" t="s">
        <v>84</v>
      </c>
      <c r="AS34">
        <v>562</v>
      </c>
      <c r="AT34" t="s">
        <v>85</v>
      </c>
      <c r="AU34" t="s">
        <v>86</v>
      </c>
      <c r="AV34">
        <v>562</v>
      </c>
      <c r="AW34" t="s">
        <v>5767</v>
      </c>
      <c r="AX34" t="s">
        <v>88</v>
      </c>
    </row>
    <row r="35" spans="1:54" x14ac:dyDescent="0.2">
      <c r="A35" t="s">
        <v>5794</v>
      </c>
      <c r="B35" t="s">
        <v>5795</v>
      </c>
      <c r="C35" t="s">
        <v>5781</v>
      </c>
      <c r="D35" t="s">
        <v>5796</v>
      </c>
      <c r="E35" t="s">
        <v>5796</v>
      </c>
      <c r="F35" t="s">
        <v>2035</v>
      </c>
      <c r="G35" t="s">
        <v>56</v>
      </c>
      <c r="H35" t="s">
        <v>93</v>
      </c>
      <c r="I35" t="s">
        <v>140</v>
      </c>
      <c r="J35" t="s">
        <v>5745</v>
      </c>
      <c r="K35" t="s">
        <v>7165</v>
      </c>
      <c r="L35" t="s">
        <v>7165</v>
      </c>
      <c r="M35" s="1" t="s">
        <v>3261</v>
      </c>
      <c r="N35" t="s">
        <v>5797</v>
      </c>
      <c r="O35" s="1" t="s">
        <v>126</v>
      </c>
      <c r="P35" s="1" t="s">
        <v>3263</v>
      </c>
      <c r="Q35" s="11" t="s">
        <v>7212</v>
      </c>
      <c r="R35" s="1">
        <v>10</v>
      </c>
      <c r="S35" s="1">
        <v>57446</v>
      </c>
      <c r="T35" s="1" t="s">
        <v>5798</v>
      </c>
      <c r="U35" s="1">
        <v>9815226</v>
      </c>
      <c r="V35" t="s">
        <v>5799</v>
      </c>
      <c r="W35" t="s">
        <v>5800</v>
      </c>
      <c r="X35" t="s">
        <v>68</v>
      </c>
      <c r="Y35" t="s">
        <v>5801</v>
      </c>
      <c r="Z35" t="s">
        <v>5802</v>
      </c>
      <c r="AA35" t="s">
        <v>5803</v>
      </c>
      <c r="AB35" t="s">
        <v>3311</v>
      </c>
      <c r="AC35" t="s">
        <v>73</v>
      </c>
      <c r="AD35" t="s">
        <v>5804</v>
      </c>
      <c r="AE35" t="s">
        <v>5805</v>
      </c>
      <c r="AF35" t="s">
        <v>76</v>
      </c>
      <c r="AG35" t="s">
        <v>77</v>
      </c>
      <c r="AH35" t="s">
        <v>5806</v>
      </c>
      <c r="AI35" t="s">
        <v>156</v>
      </c>
      <c r="AJ35" t="s">
        <v>5807</v>
      </c>
      <c r="AK35" t="s">
        <v>81</v>
      </c>
      <c r="AL35" t="s">
        <v>82</v>
      </c>
      <c r="AM35" t="s">
        <v>83</v>
      </c>
      <c r="AN35">
        <v>2017</v>
      </c>
      <c r="AO35">
        <v>75279</v>
      </c>
      <c r="AP35">
        <v>5005173</v>
      </c>
      <c r="AQ35">
        <v>201</v>
      </c>
      <c r="AR35" t="s">
        <v>84</v>
      </c>
      <c r="AS35">
        <v>562</v>
      </c>
      <c r="AT35" t="s">
        <v>85</v>
      </c>
      <c r="AU35" t="s">
        <v>86</v>
      </c>
      <c r="AV35">
        <v>562</v>
      </c>
      <c r="AW35" t="s">
        <v>5808</v>
      </c>
      <c r="AX35" t="s">
        <v>88</v>
      </c>
    </row>
    <row r="36" spans="1:54" x14ac:dyDescent="0.2">
      <c r="A36" t="s">
        <v>5533</v>
      </c>
      <c r="B36" t="s">
        <v>5534</v>
      </c>
      <c r="C36" t="s">
        <v>5535</v>
      </c>
      <c r="D36" t="s">
        <v>5536</v>
      </c>
      <c r="E36" t="s">
        <v>5536</v>
      </c>
      <c r="G36" t="s">
        <v>56</v>
      </c>
      <c r="H36" t="s">
        <v>93</v>
      </c>
      <c r="I36" t="s">
        <v>140</v>
      </c>
      <c r="J36" t="s">
        <v>5537</v>
      </c>
      <c r="K36" t="s">
        <v>7165</v>
      </c>
      <c r="L36" t="s">
        <v>7165</v>
      </c>
      <c r="M36" s="1" t="s">
        <v>3903</v>
      </c>
      <c r="N36" t="s">
        <v>5538</v>
      </c>
      <c r="O36" s="1" t="s">
        <v>166</v>
      </c>
      <c r="P36" s="1" t="s">
        <v>250</v>
      </c>
      <c r="Q36" s="11" t="s">
        <v>7208</v>
      </c>
      <c r="R36" s="1">
        <v>101</v>
      </c>
      <c r="S36" s="1">
        <v>1589</v>
      </c>
      <c r="T36" s="1" t="s">
        <v>169</v>
      </c>
      <c r="U36" s="1">
        <v>9396677</v>
      </c>
      <c r="V36" t="s">
        <v>5539</v>
      </c>
      <c r="W36" t="s">
        <v>5540</v>
      </c>
      <c r="X36" t="s">
        <v>68</v>
      </c>
      <c r="Y36" t="s">
        <v>5541</v>
      </c>
      <c r="Z36" t="s">
        <v>5542</v>
      </c>
      <c r="AA36" t="s">
        <v>5543</v>
      </c>
      <c r="AB36" t="s">
        <v>3311</v>
      </c>
      <c r="AC36" t="s">
        <v>73</v>
      </c>
      <c r="AD36" t="s">
        <v>5544</v>
      </c>
      <c r="AE36" t="s">
        <v>75</v>
      </c>
      <c r="AF36" t="s">
        <v>76</v>
      </c>
      <c r="AG36" t="s">
        <v>77</v>
      </c>
      <c r="AH36" t="s">
        <v>5545</v>
      </c>
      <c r="AI36" t="s">
        <v>107</v>
      </c>
      <c r="AJ36" t="s">
        <v>80</v>
      </c>
      <c r="AK36" t="s">
        <v>81</v>
      </c>
      <c r="AL36" t="s">
        <v>82</v>
      </c>
      <c r="AM36" t="s">
        <v>83</v>
      </c>
      <c r="AN36">
        <v>2017</v>
      </c>
      <c r="AO36">
        <v>145631</v>
      </c>
      <c r="AP36">
        <v>4995377</v>
      </c>
      <c r="AQ36">
        <v>177</v>
      </c>
      <c r="AR36" t="s">
        <v>84</v>
      </c>
      <c r="AS36">
        <v>562</v>
      </c>
      <c r="AT36" t="s">
        <v>85</v>
      </c>
      <c r="AU36" t="s">
        <v>86</v>
      </c>
      <c r="AV36">
        <v>562</v>
      </c>
      <c r="AW36" t="s">
        <v>5546</v>
      </c>
      <c r="AX36" t="s">
        <v>88</v>
      </c>
      <c r="AZ36" t="s">
        <v>5547</v>
      </c>
      <c r="BA36">
        <v>22</v>
      </c>
      <c r="BB36">
        <v>30</v>
      </c>
    </row>
    <row r="37" spans="1:54" x14ac:dyDescent="0.2">
      <c r="A37" t="s">
        <v>5383</v>
      </c>
      <c r="B37" t="s">
        <v>5384</v>
      </c>
      <c r="C37" t="s">
        <v>5385</v>
      </c>
      <c r="D37" t="s">
        <v>5386</v>
      </c>
      <c r="E37" t="s">
        <v>5386</v>
      </c>
      <c r="G37" t="s">
        <v>56</v>
      </c>
      <c r="H37" t="s">
        <v>93</v>
      </c>
      <c r="I37" t="s">
        <v>5350</v>
      </c>
      <c r="J37" t="s">
        <v>5387</v>
      </c>
      <c r="K37" t="s">
        <v>7165</v>
      </c>
      <c r="L37" t="s">
        <v>7165</v>
      </c>
      <c r="M37" s="1" t="s">
        <v>3261</v>
      </c>
      <c r="N37" t="s">
        <v>5388</v>
      </c>
      <c r="O37" s="1" t="s">
        <v>144</v>
      </c>
      <c r="P37" s="1" t="s">
        <v>313</v>
      </c>
      <c r="Q37" s="11" t="s">
        <v>7346</v>
      </c>
      <c r="R37" s="1">
        <v>10</v>
      </c>
      <c r="S37" s="1">
        <v>37009</v>
      </c>
      <c r="T37" s="1" t="s">
        <v>4903</v>
      </c>
      <c r="U37" s="1">
        <v>8101125</v>
      </c>
      <c r="V37" t="s">
        <v>5390</v>
      </c>
      <c r="W37" t="s">
        <v>5391</v>
      </c>
      <c r="X37" t="s">
        <v>68</v>
      </c>
      <c r="Y37" t="s">
        <v>5392</v>
      </c>
      <c r="Z37" t="s">
        <v>5393</v>
      </c>
      <c r="AA37" t="s">
        <v>5394</v>
      </c>
      <c r="AB37" t="s">
        <v>2752</v>
      </c>
      <c r="AC37" t="s">
        <v>73</v>
      </c>
      <c r="AD37" t="s">
        <v>5395</v>
      </c>
      <c r="AF37" t="s">
        <v>76</v>
      </c>
      <c r="AG37" t="s">
        <v>77</v>
      </c>
      <c r="AH37" t="s">
        <v>5396</v>
      </c>
      <c r="AI37" t="s">
        <v>156</v>
      </c>
      <c r="AJ37" t="s">
        <v>531</v>
      </c>
      <c r="AK37" t="s">
        <v>81</v>
      </c>
      <c r="AL37" t="s">
        <v>82</v>
      </c>
      <c r="AM37" t="s">
        <v>83</v>
      </c>
      <c r="AN37">
        <v>2016</v>
      </c>
      <c r="AO37">
        <v>78679</v>
      </c>
      <c r="AP37">
        <v>4931598</v>
      </c>
      <c r="AQ37">
        <v>199</v>
      </c>
      <c r="AR37" t="s">
        <v>84</v>
      </c>
      <c r="AS37">
        <v>562</v>
      </c>
      <c r="AT37" t="s">
        <v>85</v>
      </c>
      <c r="AU37" t="s">
        <v>86</v>
      </c>
      <c r="AV37">
        <v>562</v>
      </c>
      <c r="AW37" t="s">
        <v>5397</v>
      </c>
      <c r="AX37" t="s">
        <v>88</v>
      </c>
    </row>
    <row r="38" spans="1:54" x14ac:dyDescent="0.2">
      <c r="A38" t="s">
        <v>5438</v>
      </c>
      <c r="B38" t="s">
        <v>5439</v>
      </c>
      <c r="C38" t="s">
        <v>5440</v>
      </c>
      <c r="D38" t="s">
        <v>5441</v>
      </c>
      <c r="E38" t="s">
        <v>5441</v>
      </c>
      <c r="G38" t="s">
        <v>56</v>
      </c>
      <c r="H38" t="s">
        <v>93</v>
      </c>
      <c r="I38" t="s">
        <v>5442</v>
      </c>
      <c r="J38" t="s">
        <v>5443</v>
      </c>
      <c r="K38" t="s">
        <v>7169</v>
      </c>
      <c r="L38" t="s">
        <v>7169</v>
      </c>
      <c r="M38" s="1" t="s">
        <v>5444</v>
      </c>
      <c r="N38" t="s">
        <v>5445</v>
      </c>
      <c r="O38" s="1" t="s">
        <v>5446</v>
      </c>
      <c r="P38" s="1" t="s">
        <v>4328</v>
      </c>
      <c r="Q38" s="11" t="s">
        <v>7292</v>
      </c>
      <c r="R38" s="1">
        <v>154</v>
      </c>
      <c r="S38" s="1">
        <v>30050</v>
      </c>
      <c r="T38" s="1" t="s">
        <v>169</v>
      </c>
      <c r="U38" s="1">
        <v>15706164</v>
      </c>
      <c r="V38" t="s">
        <v>5448</v>
      </c>
      <c r="W38" t="s">
        <v>5449</v>
      </c>
      <c r="X38" t="s">
        <v>68</v>
      </c>
      <c r="Y38" t="s">
        <v>5450</v>
      </c>
      <c r="Z38" t="s">
        <v>5451</v>
      </c>
      <c r="AA38" t="s">
        <v>5452</v>
      </c>
      <c r="AB38" t="s">
        <v>2752</v>
      </c>
      <c r="AC38" t="s">
        <v>73</v>
      </c>
      <c r="AD38" t="s">
        <v>5453</v>
      </c>
      <c r="AE38" t="s">
        <v>75</v>
      </c>
      <c r="AF38" t="s">
        <v>76</v>
      </c>
      <c r="AG38" t="s">
        <v>77</v>
      </c>
      <c r="AH38" t="s">
        <v>5454</v>
      </c>
      <c r="AI38" t="s">
        <v>156</v>
      </c>
      <c r="AJ38" t="s">
        <v>80</v>
      </c>
      <c r="AK38" t="s">
        <v>81</v>
      </c>
      <c r="AL38" t="s">
        <v>82</v>
      </c>
      <c r="AM38" t="s">
        <v>83</v>
      </c>
      <c r="AN38">
        <v>2016</v>
      </c>
      <c r="AO38">
        <v>236316</v>
      </c>
      <c r="AP38">
        <v>4933766</v>
      </c>
      <c r="AQ38">
        <v>80</v>
      </c>
      <c r="AR38" t="s">
        <v>84</v>
      </c>
      <c r="AS38">
        <v>562</v>
      </c>
      <c r="AT38" t="s">
        <v>85</v>
      </c>
      <c r="AU38" t="s">
        <v>86</v>
      </c>
      <c r="AV38">
        <v>562</v>
      </c>
      <c r="AW38" t="s">
        <v>5455</v>
      </c>
      <c r="AX38" t="s">
        <v>88</v>
      </c>
    </row>
    <row r="39" spans="1:54" x14ac:dyDescent="0.2">
      <c r="A39" t="s">
        <v>5822</v>
      </c>
      <c r="B39" t="s">
        <v>5823</v>
      </c>
      <c r="C39" t="s">
        <v>5824</v>
      </c>
      <c r="D39" t="s">
        <v>5825</v>
      </c>
      <c r="E39" t="s">
        <v>5825</v>
      </c>
      <c r="G39" t="s">
        <v>56</v>
      </c>
      <c r="H39" t="s">
        <v>93</v>
      </c>
      <c r="I39" t="s">
        <v>140</v>
      </c>
      <c r="J39" t="s">
        <v>5745</v>
      </c>
      <c r="K39" t="s">
        <v>7165</v>
      </c>
      <c r="L39" t="s">
        <v>7165</v>
      </c>
      <c r="M39" s="1" t="s">
        <v>4768</v>
      </c>
      <c r="N39" t="s">
        <v>5826</v>
      </c>
      <c r="O39" s="1" t="s">
        <v>144</v>
      </c>
      <c r="P39" s="1" t="s">
        <v>64</v>
      </c>
      <c r="Q39" s="11" t="s">
        <v>7297</v>
      </c>
      <c r="R39" s="1">
        <v>295</v>
      </c>
      <c r="S39" s="1">
        <v>33518</v>
      </c>
      <c r="T39" s="1" t="s">
        <v>169</v>
      </c>
      <c r="U39" s="1">
        <v>9907087</v>
      </c>
      <c r="V39" t="s">
        <v>5828</v>
      </c>
      <c r="W39" t="s">
        <v>5829</v>
      </c>
      <c r="X39" t="s">
        <v>68</v>
      </c>
      <c r="Y39" t="s">
        <v>5830</v>
      </c>
      <c r="Z39" t="s">
        <v>5831</v>
      </c>
      <c r="AA39" t="s">
        <v>5832</v>
      </c>
      <c r="AB39" t="s">
        <v>2752</v>
      </c>
      <c r="AC39" t="s">
        <v>73</v>
      </c>
      <c r="AD39" t="s">
        <v>5833</v>
      </c>
      <c r="AE39" t="s">
        <v>75</v>
      </c>
      <c r="AF39" t="s">
        <v>76</v>
      </c>
      <c r="AG39" t="s">
        <v>77</v>
      </c>
      <c r="AH39" t="s">
        <v>5834</v>
      </c>
      <c r="AI39" t="s">
        <v>107</v>
      </c>
      <c r="AJ39" t="s">
        <v>80</v>
      </c>
      <c r="AK39" t="s">
        <v>81</v>
      </c>
      <c r="AL39" t="s">
        <v>82</v>
      </c>
      <c r="AM39" t="s">
        <v>83</v>
      </c>
      <c r="AN39">
        <v>2017</v>
      </c>
      <c r="AO39">
        <v>114552</v>
      </c>
      <c r="AP39">
        <v>4883444</v>
      </c>
      <c r="AQ39">
        <v>112</v>
      </c>
      <c r="AR39" t="s">
        <v>84</v>
      </c>
      <c r="AS39">
        <v>562</v>
      </c>
      <c r="AT39" t="s">
        <v>85</v>
      </c>
      <c r="AU39" t="s">
        <v>86</v>
      </c>
      <c r="AV39">
        <v>562</v>
      </c>
      <c r="AW39" t="s">
        <v>5835</v>
      </c>
      <c r="AX39" t="s">
        <v>88</v>
      </c>
      <c r="AZ39" t="s">
        <v>5836</v>
      </c>
      <c r="BA39">
        <v>23</v>
      </c>
    </row>
    <row r="40" spans="1:54" x14ac:dyDescent="0.2">
      <c r="A40" t="s">
        <v>5837</v>
      </c>
      <c r="B40" t="s">
        <v>5838</v>
      </c>
      <c r="C40" t="s">
        <v>5824</v>
      </c>
      <c r="D40" t="s">
        <v>5839</v>
      </c>
      <c r="E40" t="s">
        <v>5839</v>
      </c>
      <c r="G40" t="s">
        <v>56</v>
      </c>
      <c r="H40" t="s">
        <v>93</v>
      </c>
      <c r="I40" t="s">
        <v>140</v>
      </c>
      <c r="J40" t="s">
        <v>5745</v>
      </c>
      <c r="K40" t="s">
        <v>7165</v>
      </c>
      <c r="L40" t="s">
        <v>7165</v>
      </c>
      <c r="M40" s="1" t="s">
        <v>4768</v>
      </c>
      <c r="N40" t="s">
        <v>5826</v>
      </c>
      <c r="O40" s="1" t="s">
        <v>144</v>
      </c>
      <c r="P40" s="1" t="s">
        <v>64</v>
      </c>
      <c r="Q40" s="11" t="s">
        <v>7297</v>
      </c>
      <c r="R40" s="1">
        <v>12653</v>
      </c>
      <c r="S40" s="1">
        <v>33518</v>
      </c>
      <c r="T40" s="1" t="s">
        <v>169</v>
      </c>
      <c r="U40" s="1">
        <v>9907087</v>
      </c>
      <c r="V40" t="s">
        <v>5840</v>
      </c>
      <c r="W40" t="s">
        <v>5841</v>
      </c>
      <c r="X40" t="s">
        <v>68</v>
      </c>
      <c r="Y40" t="s">
        <v>5842</v>
      </c>
      <c r="Z40" t="s">
        <v>5843</v>
      </c>
      <c r="AA40" t="s">
        <v>5844</v>
      </c>
      <c r="AB40" t="s">
        <v>2752</v>
      </c>
      <c r="AC40" t="s">
        <v>73</v>
      </c>
      <c r="AD40" t="s">
        <v>5845</v>
      </c>
      <c r="AE40" t="s">
        <v>75</v>
      </c>
      <c r="AF40" t="s">
        <v>76</v>
      </c>
      <c r="AG40" t="s">
        <v>77</v>
      </c>
      <c r="AH40" t="s">
        <v>5846</v>
      </c>
      <c r="AI40" t="s">
        <v>107</v>
      </c>
      <c r="AJ40" t="s">
        <v>80</v>
      </c>
      <c r="AK40" t="s">
        <v>81</v>
      </c>
      <c r="AL40" t="s">
        <v>82</v>
      </c>
      <c r="AM40" t="s">
        <v>83</v>
      </c>
      <c r="AN40">
        <v>2017</v>
      </c>
      <c r="AO40">
        <v>141524</v>
      </c>
      <c r="AP40">
        <v>4752944</v>
      </c>
      <c r="AQ40">
        <v>97</v>
      </c>
      <c r="AR40" t="s">
        <v>84</v>
      </c>
      <c r="AS40">
        <v>562</v>
      </c>
      <c r="AT40" t="s">
        <v>85</v>
      </c>
      <c r="AU40" t="s">
        <v>86</v>
      </c>
      <c r="AV40">
        <v>562</v>
      </c>
      <c r="AW40" t="s">
        <v>5847</v>
      </c>
      <c r="AX40" t="s">
        <v>88</v>
      </c>
      <c r="AZ40" t="s">
        <v>5836</v>
      </c>
      <c r="BA40">
        <v>23</v>
      </c>
    </row>
    <row r="41" spans="1:54" x14ac:dyDescent="0.2">
      <c r="A41" t="s">
        <v>2767</v>
      </c>
      <c r="B41" t="s">
        <v>2768</v>
      </c>
      <c r="C41">
        <v>368485496</v>
      </c>
      <c r="D41" t="s">
        <v>2769</v>
      </c>
      <c r="E41" t="s">
        <v>2769</v>
      </c>
      <c r="G41" t="s">
        <v>56</v>
      </c>
      <c r="H41" t="s">
        <v>58</v>
      </c>
      <c r="I41" t="s">
        <v>2770</v>
      </c>
      <c r="J41" t="s">
        <v>2770</v>
      </c>
      <c r="K41" t="s">
        <v>7165</v>
      </c>
      <c r="L41" t="s">
        <v>7165</v>
      </c>
      <c r="M41" s="1" t="s">
        <v>603</v>
      </c>
      <c r="N41" t="s">
        <v>649</v>
      </c>
      <c r="O41" s="1" t="s">
        <v>875</v>
      </c>
      <c r="P41" s="1" t="s">
        <v>64</v>
      </c>
      <c r="Q41" s="11" t="s">
        <v>7220</v>
      </c>
      <c r="R41" s="1">
        <v>11</v>
      </c>
      <c r="S41" s="1">
        <v>2124</v>
      </c>
      <c r="T41" s="1" t="s">
        <v>2771</v>
      </c>
      <c r="U41" s="1">
        <v>9583844</v>
      </c>
      <c r="V41" t="s">
        <v>2772</v>
      </c>
      <c r="W41" t="s">
        <v>2773</v>
      </c>
      <c r="X41" t="s">
        <v>68</v>
      </c>
      <c r="Y41" t="s">
        <v>2774</v>
      </c>
      <c r="Z41" t="s">
        <v>2775</v>
      </c>
      <c r="AA41" t="s">
        <v>2776</v>
      </c>
      <c r="AB41" t="s">
        <v>2752</v>
      </c>
      <c r="AC41" t="s">
        <v>73</v>
      </c>
      <c r="AD41" t="s">
        <v>2777</v>
      </c>
      <c r="AE41" t="s">
        <v>2778</v>
      </c>
      <c r="AF41" t="s">
        <v>76</v>
      </c>
      <c r="AG41" t="s">
        <v>77</v>
      </c>
      <c r="AH41" t="s">
        <v>2779</v>
      </c>
      <c r="AI41" t="s">
        <v>2780</v>
      </c>
      <c r="AJ41" t="s">
        <v>2781</v>
      </c>
      <c r="AK41" t="s">
        <v>81</v>
      </c>
      <c r="AL41" t="s">
        <v>82</v>
      </c>
      <c r="AM41" t="s">
        <v>83</v>
      </c>
      <c r="AN41">
        <v>2017</v>
      </c>
      <c r="AO41">
        <v>103586</v>
      </c>
      <c r="AP41">
        <v>5667078</v>
      </c>
      <c r="AQ41">
        <v>216</v>
      </c>
      <c r="AR41" t="s">
        <v>84</v>
      </c>
      <c r="AS41">
        <v>562</v>
      </c>
      <c r="AT41" t="s">
        <v>85</v>
      </c>
      <c r="AU41" t="s">
        <v>86</v>
      </c>
      <c r="AV41">
        <v>562</v>
      </c>
      <c r="AW41" t="s">
        <v>2782</v>
      </c>
      <c r="AX41" t="s">
        <v>88</v>
      </c>
    </row>
    <row r="42" spans="1:54" x14ac:dyDescent="0.2">
      <c r="A42" t="s">
        <v>6759</v>
      </c>
      <c r="B42" t="s">
        <v>6760</v>
      </c>
      <c r="C42" t="s">
        <v>6761</v>
      </c>
      <c r="D42" t="s">
        <v>6762</v>
      </c>
      <c r="E42" t="s">
        <v>6762</v>
      </c>
      <c r="G42" t="s">
        <v>56</v>
      </c>
      <c r="H42" t="s">
        <v>58</v>
      </c>
      <c r="I42" t="s">
        <v>140</v>
      </c>
      <c r="J42" t="s">
        <v>1094</v>
      </c>
      <c r="K42" t="s">
        <v>7165</v>
      </c>
      <c r="L42" t="s">
        <v>7165</v>
      </c>
      <c r="M42" s="1" t="s">
        <v>6764</v>
      </c>
      <c r="N42" t="s">
        <v>6765</v>
      </c>
      <c r="O42" s="1" t="s">
        <v>4494</v>
      </c>
      <c r="P42" s="1" t="s">
        <v>250</v>
      </c>
      <c r="Q42" s="11" t="s">
        <v>7207</v>
      </c>
      <c r="R42" s="1">
        <v>343</v>
      </c>
      <c r="S42" s="1">
        <v>1847</v>
      </c>
      <c r="T42" s="1" t="s">
        <v>169</v>
      </c>
      <c r="U42" s="1">
        <v>10615038</v>
      </c>
      <c r="V42" t="s">
        <v>6766</v>
      </c>
      <c r="W42" t="s">
        <v>6767</v>
      </c>
      <c r="X42" t="s">
        <v>68</v>
      </c>
      <c r="Y42" t="s">
        <v>6768</v>
      </c>
      <c r="Z42" t="s">
        <v>6769</v>
      </c>
      <c r="AA42" t="s">
        <v>6770</v>
      </c>
      <c r="AB42" t="s">
        <v>2752</v>
      </c>
      <c r="AC42" t="s">
        <v>73</v>
      </c>
      <c r="AD42" t="s">
        <v>6771</v>
      </c>
      <c r="AE42" t="s">
        <v>75</v>
      </c>
      <c r="AF42" t="s">
        <v>76</v>
      </c>
      <c r="AG42" t="s">
        <v>77</v>
      </c>
      <c r="AH42" t="s">
        <v>6772</v>
      </c>
      <c r="AI42" t="s">
        <v>364</v>
      </c>
      <c r="AJ42" t="s">
        <v>80</v>
      </c>
      <c r="AK42" t="s">
        <v>81</v>
      </c>
      <c r="AL42" t="s">
        <v>82</v>
      </c>
      <c r="AM42" t="s">
        <v>83</v>
      </c>
      <c r="AN42">
        <v>2018</v>
      </c>
      <c r="AO42">
        <v>67300</v>
      </c>
      <c r="AP42">
        <v>5232743</v>
      </c>
      <c r="AQ42">
        <v>355</v>
      </c>
      <c r="AR42" t="s">
        <v>84</v>
      </c>
      <c r="AS42">
        <v>562</v>
      </c>
      <c r="AT42" t="s">
        <v>85</v>
      </c>
      <c r="AU42" t="s">
        <v>86</v>
      </c>
      <c r="AV42">
        <v>562</v>
      </c>
      <c r="AW42" t="s">
        <v>6773</v>
      </c>
      <c r="AX42" t="s">
        <v>88</v>
      </c>
    </row>
    <row r="43" spans="1:54" x14ac:dyDescent="0.2">
      <c r="A43" t="s">
        <v>2756</v>
      </c>
      <c r="B43" t="s">
        <v>2757</v>
      </c>
      <c r="C43" t="s">
        <v>2744</v>
      </c>
      <c r="D43" t="s">
        <v>2758</v>
      </c>
      <c r="E43" t="s">
        <v>2758</v>
      </c>
      <c r="G43" t="s">
        <v>56</v>
      </c>
      <c r="H43" t="s">
        <v>58</v>
      </c>
      <c r="I43" t="s">
        <v>2746</v>
      </c>
      <c r="J43" t="s">
        <v>2746</v>
      </c>
      <c r="K43" t="s">
        <v>7165</v>
      </c>
      <c r="L43" t="s">
        <v>7165</v>
      </c>
      <c r="M43" s="1" t="s">
        <v>603</v>
      </c>
      <c r="N43" t="s">
        <v>649</v>
      </c>
      <c r="O43" s="1" t="s">
        <v>605</v>
      </c>
      <c r="P43" s="1" t="s">
        <v>820</v>
      </c>
      <c r="Q43" s="11" t="s">
        <v>7319</v>
      </c>
      <c r="R43" s="1">
        <v>11</v>
      </c>
      <c r="S43" s="1">
        <v>2124</v>
      </c>
      <c r="T43" s="1" t="s">
        <v>169</v>
      </c>
      <c r="U43" s="1" t="s">
        <v>170</v>
      </c>
      <c r="V43" t="s">
        <v>2759</v>
      </c>
      <c r="W43" t="s">
        <v>2760</v>
      </c>
      <c r="X43" t="s">
        <v>68</v>
      </c>
      <c r="Y43" t="s">
        <v>2761</v>
      </c>
      <c r="Z43" t="s">
        <v>2762</v>
      </c>
      <c r="AA43" t="s">
        <v>2763</v>
      </c>
      <c r="AB43" t="s">
        <v>2752</v>
      </c>
      <c r="AC43" t="s">
        <v>73</v>
      </c>
      <c r="AD43" t="s">
        <v>2764</v>
      </c>
      <c r="AE43" t="s">
        <v>75</v>
      </c>
      <c r="AF43" t="s">
        <v>76</v>
      </c>
      <c r="AG43" t="s">
        <v>77</v>
      </c>
      <c r="AH43" t="s">
        <v>2765</v>
      </c>
      <c r="AI43" t="s">
        <v>615</v>
      </c>
      <c r="AJ43" t="s">
        <v>616</v>
      </c>
      <c r="AK43" t="s">
        <v>81</v>
      </c>
      <c r="AL43" t="s">
        <v>82</v>
      </c>
      <c r="AM43" t="s">
        <v>83</v>
      </c>
      <c r="AN43">
        <v>2017</v>
      </c>
      <c r="AO43">
        <v>93312</v>
      </c>
      <c r="AP43">
        <v>5380491</v>
      </c>
      <c r="AQ43">
        <v>213</v>
      </c>
      <c r="AR43" t="s">
        <v>84</v>
      </c>
      <c r="AS43">
        <v>562</v>
      </c>
      <c r="AT43" t="s">
        <v>85</v>
      </c>
      <c r="AU43" t="s">
        <v>86</v>
      </c>
      <c r="AV43">
        <v>562</v>
      </c>
      <c r="AW43" t="s">
        <v>2766</v>
      </c>
      <c r="AX43" t="s">
        <v>88</v>
      </c>
      <c r="AZ43" t="s">
        <v>2707</v>
      </c>
      <c r="BA43">
        <v>0</v>
      </c>
    </row>
    <row r="44" spans="1:54" x14ac:dyDescent="0.2">
      <c r="A44" t="s">
        <v>2742</v>
      </c>
      <c r="B44" t="s">
        <v>2743</v>
      </c>
      <c r="C44" t="s">
        <v>2744</v>
      </c>
      <c r="D44" t="s">
        <v>2745</v>
      </c>
      <c r="E44" t="s">
        <v>2745</v>
      </c>
      <c r="G44" t="s">
        <v>56</v>
      </c>
      <c r="H44" t="s">
        <v>58</v>
      </c>
      <c r="I44" t="s">
        <v>2746</v>
      </c>
      <c r="J44" t="s">
        <v>2746</v>
      </c>
      <c r="K44" t="s">
        <v>7165</v>
      </c>
      <c r="L44" t="s">
        <v>7165</v>
      </c>
      <c r="M44" s="1" t="s">
        <v>603</v>
      </c>
      <c r="N44" t="s">
        <v>649</v>
      </c>
      <c r="O44" s="1" t="s">
        <v>605</v>
      </c>
      <c r="P44" s="1" t="s">
        <v>820</v>
      </c>
      <c r="Q44" s="11" t="s">
        <v>7340</v>
      </c>
      <c r="R44" s="1">
        <v>11</v>
      </c>
      <c r="S44" s="1">
        <v>2124</v>
      </c>
      <c r="T44" s="1" t="s">
        <v>169</v>
      </c>
      <c r="U44" s="1" t="s">
        <v>170</v>
      </c>
      <c r="V44" t="s">
        <v>2747</v>
      </c>
      <c r="W44" t="s">
        <v>2748</v>
      </c>
      <c r="X44" t="s">
        <v>68</v>
      </c>
      <c r="Y44" t="s">
        <v>2749</v>
      </c>
      <c r="Z44" t="s">
        <v>2750</v>
      </c>
      <c r="AA44" t="s">
        <v>2751</v>
      </c>
      <c r="AB44" t="s">
        <v>2752</v>
      </c>
      <c r="AC44" t="s">
        <v>73</v>
      </c>
      <c r="AD44" t="s">
        <v>2753</v>
      </c>
      <c r="AE44" t="s">
        <v>75</v>
      </c>
      <c r="AF44" t="s">
        <v>76</v>
      </c>
      <c r="AG44" t="s">
        <v>77</v>
      </c>
      <c r="AH44" t="s">
        <v>2754</v>
      </c>
      <c r="AI44" t="s">
        <v>615</v>
      </c>
      <c r="AJ44" t="s">
        <v>616</v>
      </c>
      <c r="AK44" t="s">
        <v>81</v>
      </c>
      <c r="AL44" t="s">
        <v>82</v>
      </c>
      <c r="AM44" t="s">
        <v>83</v>
      </c>
      <c r="AN44">
        <v>2017</v>
      </c>
      <c r="AO44">
        <v>88368</v>
      </c>
      <c r="AP44">
        <v>5377880</v>
      </c>
      <c r="AQ44">
        <v>275</v>
      </c>
      <c r="AR44" t="s">
        <v>84</v>
      </c>
      <c r="AS44">
        <v>562</v>
      </c>
      <c r="AT44" t="s">
        <v>85</v>
      </c>
      <c r="AU44" t="s">
        <v>86</v>
      </c>
      <c r="AV44">
        <v>562</v>
      </c>
      <c r="AW44" t="s">
        <v>2755</v>
      </c>
      <c r="AX44" t="s">
        <v>88</v>
      </c>
      <c r="AZ44" t="s">
        <v>2707</v>
      </c>
      <c r="BA44">
        <v>0</v>
      </c>
    </row>
    <row r="45" spans="1:54" x14ac:dyDescent="0.2">
      <c r="A45" t="s">
        <v>5929</v>
      </c>
      <c r="B45" t="s">
        <v>5930</v>
      </c>
      <c r="C45" t="s">
        <v>5864</v>
      </c>
      <c r="D45" t="s">
        <v>5931</v>
      </c>
      <c r="E45" t="s">
        <v>5931</v>
      </c>
      <c r="G45" t="s">
        <v>56</v>
      </c>
      <c r="H45" t="s">
        <v>93</v>
      </c>
      <c r="I45" t="s">
        <v>140</v>
      </c>
      <c r="J45" t="s">
        <v>5852</v>
      </c>
      <c r="K45" t="s">
        <v>7165</v>
      </c>
      <c r="L45" t="s">
        <v>7165</v>
      </c>
      <c r="M45" s="1" t="s">
        <v>208</v>
      </c>
      <c r="N45" t="s">
        <v>209</v>
      </c>
      <c r="O45" s="1" t="s">
        <v>166</v>
      </c>
      <c r="P45" s="1" t="s">
        <v>167</v>
      </c>
      <c r="Q45" s="11" t="s">
        <v>7201</v>
      </c>
      <c r="R45" s="1">
        <v>675</v>
      </c>
      <c r="S45" s="1">
        <v>14960</v>
      </c>
      <c r="T45" s="1" t="s">
        <v>169</v>
      </c>
      <c r="U45" s="1">
        <v>10444301</v>
      </c>
      <c r="V45" t="s">
        <v>5932</v>
      </c>
      <c r="W45" t="s">
        <v>5933</v>
      </c>
      <c r="X45" t="s">
        <v>68</v>
      </c>
      <c r="Y45" t="s">
        <v>5934</v>
      </c>
      <c r="Z45" t="s">
        <v>5935</v>
      </c>
      <c r="AA45" t="s">
        <v>5936</v>
      </c>
      <c r="AB45" t="s">
        <v>4011</v>
      </c>
      <c r="AC45" t="s">
        <v>73</v>
      </c>
      <c r="AD45" t="s">
        <v>5937</v>
      </c>
      <c r="AE45" t="s">
        <v>75</v>
      </c>
      <c r="AF45" t="s">
        <v>76</v>
      </c>
      <c r="AG45" t="s">
        <v>77</v>
      </c>
      <c r="AH45" t="s">
        <v>5938</v>
      </c>
      <c r="AI45" t="s">
        <v>156</v>
      </c>
      <c r="AJ45" t="s">
        <v>80</v>
      </c>
      <c r="AK45" t="s">
        <v>81</v>
      </c>
      <c r="AL45" t="s">
        <v>82</v>
      </c>
      <c r="AM45" t="s">
        <v>83</v>
      </c>
      <c r="AN45">
        <v>2017</v>
      </c>
      <c r="AO45">
        <v>104903</v>
      </c>
      <c r="AP45">
        <v>5516808</v>
      </c>
      <c r="AQ45">
        <v>207</v>
      </c>
      <c r="AR45" t="s">
        <v>84</v>
      </c>
      <c r="AS45">
        <v>562</v>
      </c>
      <c r="AT45" t="s">
        <v>85</v>
      </c>
      <c r="AU45" t="s">
        <v>86</v>
      </c>
      <c r="AV45">
        <v>562</v>
      </c>
      <c r="AW45" t="s">
        <v>5939</v>
      </c>
      <c r="AX45" t="s">
        <v>88</v>
      </c>
    </row>
    <row r="46" spans="1:54" x14ac:dyDescent="0.2">
      <c r="A46" t="s">
        <v>5874</v>
      </c>
      <c r="B46" t="s">
        <v>5875</v>
      </c>
      <c r="C46" t="s">
        <v>5876</v>
      </c>
      <c r="D46" t="s">
        <v>5877</v>
      </c>
      <c r="E46" t="s">
        <v>5877</v>
      </c>
      <c r="G46" t="s">
        <v>56</v>
      </c>
      <c r="H46" t="s">
        <v>93</v>
      </c>
      <c r="I46" t="s">
        <v>140</v>
      </c>
      <c r="J46" t="s">
        <v>5878</v>
      </c>
      <c r="K46" t="s">
        <v>7165</v>
      </c>
      <c r="L46" t="s">
        <v>7165</v>
      </c>
      <c r="M46" s="1" t="s">
        <v>5461</v>
      </c>
      <c r="N46" t="s">
        <v>5879</v>
      </c>
      <c r="O46" s="1" t="s">
        <v>166</v>
      </c>
      <c r="P46" s="1" t="s">
        <v>250</v>
      </c>
      <c r="Q46" s="11" t="s">
        <v>7223</v>
      </c>
      <c r="R46" s="1">
        <v>647</v>
      </c>
      <c r="S46" s="1">
        <v>30617</v>
      </c>
      <c r="T46" s="1" t="s">
        <v>169</v>
      </c>
      <c r="U46" s="1" t="s">
        <v>5881</v>
      </c>
      <c r="V46" t="s">
        <v>5882</v>
      </c>
      <c r="W46" t="s">
        <v>5883</v>
      </c>
      <c r="X46" t="s">
        <v>68</v>
      </c>
      <c r="Y46" t="s">
        <v>5884</v>
      </c>
      <c r="Z46" t="s">
        <v>5885</v>
      </c>
      <c r="AA46" t="s">
        <v>5886</v>
      </c>
      <c r="AB46" t="s">
        <v>4011</v>
      </c>
      <c r="AC46" t="s">
        <v>73</v>
      </c>
      <c r="AD46" t="s">
        <v>5887</v>
      </c>
      <c r="AE46" t="s">
        <v>5470</v>
      </c>
      <c r="AF46" t="s">
        <v>76</v>
      </c>
      <c r="AG46" t="s">
        <v>77</v>
      </c>
      <c r="AH46" t="s">
        <v>5888</v>
      </c>
      <c r="AI46" t="s">
        <v>156</v>
      </c>
      <c r="AJ46" t="s">
        <v>5472</v>
      </c>
      <c r="AK46" t="s">
        <v>81</v>
      </c>
      <c r="AL46" t="s">
        <v>82</v>
      </c>
      <c r="AM46" t="s">
        <v>83</v>
      </c>
      <c r="AN46">
        <v>2017</v>
      </c>
      <c r="AO46">
        <v>121621</v>
      </c>
      <c r="AP46">
        <v>5307646</v>
      </c>
      <c r="AQ46">
        <v>137</v>
      </c>
      <c r="AR46" t="s">
        <v>84</v>
      </c>
      <c r="AS46">
        <v>562</v>
      </c>
      <c r="AT46" t="s">
        <v>85</v>
      </c>
      <c r="AU46" t="s">
        <v>86</v>
      </c>
      <c r="AV46">
        <v>562</v>
      </c>
      <c r="AW46" t="s">
        <v>5889</v>
      </c>
      <c r="AX46" t="s">
        <v>88</v>
      </c>
    </row>
    <row r="47" spans="1:54" x14ac:dyDescent="0.2">
      <c r="A47" t="s">
        <v>5940</v>
      </c>
      <c r="B47" t="s">
        <v>5941</v>
      </c>
      <c r="C47" t="s">
        <v>5942</v>
      </c>
      <c r="D47" t="s">
        <v>5943</v>
      </c>
      <c r="E47" t="s">
        <v>5943</v>
      </c>
      <c r="G47" t="s">
        <v>56</v>
      </c>
      <c r="H47" t="s">
        <v>93</v>
      </c>
      <c r="I47" t="s">
        <v>140</v>
      </c>
      <c r="J47" t="s">
        <v>5745</v>
      </c>
      <c r="K47" t="s">
        <v>7165</v>
      </c>
      <c r="L47" t="s">
        <v>7165</v>
      </c>
      <c r="M47" s="1" t="s">
        <v>4838</v>
      </c>
      <c r="N47" t="s">
        <v>4839</v>
      </c>
      <c r="O47" s="1" t="s">
        <v>144</v>
      </c>
      <c r="P47" s="1" t="s">
        <v>270</v>
      </c>
      <c r="Q47" s="11" t="s">
        <v>7342</v>
      </c>
      <c r="R47" s="1">
        <v>2387</v>
      </c>
      <c r="S47" s="1">
        <v>32410</v>
      </c>
      <c r="T47" s="1" t="s">
        <v>5944</v>
      </c>
      <c r="U47" s="1">
        <v>10442042</v>
      </c>
      <c r="V47" t="s">
        <v>5945</v>
      </c>
      <c r="W47" t="s">
        <v>5946</v>
      </c>
      <c r="X47" t="s">
        <v>68</v>
      </c>
      <c r="Y47" t="s">
        <v>5947</v>
      </c>
      <c r="Z47" t="s">
        <v>5948</v>
      </c>
      <c r="AA47" t="s">
        <v>5949</v>
      </c>
      <c r="AB47" t="s">
        <v>4011</v>
      </c>
      <c r="AC47" t="s">
        <v>73</v>
      </c>
      <c r="AD47" t="s">
        <v>5950</v>
      </c>
      <c r="AE47" t="s">
        <v>2778</v>
      </c>
      <c r="AF47" t="s">
        <v>76</v>
      </c>
      <c r="AG47" t="s">
        <v>77</v>
      </c>
      <c r="AH47" t="s">
        <v>5951</v>
      </c>
      <c r="AI47" t="s">
        <v>3115</v>
      </c>
      <c r="AJ47" t="s">
        <v>5952</v>
      </c>
      <c r="AK47" t="s">
        <v>81</v>
      </c>
      <c r="AL47" t="s">
        <v>82</v>
      </c>
      <c r="AM47" t="s">
        <v>83</v>
      </c>
      <c r="AN47">
        <v>2017</v>
      </c>
      <c r="AO47">
        <v>138550</v>
      </c>
      <c r="AP47">
        <v>5319760</v>
      </c>
      <c r="AQ47">
        <v>108</v>
      </c>
      <c r="AR47" t="s">
        <v>84</v>
      </c>
      <c r="AS47">
        <v>562</v>
      </c>
      <c r="AT47" t="s">
        <v>85</v>
      </c>
      <c r="AU47" t="s">
        <v>86</v>
      </c>
      <c r="AV47">
        <v>562</v>
      </c>
      <c r="AW47" t="s">
        <v>5953</v>
      </c>
      <c r="AX47" t="s">
        <v>88</v>
      </c>
      <c r="AZ47" t="s">
        <v>5954</v>
      </c>
      <c r="BA47">
        <v>1</v>
      </c>
    </row>
    <row r="48" spans="1:54" x14ac:dyDescent="0.2">
      <c r="A48" t="s">
        <v>6085</v>
      </c>
      <c r="B48" t="s">
        <v>6086</v>
      </c>
      <c r="C48" t="s">
        <v>6087</v>
      </c>
      <c r="D48" t="s">
        <v>6088</v>
      </c>
      <c r="E48" t="s">
        <v>6088</v>
      </c>
      <c r="G48" t="s">
        <v>56</v>
      </c>
      <c r="H48" t="s">
        <v>93</v>
      </c>
      <c r="I48" t="s">
        <v>140</v>
      </c>
      <c r="J48" t="s">
        <v>6089</v>
      </c>
      <c r="K48" t="s">
        <v>7165</v>
      </c>
      <c r="L48" t="s">
        <v>7165</v>
      </c>
      <c r="M48" s="1" t="s">
        <v>268</v>
      </c>
      <c r="N48" t="s">
        <v>269</v>
      </c>
      <c r="O48" s="1" t="s">
        <v>144</v>
      </c>
      <c r="P48" s="1" t="s">
        <v>270</v>
      </c>
      <c r="Q48" s="11" t="s">
        <v>7221</v>
      </c>
      <c r="R48" s="1">
        <v>677</v>
      </c>
      <c r="S48" s="1">
        <v>30630</v>
      </c>
      <c r="T48" s="1" t="s">
        <v>6090</v>
      </c>
      <c r="U48" s="1">
        <v>11121965</v>
      </c>
      <c r="V48" t="s">
        <v>6091</v>
      </c>
      <c r="W48" t="s">
        <v>6092</v>
      </c>
      <c r="X48" t="s">
        <v>68</v>
      </c>
      <c r="Y48" t="s">
        <v>6093</v>
      </c>
      <c r="Z48" t="s">
        <v>6094</v>
      </c>
      <c r="AA48" t="s">
        <v>6095</v>
      </c>
      <c r="AB48" t="s">
        <v>4011</v>
      </c>
      <c r="AC48" t="s">
        <v>73</v>
      </c>
      <c r="AD48" t="s">
        <v>6096</v>
      </c>
      <c r="AE48" t="s">
        <v>279</v>
      </c>
      <c r="AF48" t="s">
        <v>76</v>
      </c>
      <c r="AG48" t="s">
        <v>77</v>
      </c>
      <c r="AH48" t="s">
        <v>280</v>
      </c>
      <c r="AI48" t="s">
        <v>156</v>
      </c>
      <c r="AJ48" t="s">
        <v>281</v>
      </c>
      <c r="AK48" t="s">
        <v>81</v>
      </c>
      <c r="AL48" t="s">
        <v>82</v>
      </c>
      <c r="AM48" t="s">
        <v>83</v>
      </c>
      <c r="AN48">
        <v>2018</v>
      </c>
      <c r="AO48">
        <v>130181</v>
      </c>
      <c r="AP48">
        <v>5279840</v>
      </c>
      <c r="AQ48">
        <v>196</v>
      </c>
      <c r="AR48" t="s">
        <v>84</v>
      </c>
      <c r="AS48">
        <v>562</v>
      </c>
      <c r="AT48" t="s">
        <v>85</v>
      </c>
      <c r="AU48" t="s">
        <v>86</v>
      </c>
      <c r="AV48">
        <v>562</v>
      </c>
      <c r="AW48" t="s">
        <v>6097</v>
      </c>
      <c r="AX48" t="s">
        <v>88</v>
      </c>
      <c r="AZ48" t="s">
        <v>283</v>
      </c>
      <c r="BA48">
        <v>3</v>
      </c>
    </row>
    <row r="49" spans="1:54" x14ac:dyDescent="0.2">
      <c r="A49" t="s">
        <v>5955</v>
      </c>
      <c r="B49" t="s">
        <v>5956</v>
      </c>
      <c r="C49" t="s">
        <v>5942</v>
      </c>
      <c r="D49" t="s">
        <v>5957</v>
      </c>
      <c r="E49" t="s">
        <v>5957</v>
      </c>
      <c r="G49" t="s">
        <v>56</v>
      </c>
      <c r="H49" t="s">
        <v>93</v>
      </c>
      <c r="I49" t="s">
        <v>5745</v>
      </c>
      <c r="J49" t="s">
        <v>5745</v>
      </c>
      <c r="K49" t="s">
        <v>7165</v>
      </c>
      <c r="L49" t="s">
        <v>7165</v>
      </c>
      <c r="M49" s="1" t="s">
        <v>4838</v>
      </c>
      <c r="N49" t="s">
        <v>4839</v>
      </c>
      <c r="O49" s="1" t="s">
        <v>144</v>
      </c>
      <c r="P49" s="1" t="s">
        <v>270</v>
      </c>
      <c r="Q49" s="11" t="s">
        <v>7342</v>
      </c>
      <c r="R49" s="1">
        <v>2387</v>
      </c>
      <c r="S49" s="1">
        <v>32410</v>
      </c>
      <c r="T49" s="1" t="s">
        <v>5944</v>
      </c>
      <c r="U49" s="1">
        <v>10442042</v>
      </c>
      <c r="V49" t="s">
        <v>5958</v>
      </c>
      <c r="W49" t="s">
        <v>5959</v>
      </c>
      <c r="X49" t="s">
        <v>68</v>
      </c>
      <c r="Y49" t="s">
        <v>5960</v>
      </c>
      <c r="Z49" t="s">
        <v>5961</v>
      </c>
      <c r="AA49" t="s">
        <v>5962</v>
      </c>
      <c r="AB49" t="s">
        <v>4011</v>
      </c>
      <c r="AC49" t="s">
        <v>73</v>
      </c>
      <c r="AD49" t="s">
        <v>5963</v>
      </c>
      <c r="AE49" t="s">
        <v>2778</v>
      </c>
      <c r="AF49" t="s">
        <v>76</v>
      </c>
      <c r="AG49" t="s">
        <v>77</v>
      </c>
      <c r="AH49" t="s">
        <v>5964</v>
      </c>
      <c r="AI49" t="s">
        <v>3115</v>
      </c>
      <c r="AJ49" t="s">
        <v>5952</v>
      </c>
      <c r="AK49" t="s">
        <v>81</v>
      </c>
      <c r="AL49" t="s">
        <v>82</v>
      </c>
      <c r="AM49" t="s">
        <v>83</v>
      </c>
      <c r="AN49">
        <v>2017</v>
      </c>
      <c r="AO49">
        <v>141378</v>
      </c>
      <c r="AP49">
        <v>5311373</v>
      </c>
      <c r="AQ49">
        <v>124</v>
      </c>
      <c r="AR49" t="s">
        <v>84</v>
      </c>
      <c r="AS49">
        <v>562</v>
      </c>
      <c r="AT49" t="s">
        <v>85</v>
      </c>
      <c r="AU49" t="s">
        <v>86</v>
      </c>
      <c r="AV49">
        <v>562</v>
      </c>
      <c r="AW49" t="s">
        <v>5965</v>
      </c>
      <c r="AX49" t="s">
        <v>88</v>
      </c>
      <c r="AZ49" t="s">
        <v>5954</v>
      </c>
      <c r="BA49">
        <v>1</v>
      </c>
    </row>
    <row r="50" spans="1:54" x14ac:dyDescent="0.2">
      <c r="A50" t="s">
        <v>5456</v>
      </c>
      <c r="B50" t="s">
        <v>5457</v>
      </c>
      <c r="C50" t="s">
        <v>5458</v>
      </c>
      <c r="D50" t="s">
        <v>5459</v>
      </c>
      <c r="E50" t="s">
        <v>5459</v>
      </c>
      <c r="G50" t="s">
        <v>56</v>
      </c>
      <c r="H50" t="s">
        <v>93</v>
      </c>
      <c r="I50" t="s">
        <v>5350</v>
      </c>
      <c r="J50" t="s">
        <v>5460</v>
      </c>
      <c r="K50" t="s">
        <v>7165</v>
      </c>
      <c r="L50" t="s">
        <v>7165</v>
      </c>
      <c r="M50" s="1" t="s">
        <v>5461</v>
      </c>
      <c r="N50" t="s">
        <v>5462</v>
      </c>
      <c r="O50" s="1" t="s">
        <v>166</v>
      </c>
      <c r="P50" s="1" t="s">
        <v>250</v>
      </c>
      <c r="Q50" s="11" t="s">
        <v>7315</v>
      </c>
      <c r="R50" s="1">
        <v>647</v>
      </c>
      <c r="S50" s="1">
        <v>2187</v>
      </c>
      <c r="T50" s="1" t="s">
        <v>169</v>
      </c>
      <c r="U50" s="1">
        <v>8962910</v>
      </c>
      <c r="V50" t="s">
        <v>5464</v>
      </c>
      <c r="W50" t="s">
        <v>5465</v>
      </c>
      <c r="X50" t="s">
        <v>68</v>
      </c>
      <c r="Y50" t="s">
        <v>5466</v>
      </c>
      <c r="Z50" t="s">
        <v>5467</v>
      </c>
      <c r="AA50" t="s">
        <v>5468</v>
      </c>
      <c r="AB50" t="s">
        <v>4011</v>
      </c>
      <c r="AC50" t="s">
        <v>73</v>
      </c>
      <c r="AD50" t="s">
        <v>5469</v>
      </c>
      <c r="AE50" t="s">
        <v>5470</v>
      </c>
      <c r="AF50" t="s">
        <v>76</v>
      </c>
      <c r="AG50" t="s">
        <v>77</v>
      </c>
      <c r="AH50" t="s">
        <v>5471</v>
      </c>
      <c r="AI50" t="s">
        <v>156</v>
      </c>
      <c r="AJ50" t="s">
        <v>5472</v>
      </c>
      <c r="AK50" t="s">
        <v>81</v>
      </c>
      <c r="AL50" t="s">
        <v>82</v>
      </c>
      <c r="AM50" t="s">
        <v>83</v>
      </c>
      <c r="AN50">
        <v>2016</v>
      </c>
      <c r="AO50">
        <v>263598</v>
      </c>
      <c r="AP50">
        <v>5296516</v>
      </c>
      <c r="AQ50">
        <v>96</v>
      </c>
      <c r="AR50" t="s">
        <v>84</v>
      </c>
      <c r="AS50">
        <v>562</v>
      </c>
      <c r="AT50" t="s">
        <v>85</v>
      </c>
      <c r="AU50" t="s">
        <v>86</v>
      </c>
      <c r="AV50">
        <v>562</v>
      </c>
      <c r="AW50" t="s">
        <v>5473</v>
      </c>
      <c r="AX50" t="s">
        <v>88</v>
      </c>
    </row>
    <row r="51" spans="1:54" x14ac:dyDescent="0.2">
      <c r="A51" t="s">
        <v>5779</v>
      </c>
      <c r="B51" t="s">
        <v>5780</v>
      </c>
      <c r="C51" t="s">
        <v>5781</v>
      </c>
      <c r="D51" t="s">
        <v>5782</v>
      </c>
      <c r="E51" t="s">
        <v>5782</v>
      </c>
      <c r="G51" t="s">
        <v>56</v>
      </c>
      <c r="H51" t="s">
        <v>93</v>
      </c>
      <c r="I51" t="s">
        <v>140</v>
      </c>
      <c r="J51" t="s">
        <v>5745</v>
      </c>
      <c r="K51" t="s">
        <v>7165</v>
      </c>
      <c r="L51" t="s">
        <v>7165</v>
      </c>
      <c r="M51" s="1" t="s">
        <v>142</v>
      </c>
      <c r="N51" t="s">
        <v>5783</v>
      </c>
      <c r="O51" s="1" t="s">
        <v>144</v>
      </c>
      <c r="P51" s="8" t="s">
        <v>270</v>
      </c>
      <c r="Q51" s="11" t="s">
        <v>7203</v>
      </c>
      <c r="R51" s="1">
        <v>332</v>
      </c>
      <c r="S51" s="1">
        <v>44442</v>
      </c>
      <c r="T51" s="1" t="s">
        <v>5784</v>
      </c>
      <c r="U51" s="1">
        <v>9815226</v>
      </c>
      <c r="V51" t="s">
        <v>5785</v>
      </c>
      <c r="W51" t="s">
        <v>5786</v>
      </c>
      <c r="X51" t="s">
        <v>68</v>
      </c>
      <c r="Y51" t="s">
        <v>5787</v>
      </c>
      <c r="Z51" t="s">
        <v>5788</v>
      </c>
      <c r="AA51" t="s">
        <v>5789</v>
      </c>
      <c r="AB51" t="s">
        <v>4011</v>
      </c>
      <c r="AC51" t="s">
        <v>73</v>
      </c>
      <c r="AD51" t="s">
        <v>5790</v>
      </c>
      <c r="AE51" t="s">
        <v>5791</v>
      </c>
      <c r="AF51" t="s">
        <v>76</v>
      </c>
      <c r="AG51" t="s">
        <v>77</v>
      </c>
      <c r="AH51" t="s">
        <v>3968</v>
      </c>
      <c r="AI51" t="s">
        <v>156</v>
      </c>
      <c r="AJ51" t="s">
        <v>5792</v>
      </c>
      <c r="AK51" t="s">
        <v>532</v>
      </c>
      <c r="AL51" t="s">
        <v>533</v>
      </c>
      <c r="AM51" t="s">
        <v>83</v>
      </c>
      <c r="AN51">
        <v>2017</v>
      </c>
      <c r="AO51">
        <v>104156</v>
      </c>
      <c r="AP51">
        <v>5266228</v>
      </c>
      <c r="AQ51">
        <v>209</v>
      </c>
      <c r="AR51" t="s">
        <v>84</v>
      </c>
      <c r="AS51">
        <v>562</v>
      </c>
      <c r="AT51" t="s">
        <v>85</v>
      </c>
      <c r="AU51" t="s">
        <v>86</v>
      </c>
      <c r="AV51">
        <v>562</v>
      </c>
      <c r="AW51" t="s">
        <v>5793</v>
      </c>
      <c r="AX51" t="s">
        <v>88</v>
      </c>
    </row>
    <row r="52" spans="1:54" x14ac:dyDescent="0.2">
      <c r="A52" t="s">
        <v>4002</v>
      </c>
      <c r="B52" t="s">
        <v>4003</v>
      </c>
      <c r="C52" t="s">
        <v>4004</v>
      </c>
      <c r="D52" t="s">
        <v>4005</v>
      </c>
      <c r="E52" t="s">
        <v>4005</v>
      </c>
      <c r="G52" t="s">
        <v>56</v>
      </c>
      <c r="H52" t="s">
        <v>58</v>
      </c>
      <c r="I52" t="s">
        <v>3305</v>
      </c>
      <c r="J52" t="s">
        <v>3305</v>
      </c>
      <c r="K52" t="s">
        <v>7165</v>
      </c>
      <c r="L52" t="s">
        <v>7165</v>
      </c>
      <c r="M52" s="1" t="s">
        <v>603</v>
      </c>
      <c r="N52" t="s">
        <v>649</v>
      </c>
      <c r="O52" s="1" t="s">
        <v>674</v>
      </c>
      <c r="P52" s="1" t="s">
        <v>64</v>
      </c>
      <c r="Q52" s="11" t="s">
        <v>7220</v>
      </c>
      <c r="R52" s="1">
        <v>11</v>
      </c>
      <c r="S52" s="1">
        <v>2124</v>
      </c>
      <c r="T52" s="1" t="s">
        <v>651</v>
      </c>
      <c r="U52" s="1">
        <v>10634302</v>
      </c>
      <c r="V52" t="s">
        <v>4006</v>
      </c>
      <c r="W52" t="s">
        <v>4007</v>
      </c>
      <c r="X52" t="s">
        <v>68</v>
      </c>
      <c r="Y52" t="s">
        <v>4008</v>
      </c>
      <c r="Z52" t="s">
        <v>4009</v>
      </c>
      <c r="AA52" t="s">
        <v>4010</v>
      </c>
      <c r="AB52" t="s">
        <v>4011</v>
      </c>
      <c r="AC52" t="s">
        <v>73</v>
      </c>
      <c r="AD52" t="s">
        <v>4012</v>
      </c>
      <c r="AE52" t="s">
        <v>75</v>
      </c>
      <c r="AF52" t="s">
        <v>76</v>
      </c>
      <c r="AG52" t="s">
        <v>77</v>
      </c>
      <c r="AH52" t="s">
        <v>4013</v>
      </c>
      <c r="AI52" t="s">
        <v>615</v>
      </c>
      <c r="AJ52" t="s">
        <v>616</v>
      </c>
      <c r="AK52" t="s">
        <v>81</v>
      </c>
      <c r="AL52" t="s">
        <v>82</v>
      </c>
      <c r="AM52" t="s">
        <v>83</v>
      </c>
      <c r="AN52">
        <v>2018</v>
      </c>
      <c r="AO52">
        <v>50540</v>
      </c>
      <c r="AP52">
        <v>5301022</v>
      </c>
      <c r="AQ52">
        <v>296</v>
      </c>
      <c r="AR52" t="s">
        <v>84</v>
      </c>
      <c r="AS52">
        <v>562</v>
      </c>
      <c r="AT52" t="s">
        <v>85</v>
      </c>
      <c r="AU52" t="s">
        <v>86</v>
      </c>
      <c r="AV52">
        <v>562</v>
      </c>
      <c r="AW52" t="s">
        <v>4014</v>
      </c>
      <c r="AX52" t="s">
        <v>88</v>
      </c>
      <c r="AZ52" t="s">
        <v>841</v>
      </c>
      <c r="BA52">
        <v>0</v>
      </c>
      <c r="BB52">
        <v>1</v>
      </c>
    </row>
    <row r="53" spans="1:54" x14ac:dyDescent="0.2">
      <c r="A53" t="s">
        <v>5917</v>
      </c>
      <c r="B53" t="s">
        <v>5918</v>
      </c>
      <c r="C53" t="s">
        <v>5919</v>
      </c>
      <c r="D53" t="s">
        <v>5920</v>
      </c>
      <c r="E53" t="s">
        <v>5920</v>
      </c>
      <c r="G53" t="s">
        <v>56</v>
      </c>
      <c r="H53" t="s">
        <v>93</v>
      </c>
      <c r="I53" t="s">
        <v>140</v>
      </c>
      <c r="J53" t="s">
        <v>5745</v>
      </c>
      <c r="K53" t="s">
        <v>7165</v>
      </c>
      <c r="L53" t="s">
        <v>7165</v>
      </c>
      <c r="M53" s="1" t="s">
        <v>183</v>
      </c>
      <c r="N53" t="s">
        <v>184</v>
      </c>
      <c r="O53" s="1" t="s">
        <v>166</v>
      </c>
      <c r="P53" s="1" t="s">
        <v>250</v>
      </c>
      <c r="Q53" s="11" t="s">
        <v>7327</v>
      </c>
      <c r="R53" s="1">
        <v>33</v>
      </c>
      <c r="S53" s="1">
        <v>178071</v>
      </c>
      <c r="T53" s="1" t="s">
        <v>169</v>
      </c>
      <c r="U53" s="1">
        <v>10442042</v>
      </c>
      <c r="V53" t="s">
        <v>5921</v>
      </c>
      <c r="W53" t="s">
        <v>5922</v>
      </c>
      <c r="X53" t="s">
        <v>68</v>
      </c>
      <c r="Y53" t="s">
        <v>5923</v>
      </c>
      <c r="Z53" t="s">
        <v>5924</v>
      </c>
      <c r="AA53" t="s">
        <v>5925</v>
      </c>
      <c r="AB53" t="s">
        <v>2846</v>
      </c>
      <c r="AC53" t="s">
        <v>73</v>
      </c>
      <c r="AD53" t="s">
        <v>5926</v>
      </c>
      <c r="AE53" t="s">
        <v>75</v>
      </c>
      <c r="AF53" t="s">
        <v>76</v>
      </c>
      <c r="AG53" t="s">
        <v>77</v>
      </c>
      <c r="AH53" t="s">
        <v>5927</v>
      </c>
      <c r="AI53" t="s">
        <v>156</v>
      </c>
      <c r="AJ53" t="s">
        <v>80</v>
      </c>
      <c r="AK53" t="s">
        <v>81</v>
      </c>
      <c r="AL53" t="s">
        <v>82</v>
      </c>
      <c r="AM53" t="s">
        <v>83</v>
      </c>
      <c r="AN53">
        <v>2017</v>
      </c>
      <c r="AO53">
        <v>69048</v>
      </c>
      <c r="AP53">
        <v>5185697</v>
      </c>
      <c r="AQ53">
        <v>198</v>
      </c>
      <c r="AR53" t="s">
        <v>84</v>
      </c>
      <c r="AS53">
        <v>562</v>
      </c>
      <c r="AT53" t="s">
        <v>85</v>
      </c>
      <c r="AU53" t="s">
        <v>86</v>
      </c>
      <c r="AV53">
        <v>562</v>
      </c>
      <c r="AW53" t="s">
        <v>5928</v>
      </c>
      <c r="AX53" t="s">
        <v>88</v>
      </c>
    </row>
    <row r="54" spans="1:54" x14ac:dyDescent="0.2">
      <c r="A54" t="s">
        <v>5902</v>
      </c>
      <c r="B54" t="s">
        <v>5903</v>
      </c>
      <c r="C54" t="s">
        <v>5904</v>
      </c>
      <c r="D54" t="s">
        <v>5905</v>
      </c>
      <c r="E54" t="s">
        <v>5905</v>
      </c>
      <c r="G54" t="s">
        <v>56</v>
      </c>
      <c r="H54" t="s">
        <v>93</v>
      </c>
      <c r="I54" t="s">
        <v>140</v>
      </c>
      <c r="J54" t="s">
        <v>5906</v>
      </c>
      <c r="K54" t="s">
        <v>7165</v>
      </c>
      <c r="L54" t="s">
        <v>7165</v>
      </c>
      <c r="M54" s="1" t="s">
        <v>3903</v>
      </c>
      <c r="N54" t="s">
        <v>5907</v>
      </c>
      <c r="O54" s="1" t="s">
        <v>166</v>
      </c>
      <c r="P54" s="1" t="s">
        <v>250</v>
      </c>
      <c r="Q54" s="11" t="s">
        <v>7208</v>
      </c>
      <c r="R54" s="1">
        <v>101</v>
      </c>
      <c r="S54" s="1">
        <v>1589</v>
      </c>
      <c r="T54" s="1" t="s">
        <v>5908</v>
      </c>
      <c r="U54" s="1">
        <v>9907087</v>
      </c>
      <c r="V54" t="s">
        <v>5909</v>
      </c>
      <c r="W54" t="s">
        <v>5910</v>
      </c>
      <c r="X54" t="s">
        <v>68</v>
      </c>
      <c r="Y54" t="s">
        <v>5911</v>
      </c>
      <c r="Z54" t="s">
        <v>5912</v>
      </c>
      <c r="AA54" t="s">
        <v>5913</v>
      </c>
      <c r="AB54" t="s">
        <v>2846</v>
      </c>
      <c r="AC54" t="s">
        <v>73</v>
      </c>
      <c r="AD54" t="s">
        <v>5914</v>
      </c>
      <c r="AE54" t="s">
        <v>154</v>
      </c>
      <c r="AF54" t="s">
        <v>76</v>
      </c>
      <c r="AG54" t="s">
        <v>77</v>
      </c>
      <c r="AH54" t="s">
        <v>5915</v>
      </c>
      <c r="AI54" t="s">
        <v>107</v>
      </c>
      <c r="AJ54" t="s">
        <v>157</v>
      </c>
      <c r="AK54" t="s">
        <v>81</v>
      </c>
      <c r="AL54" t="s">
        <v>82</v>
      </c>
      <c r="AM54" t="s">
        <v>83</v>
      </c>
      <c r="AN54">
        <v>2017</v>
      </c>
      <c r="AO54">
        <v>97112</v>
      </c>
      <c r="AP54">
        <v>5076994</v>
      </c>
      <c r="AQ54">
        <v>196</v>
      </c>
      <c r="AR54" t="s">
        <v>84</v>
      </c>
      <c r="AS54">
        <v>562</v>
      </c>
      <c r="AT54" t="s">
        <v>85</v>
      </c>
      <c r="AU54" t="s">
        <v>86</v>
      </c>
      <c r="AV54">
        <v>562</v>
      </c>
      <c r="AW54" t="s">
        <v>5916</v>
      </c>
      <c r="AX54" t="s">
        <v>88</v>
      </c>
      <c r="AZ54" t="s">
        <v>5547</v>
      </c>
      <c r="BA54">
        <v>22</v>
      </c>
      <c r="BB54">
        <v>30</v>
      </c>
    </row>
    <row r="55" spans="1:54" x14ac:dyDescent="0.2">
      <c r="A55" t="s">
        <v>6047</v>
      </c>
      <c r="B55" t="s">
        <v>6048</v>
      </c>
      <c r="C55" t="s">
        <v>6009</v>
      </c>
      <c r="D55" t="s">
        <v>6049</v>
      </c>
      <c r="E55" t="s">
        <v>6049</v>
      </c>
      <c r="G55" t="s">
        <v>56</v>
      </c>
      <c r="H55" t="s">
        <v>93</v>
      </c>
      <c r="I55" t="s">
        <v>406</v>
      </c>
      <c r="J55" t="s">
        <v>406</v>
      </c>
      <c r="K55" t="s">
        <v>7165</v>
      </c>
      <c r="L55" t="s">
        <v>7172</v>
      </c>
      <c r="M55" s="1" t="s">
        <v>3194</v>
      </c>
      <c r="N55" t="s">
        <v>6037</v>
      </c>
      <c r="O55" s="1" t="s">
        <v>166</v>
      </c>
      <c r="P55" s="1" t="s">
        <v>167</v>
      </c>
      <c r="Q55" s="11" t="s">
        <v>7197</v>
      </c>
      <c r="R55" s="1">
        <v>1817</v>
      </c>
      <c r="S55" s="1">
        <v>61940</v>
      </c>
      <c r="T55" s="1" t="s">
        <v>3196</v>
      </c>
      <c r="U55" s="1">
        <v>10981249</v>
      </c>
      <c r="V55" t="s">
        <v>6050</v>
      </c>
      <c r="W55" t="s">
        <v>6051</v>
      </c>
      <c r="X55" t="s">
        <v>68</v>
      </c>
      <c r="Y55" t="s">
        <v>6052</v>
      </c>
      <c r="Z55" t="s">
        <v>6053</v>
      </c>
      <c r="AA55" t="s">
        <v>6054</v>
      </c>
      <c r="AB55" t="s">
        <v>2846</v>
      </c>
      <c r="AC55" t="s">
        <v>73</v>
      </c>
      <c r="AD55" t="s">
        <v>6055</v>
      </c>
      <c r="AE55" t="s">
        <v>75</v>
      </c>
      <c r="AF55" t="s">
        <v>76</v>
      </c>
      <c r="AG55" t="s">
        <v>77</v>
      </c>
      <c r="AH55" t="s">
        <v>414</v>
      </c>
      <c r="AI55" t="s">
        <v>107</v>
      </c>
      <c r="AJ55" t="s">
        <v>80</v>
      </c>
      <c r="AK55" t="s">
        <v>81</v>
      </c>
      <c r="AL55" t="s">
        <v>82</v>
      </c>
      <c r="AM55" t="s">
        <v>83</v>
      </c>
      <c r="AN55">
        <v>2018</v>
      </c>
      <c r="AO55">
        <v>131424</v>
      </c>
      <c r="AP55">
        <v>5067076</v>
      </c>
      <c r="AQ55">
        <v>144</v>
      </c>
      <c r="AR55" t="s">
        <v>84</v>
      </c>
      <c r="AS55">
        <v>562</v>
      </c>
      <c r="AT55" t="s">
        <v>85</v>
      </c>
      <c r="AU55" t="s">
        <v>86</v>
      </c>
      <c r="AV55">
        <v>562</v>
      </c>
      <c r="AW55" t="s">
        <v>6056</v>
      </c>
      <c r="AX55" t="s">
        <v>88</v>
      </c>
      <c r="AZ55" t="s">
        <v>6046</v>
      </c>
      <c r="BA55">
        <v>1</v>
      </c>
    </row>
    <row r="56" spans="1:54" x14ac:dyDescent="0.2">
      <c r="A56" t="s">
        <v>5373</v>
      </c>
      <c r="B56" t="s">
        <v>5374</v>
      </c>
      <c r="C56" t="s">
        <v>5335</v>
      </c>
      <c r="D56" t="s">
        <v>5375</v>
      </c>
      <c r="E56" t="s">
        <v>5375</v>
      </c>
      <c r="G56" t="s">
        <v>56</v>
      </c>
      <c r="H56" t="s">
        <v>93</v>
      </c>
      <c r="I56" t="s">
        <v>5350</v>
      </c>
      <c r="J56" t="s">
        <v>2036</v>
      </c>
      <c r="K56" t="s">
        <v>7165</v>
      </c>
      <c r="L56" t="s">
        <v>7165</v>
      </c>
      <c r="M56" s="1" t="s">
        <v>4872</v>
      </c>
      <c r="N56" t="s">
        <v>4873</v>
      </c>
      <c r="O56" s="1" t="s">
        <v>4374</v>
      </c>
      <c r="P56" s="1" t="s">
        <v>313</v>
      </c>
      <c r="Q56" s="11" t="s">
        <v>7344</v>
      </c>
      <c r="R56" s="1">
        <v>56</v>
      </c>
      <c r="S56" s="1">
        <v>14734</v>
      </c>
      <c r="T56" s="1" t="s">
        <v>169</v>
      </c>
      <c r="U56" s="1">
        <v>8063369</v>
      </c>
      <c r="V56" t="s">
        <v>5376</v>
      </c>
      <c r="W56" t="s">
        <v>5377</v>
      </c>
      <c r="X56" t="s">
        <v>68</v>
      </c>
      <c r="Y56" t="s">
        <v>5378</v>
      </c>
      <c r="Z56" t="s">
        <v>5379</v>
      </c>
      <c r="AA56" t="s">
        <v>5380</v>
      </c>
      <c r="AB56" t="s">
        <v>2846</v>
      </c>
      <c r="AC56" t="s">
        <v>73</v>
      </c>
      <c r="AD56" t="s">
        <v>5381</v>
      </c>
      <c r="AE56" t="s">
        <v>75</v>
      </c>
      <c r="AF56" t="s">
        <v>76</v>
      </c>
      <c r="AG56" t="s">
        <v>77</v>
      </c>
      <c r="AH56" t="s">
        <v>4881</v>
      </c>
      <c r="AI56" t="s">
        <v>107</v>
      </c>
      <c r="AJ56" t="s">
        <v>80</v>
      </c>
      <c r="AK56" t="s">
        <v>81</v>
      </c>
      <c r="AL56" t="s">
        <v>82</v>
      </c>
      <c r="AM56" t="s">
        <v>83</v>
      </c>
      <c r="AN56">
        <v>2016</v>
      </c>
      <c r="AO56">
        <v>176460</v>
      </c>
      <c r="AP56">
        <v>5069927</v>
      </c>
      <c r="AQ56">
        <v>76</v>
      </c>
      <c r="AR56" t="s">
        <v>84</v>
      </c>
      <c r="AS56">
        <v>562</v>
      </c>
      <c r="AT56" t="s">
        <v>85</v>
      </c>
      <c r="AU56" t="s">
        <v>86</v>
      </c>
      <c r="AV56">
        <v>562</v>
      </c>
      <c r="AW56" t="s">
        <v>5382</v>
      </c>
      <c r="AX56" t="s">
        <v>88</v>
      </c>
      <c r="AZ56" t="s">
        <v>5344</v>
      </c>
      <c r="BA56">
        <v>2</v>
      </c>
    </row>
    <row r="57" spans="1:54" x14ac:dyDescent="0.2">
      <c r="A57" t="s">
        <v>5333</v>
      </c>
      <c r="B57" t="s">
        <v>5334</v>
      </c>
      <c r="C57" t="s">
        <v>5335</v>
      </c>
      <c r="D57" t="s">
        <v>5336</v>
      </c>
      <c r="E57" t="s">
        <v>5336</v>
      </c>
      <c r="G57" t="s">
        <v>56</v>
      </c>
      <c r="H57" t="s">
        <v>93</v>
      </c>
      <c r="I57" t="s">
        <v>2036</v>
      </c>
      <c r="J57" t="s">
        <v>2036</v>
      </c>
      <c r="K57" t="s">
        <v>7165</v>
      </c>
      <c r="L57" t="s">
        <v>7165</v>
      </c>
      <c r="M57" s="1" t="s">
        <v>4872</v>
      </c>
      <c r="N57" t="s">
        <v>4873</v>
      </c>
      <c r="O57" s="1" t="s">
        <v>4374</v>
      </c>
      <c r="P57" s="1" t="s">
        <v>313</v>
      </c>
      <c r="Q57" s="11" t="s">
        <v>7344</v>
      </c>
      <c r="R57" s="1">
        <v>56</v>
      </c>
      <c r="S57" s="1">
        <v>14734</v>
      </c>
      <c r="T57" s="1" t="s">
        <v>169</v>
      </c>
      <c r="U57" s="1">
        <v>8063369</v>
      </c>
      <c r="V57" t="s">
        <v>5337</v>
      </c>
      <c r="W57" t="s">
        <v>5338</v>
      </c>
      <c r="X57" t="s">
        <v>68</v>
      </c>
      <c r="Y57" t="s">
        <v>5339</v>
      </c>
      <c r="Z57" t="s">
        <v>5340</v>
      </c>
      <c r="AA57" t="s">
        <v>5341</v>
      </c>
      <c r="AB57" t="s">
        <v>2846</v>
      </c>
      <c r="AC57" t="s">
        <v>73</v>
      </c>
      <c r="AD57" t="s">
        <v>5342</v>
      </c>
      <c r="AE57" t="s">
        <v>75</v>
      </c>
      <c r="AF57" t="s">
        <v>76</v>
      </c>
      <c r="AG57" t="s">
        <v>77</v>
      </c>
      <c r="AH57" t="s">
        <v>4881</v>
      </c>
      <c r="AI57" t="s">
        <v>107</v>
      </c>
      <c r="AJ57" t="s">
        <v>80</v>
      </c>
      <c r="AK57" t="s">
        <v>81</v>
      </c>
      <c r="AL57" t="s">
        <v>82</v>
      </c>
      <c r="AM57" t="s">
        <v>83</v>
      </c>
      <c r="AN57">
        <v>2016</v>
      </c>
      <c r="AO57">
        <v>164675</v>
      </c>
      <c r="AP57">
        <v>5086675</v>
      </c>
      <c r="AQ57">
        <v>88</v>
      </c>
      <c r="AR57" t="s">
        <v>84</v>
      </c>
      <c r="AS57">
        <v>562</v>
      </c>
      <c r="AT57" t="s">
        <v>85</v>
      </c>
      <c r="AU57" t="s">
        <v>86</v>
      </c>
      <c r="AV57">
        <v>562</v>
      </c>
      <c r="AW57" t="s">
        <v>5343</v>
      </c>
      <c r="AX57" t="s">
        <v>88</v>
      </c>
      <c r="AZ57" t="s">
        <v>5344</v>
      </c>
      <c r="BA57">
        <v>2</v>
      </c>
    </row>
    <row r="58" spans="1:54" x14ac:dyDescent="0.2">
      <c r="A58" t="s">
        <v>5890</v>
      </c>
      <c r="B58" t="s">
        <v>5891</v>
      </c>
      <c r="C58" t="s">
        <v>5892</v>
      </c>
      <c r="D58" t="s">
        <v>5893</v>
      </c>
      <c r="E58" t="s">
        <v>5893</v>
      </c>
      <c r="G58" t="s">
        <v>56</v>
      </c>
      <c r="H58" t="s">
        <v>93</v>
      </c>
      <c r="I58" t="s">
        <v>140</v>
      </c>
      <c r="J58" t="s">
        <v>5894</v>
      </c>
      <c r="K58" t="s">
        <v>7165</v>
      </c>
      <c r="L58" t="s">
        <v>7165</v>
      </c>
      <c r="M58" s="1" t="s">
        <v>4872</v>
      </c>
      <c r="N58" t="s">
        <v>4873</v>
      </c>
      <c r="O58" s="1" t="s">
        <v>144</v>
      </c>
      <c r="P58" s="1" t="s">
        <v>313</v>
      </c>
      <c r="Q58" s="11" t="s">
        <v>7344</v>
      </c>
      <c r="R58" s="1">
        <v>56</v>
      </c>
      <c r="S58" s="1">
        <v>14734</v>
      </c>
      <c r="T58" s="1" t="s">
        <v>169</v>
      </c>
      <c r="U58" s="1">
        <v>9907087</v>
      </c>
      <c r="V58" t="s">
        <v>5895</v>
      </c>
      <c r="W58" t="s">
        <v>5896</v>
      </c>
      <c r="X58" t="s">
        <v>68</v>
      </c>
      <c r="Y58" t="s">
        <v>5897</v>
      </c>
      <c r="Z58" t="s">
        <v>5898</v>
      </c>
      <c r="AA58" t="s">
        <v>5899</v>
      </c>
      <c r="AB58" t="s">
        <v>2846</v>
      </c>
      <c r="AC58" t="s">
        <v>73</v>
      </c>
      <c r="AD58" t="s">
        <v>5900</v>
      </c>
      <c r="AE58" t="s">
        <v>75</v>
      </c>
      <c r="AF58" t="s">
        <v>76</v>
      </c>
      <c r="AG58" t="s">
        <v>77</v>
      </c>
      <c r="AH58" t="s">
        <v>4881</v>
      </c>
      <c r="AI58" t="s">
        <v>107</v>
      </c>
      <c r="AJ58" t="s">
        <v>80</v>
      </c>
      <c r="AK58" t="s">
        <v>81</v>
      </c>
      <c r="AL58" t="s">
        <v>82</v>
      </c>
      <c r="AM58" t="s">
        <v>83</v>
      </c>
      <c r="AN58">
        <v>2017</v>
      </c>
      <c r="AO58">
        <v>94808</v>
      </c>
      <c r="AP58">
        <v>5026671</v>
      </c>
      <c r="AQ58">
        <v>153</v>
      </c>
      <c r="AR58" t="s">
        <v>84</v>
      </c>
      <c r="AS58">
        <v>562</v>
      </c>
      <c r="AT58" t="s">
        <v>85</v>
      </c>
      <c r="AU58" t="s">
        <v>86</v>
      </c>
      <c r="AV58">
        <v>562</v>
      </c>
      <c r="AW58" t="s">
        <v>5901</v>
      </c>
      <c r="AX58" t="s">
        <v>88</v>
      </c>
      <c r="AZ58" t="s">
        <v>5344</v>
      </c>
      <c r="BA58">
        <v>5</v>
      </c>
    </row>
    <row r="59" spans="1:54" x14ac:dyDescent="0.2">
      <c r="A59" t="s">
        <v>2838</v>
      </c>
      <c r="B59" t="s">
        <v>2839</v>
      </c>
      <c r="C59">
        <v>350490</v>
      </c>
      <c r="D59" t="s">
        <v>2840</v>
      </c>
      <c r="E59" t="s">
        <v>2840</v>
      </c>
      <c r="G59" t="s">
        <v>170</v>
      </c>
      <c r="H59" t="s">
        <v>58</v>
      </c>
      <c r="I59" t="s">
        <v>1094</v>
      </c>
      <c r="J59" t="s">
        <v>1094</v>
      </c>
      <c r="K59" t="s">
        <v>7165</v>
      </c>
      <c r="L59" t="s">
        <v>7165</v>
      </c>
      <c r="M59" s="1" t="s">
        <v>603</v>
      </c>
      <c r="N59" t="s">
        <v>604</v>
      </c>
      <c r="O59" s="1" t="s">
        <v>2828</v>
      </c>
      <c r="P59" s="1" t="s">
        <v>169</v>
      </c>
      <c r="Q59" s="11" t="s">
        <v>169</v>
      </c>
      <c r="R59" s="1">
        <v>11</v>
      </c>
      <c r="S59" s="1">
        <v>2124</v>
      </c>
      <c r="T59" s="1" t="s">
        <v>169</v>
      </c>
      <c r="U59" s="1">
        <v>9781953</v>
      </c>
      <c r="V59" t="s">
        <v>2841</v>
      </c>
      <c r="W59" t="s">
        <v>2842</v>
      </c>
      <c r="X59" t="s">
        <v>68</v>
      </c>
      <c r="Y59" t="s">
        <v>2843</v>
      </c>
      <c r="Z59" s="27" t="s">
        <v>2844</v>
      </c>
      <c r="AA59" t="s">
        <v>2845</v>
      </c>
      <c r="AB59" t="s">
        <v>2846</v>
      </c>
      <c r="AC59" t="s">
        <v>73</v>
      </c>
      <c r="AD59" t="s">
        <v>2847</v>
      </c>
      <c r="AE59" t="s">
        <v>75</v>
      </c>
      <c r="AF59" t="s">
        <v>76</v>
      </c>
      <c r="AG59" t="s">
        <v>77</v>
      </c>
      <c r="AH59" t="s">
        <v>2835</v>
      </c>
      <c r="AI59" t="s">
        <v>615</v>
      </c>
      <c r="AJ59" t="s">
        <v>616</v>
      </c>
      <c r="AK59" t="s">
        <v>81</v>
      </c>
      <c r="AL59" t="s">
        <v>82</v>
      </c>
      <c r="AM59" t="s">
        <v>83</v>
      </c>
      <c r="AN59">
        <v>2017</v>
      </c>
      <c r="AO59">
        <v>124148</v>
      </c>
      <c r="AP59">
        <v>5323266</v>
      </c>
      <c r="AQ59">
        <v>170</v>
      </c>
      <c r="AR59" t="s">
        <v>84</v>
      </c>
      <c r="AS59">
        <v>562</v>
      </c>
      <c r="AT59" t="s">
        <v>85</v>
      </c>
      <c r="AU59" t="s">
        <v>86</v>
      </c>
      <c r="AV59">
        <v>562</v>
      </c>
      <c r="AW59" t="s">
        <v>2848</v>
      </c>
      <c r="AX59" t="s">
        <v>88</v>
      </c>
      <c r="AZ59" t="s">
        <v>2837</v>
      </c>
      <c r="BA59">
        <v>0</v>
      </c>
      <c r="BB59">
        <v>1</v>
      </c>
    </row>
    <row r="60" spans="1:54" x14ac:dyDescent="0.2">
      <c r="A60" t="s">
        <v>2825</v>
      </c>
      <c r="B60" t="s">
        <v>2826</v>
      </c>
      <c r="C60">
        <v>350490</v>
      </c>
      <c r="D60" t="s">
        <v>2827</v>
      </c>
      <c r="E60" t="s">
        <v>2827</v>
      </c>
      <c r="G60" t="s">
        <v>170</v>
      </c>
      <c r="H60" t="s">
        <v>58</v>
      </c>
      <c r="I60" t="s">
        <v>1094</v>
      </c>
      <c r="J60" t="s">
        <v>1094</v>
      </c>
      <c r="K60" t="s">
        <v>7165</v>
      </c>
      <c r="L60" t="s">
        <v>7165</v>
      </c>
      <c r="M60" s="1" t="s">
        <v>603</v>
      </c>
      <c r="N60" t="s">
        <v>604</v>
      </c>
      <c r="O60" s="1" t="s">
        <v>2828</v>
      </c>
      <c r="P60" s="1" t="s">
        <v>169</v>
      </c>
      <c r="Q60" s="11" t="s">
        <v>169</v>
      </c>
      <c r="R60" s="1">
        <v>11</v>
      </c>
      <c r="S60" s="1">
        <v>2124</v>
      </c>
      <c r="T60" s="1" t="s">
        <v>169</v>
      </c>
      <c r="U60" s="1">
        <v>9781953</v>
      </c>
      <c r="V60" t="s">
        <v>2829</v>
      </c>
      <c r="W60" t="s">
        <v>2830</v>
      </c>
      <c r="X60" t="s">
        <v>68</v>
      </c>
      <c r="Y60" t="s">
        <v>2831</v>
      </c>
      <c r="Z60" s="27" t="s">
        <v>2832</v>
      </c>
      <c r="AA60" t="s">
        <v>2833</v>
      </c>
      <c r="AB60" t="s">
        <v>2692</v>
      </c>
      <c r="AC60" t="s">
        <v>73</v>
      </c>
      <c r="AD60" t="s">
        <v>2834</v>
      </c>
      <c r="AE60" t="s">
        <v>75</v>
      </c>
      <c r="AF60" t="s">
        <v>76</v>
      </c>
      <c r="AG60" t="s">
        <v>77</v>
      </c>
      <c r="AH60" t="s">
        <v>2835</v>
      </c>
      <c r="AI60" t="s">
        <v>615</v>
      </c>
      <c r="AJ60" t="s">
        <v>616</v>
      </c>
      <c r="AK60" t="s">
        <v>81</v>
      </c>
      <c r="AL60" t="s">
        <v>82</v>
      </c>
      <c r="AM60" t="s">
        <v>83</v>
      </c>
      <c r="AN60">
        <v>2017</v>
      </c>
      <c r="AO60">
        <v>150417</v>
      </c>
      <c r="AP60">
        <v>5312051</v>
      </c>
      <c r="AQ60">
        <v>165</v>
      </c>
      <c r="AR60" t="s">
        <v>84</v>
      </c>
      <c r="AS60">
        <v>562</v>
      </c>
      <c r="AT60" t="s">
        <v>85</v>
      </c>
      <c r="AU60" t="s">
        <v>86</v>
      </c>
      <c r="AV60">
        <v>562</v>
      </c>
      <c r="AW60" t="s">
        <v>2836</v>
      </c>
      <c r="AX60" t="s">
        <v>88</v>
      </c>
      <c r="AZ60" t="s">
        <v>2837</v>
      </c>
      <c r="BA60">
        <v>0</v>
      </c>
      <c r="BB60">
        <v>1</v>
      </c>
    </row>
    <row r="61" spans="1:54" x14ac:dyDescent="0.2">
      <c r="A61" t="s">
        <v>2708</v>
      </c>
      <c r="B61" t="s">
        <v>2709</v>
      </c>
      <c r="C61" t="s">
        <v>2697</v>
      </c>
      <c r="D61" t="s">
        <v>2710</v>
      </c>
      <c r="E61" t="s">
        <v>2710</v>
      </c>
      <c r="G61" t="s">
        <v>56</v>
      </c>
      <c r="H61" t="s">
        <v>58</v>
      </c>
      <c r="I61" t="s">
        <v>2022</v>
      </c>
      <c r="J61" t="s">
        <v>2022</v>
      </c>
      <c r="K61" t="s">
        <v>7165</v>
      </c>
      <c r="L61" t="s">
        <v>7165</v>
      </c>
      <c r="M61" s="1" t="s">
        <v>603</v>
      </c>
      <c r="N61" t="s">
        <v>649</v>
      </c>
      <c r="O61" s="1" t="s">
        <v>605</v>
      </c>
      <c r="P61" s="1" t="s">
        <v>820</v>
      </c>
      <c r="Q61" s="11" t="s">
        <v>7340</v>
      </c>
      <c r="R61" s="1">
        <v>11</v>
      </c>
      <c r="S61" s="1">
        <v>2124</v>
      </c>
      <c r="T61" s="1" t="s">
        <v>169</v>
      </c>
      <c r="U61" s="1">
        <v>9439204</v>
      </c>
      <c r="V61" t="s">
        <v>2711</v>
      </c>
      <c r="W61" t="s">
        <v>2712</v>
      </c>
      <c r="X61" t="s">
        <v>68</v>
      </c>
      <c r="Y61" t="s">
        <v>2713</v>
      </c>
      <c r="Z61" t="s">
        <v>2714</v>
      </c>
      <c r="AA61" t="s">
        <v>2715</v>
      </c>
      <c r="AB61" t="s">
        <v>2692</v>
      </c>
      <c r="AC61" t="s">
        <v>73</v>
      </c>
      <c r="AD61" t="s">
        <v>2716</v>
      </c>
      <c r="AE61" t="s">
        <v>75</v>
      </c>
      <c r="AF61" t="s">
        <v>76</v>
      </c>
      <c r="AG61" t="s">
        <v>77</v>
      </c>
      <c r="AH61" t="s">
        <v>2717</v>
      </c>
      <c r="AI61" t="s">
        <v>615</v>
      </c>
      <c r="AJ61" t="s">
        <v>616</v>
      </c>
      <c r="AK61" t="s">
        <v>81</v>
      </c>
      <c r="AL61" t="s">
        <v>82</v>
      </c>
      <c r="AM61" t="s">
        <v>83</v>
      </c>
      <c r="AN61">
        <v>2017</v>
      </c>
      <c r="AO61">
        <v>95174</v>
      </c>
      <c r="AP61">
        <v>5365216</v>
      </c>
      <c r="AQ61">
        <v>231</v>
      </c>
      <c r="AR61" t="s">
        <v>84</v>
      </c>
      <c r="AS61">
        <v>562</v>
      </c>
      <c r="AT61" t="s">
        <v>85</v>
      </c>
      <c r="AU61" t="s">
        <v>86</v>
      </c>
      <c r="AV61">
        <v>562</v>
      </c>
      <c r="AW61" t="s">
        <v>2718</v>
      </c>
      <c r="AX61" t="s">
        <v>88</v>
      </c>
      <c r="AZ61" t="s">
        <v>2707</v>
      </c>
      <c r="BA61">
        <v>3</v>
      </c>
    </row>
    <row r="62" spans="1:54" x14ac:dyDescent="0.2">
      <c r="A62" t="s">
        <v>2695</v>
      </c>
      <c r="B62" t="s">
        <v>2696</v>
      </c>
      <c r="C62" t="s">
        <v>2697</v>
      </c>
      <c r="D62" t="s">
        <v>2698</v>
      </c>
      <c r="E62" t="s">
        <v>2698</v>
      </c>
      <c r="G62" t="s">
        <v>56</v>
      </c>
      <c r="H62" t="s">
        <v>58</v>
      </c>
      <c r="I62" t="s">
        <v>140</v>
      </c>
      <c r="J62" t="s">
        <v>2022</v>
      </c>
      <c r="K62" t="s">
        <v>7165</v>
      </c>
      <c r="L62" t="s">
        <v>7165</v>
      </c>
      <c r="M62" s="1" t="s">
        <v>603</v>
      </c>
      <c r="N62" t="s">
        <v>649</v>
      </c>
      <c r="O62" s="1" t="s">
        <v>605</v>
      </c>
      <c r="P62" s="1" t="s">
        <v>820</v>
      </c>
      <c r="Q62" s="11" t="s">
        <v>7340</v>
      </c>
      <c r="R62" s="1">
        <v>11</v>
      </c>
      <c r="S62" s="1">
        <v>2124</v>
      </c>
      <c r="T62" s="1" t="s">
        <v>169</v>
      </c>
      <c r="U62" s="1">
        <v>9439204</v>
      </c>
      <c r="V62" t="s">
        <v>2699</v>
      </c>
      <c r="W62" t="s">
        <v>2700</v>
      </c>
      <c r="X62" t="s">
        <v>68</v>
      </c>
      <c r="Y62" t="s">
        <v>2701</v>
      </c>
      <c r="Z62" t="s">
        <v>2702</v>
      </c>
      <c r="AA62" t="s">
        <v>2703</v>
      </c>
      <c r="AB62" t="s">
        <v>2692</v>
      </c>
      <c r="AC62" t="s">
        <v>73</v>
      </c>
      <c r="AD62" t="s">
        <v>2704</v>
      </c>
      <c r="AE62" t="s">
        <v>75</v>
      </c>
      <c r="AF62" t="s">
        <v>76</v>
      </c>
      <c r="AG62" t="s">
        <v>77</v>
      </c>
      <c r="AH62" t="s">
        <v>2705</v>
      </c>
      <c r="AI62" t="s">
        <v>615</v>
      </c>
      <c r="AJ62" t="s">
        <v>616</v>
      </c>
      <c r="AK62" t="s">
        <v>81</v>
      </c>
      <c r="AL62" t="s">
        <v>82</v>
      </c>
      <c r="AM62" t="s">
        <v>83</v>
      </c>
      <c r="AN62">
        <v>2017</v>
      </c>
      <c r="AO62">
        <v>120301</v>
      </c>
      <c r="AP62">
        <v>5369200</v>
      </c>
      <c r="AQ62">
        <v>181</v>
      </c>
      <c r="AR62" t="s">
        <v>84</v>
      </c>
      <c r="AS62">
        <v>562</v>
      </c>
      <c r="AT62" t="s">
        <v>85</v>
      </c>
      <c r="AU62" t="s">
        <v>86</v>
      </c>
      <c r="AV62">
        <v>562</v>
      </c>
      <c r="AW62" t="s">
        <v>2706</v>
      </c>
      <c r="AX62" t="s">
        <v>88</v>
      </c>
      <c r="AZ62" t="s">
        <v>2707</v>
      </c>
      <c r="BA62">
        <v>3</v>
      </c>
    </row>
    <row r="63" spans="1:54" x14ac:dyDescent="0.2">
      <c r="A63" t="s">
        <v>2682</v>
      </c>
      <c r="B63" t="s">
        <v>2683</v>
      </c>
      <c r="C63" t="s">
        <v>2684</v>
      </c>
      <c r="D63" t="s">
        <v>2685</v>
      </c>
      <c r="E63" t="s">
        <v>2685</v>
      </c>
      <c r="G63" t="s">
        <v>56</v>
      </c>
      <c r="H63" t="s">
        <v>58</v>
      </c>
      <c r="I63" t="s">
        <v>2686</v>
      </c>
      <c r="J63" t="s">
        <v>2686</v>
      </c>
      <c r="K63" t="s">
        <v>7165</v>
      </c>
      <c r="L63" t="s">
        <v>7165</v>
      </c>
      <c r="M63" s="1" t="s">
        <v>603</v>
      </c>
      <c r="N63" t="s">
        <v>649</v>
      </c>
      <c r="O63" s="1" t="s">
        <v>875</v>
      </c>
      <c r="P63" s="1" t="s">
        <v>64</v>
      </c>
      <c r="Q63" s="11" t="s">
        <v>7220</v>
      </c>
      <c r="R63" s="1">
        <v>11</v>
      </c>
      <c r="S63" s="1">
        <v>2124</v>
      </c>
      <c r="T63" s="1" t="s">
        <v>169</v>
      </c>
      <c r="U63" s="1">
        <v>9396392</v>
      </c>
      <c r="V63" t="s">
        <v>2687</v>
      </c>
      <c r="W63" t="s">
        <v>2688</v>
      </c>
      <c r="X63" t="s">
        <v>68</v>
      </c>
      <c r="Y63" t="s">
        <v>2689</v>
      </c>
      <c r="Z63" t="s">
        <v>2690</v>
      </c>
      <c r="AA63" t="s">
        <v>2691</v>
      </c>
      <c r="AB63" t="s">
        <v>2692</v>
      </c>
      <c r="AC63" t="s">
        <v>73</v>
      </c>
      <c r="AD63" t="s">
        <v>2693</v>
      </c>
      <c r="AE63" t="s">
        <v>75</v>
      </c>
      <c r="AF63" t="s">
        <v>76</v>
      </c>
      <c r="AG63" t="s">
        <v>77</v>
      </c>
      <c r="AH63" t="s">
        <v>780</v>
      </c>
      <c r="AI63" t="s">
        <v>615</v>
      </c>
      <c r="AJ63" t="s">
        <v>616</v>
      </c>
      <c r="AK63" t="s">
        <v>81</v>
      </c>
      <c r="AL63" t="s">
        <v>82</v>
      </c>
      <c r="AM63" t="s">
        <v>83</v>
      </c>
      <c r="AN63">
        <v>2017</v>
      </c>
      <c r="AO63">
        <v>133317</v>
      </c>
      <c r="AP63">
        <v>5426649</v>
      </c>
      <c r="AQ63">
        <v>194</v>
      </c>
      <c r="AR63" t="s">
        <v>84</v>
      </c>
      <c r="AS63">
        <v>562</v>
      </c>
      <c r="AT63" t="s">
        <v>85</v>
      </c>
      <c r="AU63" t="s">
        <v>86</v>
      </c>
      <c r="AV63">
        <v>562</v>
      </c>
      <c r="AW63" t="s">
        <v>2694</v>
      </c>
      <c r="AX63" t="s">
        <v>88</v>
      </c>
      <c r="AZ63" t="s">
        <v>841</v>
      </c>
      <c r="BA63">
        <v>26</v>
      </c>
      <c r="BB63">
        <v>10</v>
      </c>
    </row>
    <row r="64" spans="1:54" x14ac:dyDescent="0.2">
      <c r="A64" t="s">
        <v>3029</v>
      </c>
      <c r="B64" t="s">
        <v>3030</v>
      </c>
      <c r="C64" t="s">
        <v>3008</v>
      </c>
      <c r="D64" t="s">
        <v>3031</v>
      </c>
      <c r="E64" t="s">
        <v>3031</v>
      </c>
      <c r="G64" t="s">
        <v>56</v>
      </c>
      <c r="H64" t="s">
        <v>58</v>
      </c>
      <c r="I64" t="s">
        <v>2641</v>
      </c>
      <c r="J64" t="s">
        <v>2889</v>
      </c>
      <c r="K64" t="s">
        <v>7165</v>
      </c>
      <c r="L64" t="s">
        <v>7165</v>
      </c>
      <c r="M64" s="1" t="s">
        <v>603</v>
      </c>
      <c r="N64" t="s">
        <v>649</v>
      </c>
      <c r="O64" s="1" t="s">
        <v>605</v>
      </c>
      <c r="P64" s="1" t="s">
        <v>127</v>
      </c>
      <c r="Q64" s="11" t="s">
        <v>7211</v>
      </c>
      <c r="R64" s="1">
        <v>7021</v>
      </c>
      <c r="S64" s="1">
        <v>2124</v>
      </c>
      <c r="T64" s="1" t="s">
        <v>169</v>
      </c>
      <c r="U64" s="1">
        <v>10560688</v>
      </c>
      <c r="V64" t="s">
        <v>3032</v>
      </c>
      <c r="W64" t="s">
        <v>3033</v>
      </c>
      <c r="X64" t="s">
        <v>68</v>
      </c>
      <c r="Y64" t="s">
        <v>3034</v>
      </c>
      <c r="Z64" t="s">
        <v>3035</v>
      </c>
      <c r="AA64" t="s">
        <v>3036</v>
      </c>
      <c r="AB64" t="s">
        <v>2692</v>
      </c>
      <c r="AC64" t="s">
        <v>73</v>
      </c>
      <c r="AD64" t="s">
        <v>3037</v>
      </c>
      <c r="AE64" t="s">
        <v>75</v>
      </c>
      <c r="AF64" t="s">
        <v>76</v>
      </c>
      <c r="AG64" t="s">
        <v>77</v>
      </c>
      <c r="AH64" t="s">
        <v>3027</v>
      </c>
      <c r="AI64" t="s">
        <v>615</v>
      </c>
      <c r="AJ64" t="s">
        <v>616</v>
      </c>
      <c r="AK64" t="s">
        <v>81</v>
      </c>
      <c r="AL64" t="s">
        <v>82</v>
      </c>
      <c r="AM64" t="s">
        <v>83</v>
      </c>
      <c r="AN64">
        <v>2017</v>
      </c>
      <c r="AO64">
        <v>116909</v>
      </c>
      <c r="AP64">
        <v>5420590</v>
      </c>
      <c r="AQ64">
        <v>292</v>
      </c>
      <c r="AR64" t="s">
        <v>84</v>
      </c>
      <c r="AS64">
        <v>562</v>
      </c>
      <c r="AT64" t="s">
        <v>85</v>
      </c>
      <c r="AU64" t="s">
        <v>86</v>
      </c>
      <c r="AV64">
        <v>562</v>
      </c>
      <c r="AW64" t="s">
        <v>3038</v>
      </c>
      <c r="AX64" t="s">
        <v>88</v>
      </c>
      <c r="AZ64" t="s">
        <v>659</v>
      </c>
      <c r="BA64">
        <v>2</v>
      </c>
      <c r="BB64">
        <v>15</v>
      </c>
    </row>
    <row r="65" spans="1:54" x14ac:dyDescent="0.2">
      <c r="A65" t="s">
        <v>3018</v>
      </c>
      <c r="B65" t="s">
        <v>3019</v>
      </c>
      <c r="C65" t="s">
        <v>3008</v>
      </c>
      <c r="D65" t="s">
        <v>3020</v>
      </c>
      <c r="E65" t="s">
        <v>3020</v>
      </c>
      <c r="G65" t="s">
        <v>56</v>
      </c>
      <c r="H65" t="s">
        <v>58</v>
      </c>
      <c r="I65" t="s">
        <v>2889</v>
      </c>
      <c r="J65" t="s">
        <v>2889</v>
      </c>
      <c r="K65" t="s">
        <v>7165</v>
      </c>
      <c r="L65" t="s">
        <v>7165</v>
      </c>
      <c r="M65" s="1" t="s">
        <v>603</v>
      </c>
      <c r="N65" t="s">
        <v>649</v>
      </c>
      <c r="O65" s="1" t="s">
        <v>605</v>
      </c>
      <c r="P65" s="1" t="s">
        <v>127</v>
      </c>
      <c r="Q65" s="11" t="s">
        <v>7211</v>
      </c>
      <c r="R65" s="1">
        <v>11</v>
      </c>
      <c r="S65" s="1">
        <v>2124</v>
      </c>
      <c r="T65" s="1" t="s">
        <v>169</v>
      </c>
      <c r="U65" s="1">
        <v>10560688</v>
      </c>
      <c r="V65" t="s">
        <v>3021</v>
      </c>
      <c r="W65" t="s">
        <v>3022</v>
      </c>
      <c r="X65" t="s">
        <v>68</v>
      </c>
      <c r="Y65" t="s">
        <v>3023</v>
      </c>
      <c r="Z65" t="s">
        <v>3024</v>
      </c>
      <c r="AA65" t="s">
        <v>3025</v>
      </c>
      <c r="AB65" t="s">
        <v>2692</v>
      </c>
      <c r="AC65" t="s">
        <v>73</v>
      </c>
      <c r="AD65" t="s">
        <v>3026</v>
      </c>
      <c r="AE65" t="s">
        <v>75</v>
      </c>
      <c r="AF65" t="s">
        <v>76</v>
      </c>
      <c r="AG65" t="s">
        <v>77</v>
      </c>
      <c r="AH65" t="s">
        <v>3027</v>
      </c>
      <c r="AI65" t="s">
        <v>615</v>
      </c>
      <c r="AJ65" t="s">
        <v>616</v>
      </c>
      <c r="AK65" t="s">
        <v>81</v>
      </c>
      <c r="AL65" t="s">
        <v>82</v>
      </c>
      <c r="AM65" t="s">
        <v>83</v>
      </c>
      <c r="AN65">
        <v>2017</v>
      </c>
      <c r="AO65">
        <v>145333</v>
      </c>
      <c r="AP65">
        <v>5428056</v>
      </c>
      <c r="AQ65">
        <v>281</v>
      </c>
      <c r="AR65" t="s">
        <v>84</v>
      </c>
      <c r="AS65">
        <v>562</v>
      </c>
      <c r="AT65" t="s">
        <v>85</v>
      </c>
      <c r="AU65" t="s">
        <v>86</v>
      </c>
      <c r="AV65">
        <v>562</v>
      </c>
      <c r="AW65" t="s">
        <v>3028</v>
      </c>
      <c r="AX65" t="s">
        <v>88</v>
      </c>
      <c r="AZ65" t="s">
        <v>659</v>
      </c>
      <c r="BA65">
        <v>0</v>
      </c>
      <c r="BB65">
        <v>13</v>
      </c>
    </row>
    <row r="66" spans="1:54" x14ac:dyDescent="0.2">
      <c r="A66" t="s">
        <v>3006</v>
      </c>
      <c r="B66" t="s">
        <v>3007</v>
      </c>
      <c r="C66" t="s">
        <v>3008</v>
      </c>
      <c r="D66" t="s">
        <v>3009</v>
      </c>
      <c r="E66" t="s">
        <v>3009</v>
      </c>
      <c r="G66" t="s">
        <v>56</v>
      </c>
      <c r="H66" t="s">
        <v>58</v>
      </c>
      <c r="I66" t="s">
        <v>2889</v>
      </c>
      <c r="J66" t="s">
        <v>2889</v>
      </c>
      <c r="K66" t="s">
        <v>7165</v>
      </c>
      <c r="L66" t="s">
        <v>7165</v>
      </c>
      <c r="M66" s="1" t="s">
        <v>603</v>
      </c>
      <c r="N66" t="s">
        <v>649</v>
      </c>
      <c r="O66" s="1" t="s">
        <v>605</v>
      </c>
      <c r="P66" s="1" t="s">
        <v>127</v>
      </c>
      <c r="Q66" s="11" t="s">
        <v>7211</v>
      </c>
      <c r="R66" s="1">
        <v>11</v>
      </c>
      <c r="S66" s="1">
        <v>2124</v>
      </c>
      <c r="T66" s="1" t="s">
        <v>169</v>
      </c>
      <c r="U66" s="1">
        <v>10560688</v>
      </c>
      <c r="V66" t="s">
        <v>3010</v>
      </c>
      <c r="W66" t="s">
        <v>3011</v>
      </c>
      <c r="X66" t="s">
        <v>68</v>
      </c>
      <c r="Y66" t="s">
        <v>3012</v>
      </c>
      <c r="Z66" t="s">
        <v>3013</v>
      </c>
      <c r="AA66" t="s">
        <v>3014</v>
      </c>
      <c r="AB66" t="s">
        <v>2692</v>
      </c>
      <c r="AC66" t="s">
        <v>73</v>
      </c>
      <c r="AD66" t="s">
        <v>3015</v>
      </c>
      <c r="AE66" t="s">
        <v>75</v>
      </c>
      <c r="AF66" t="s">
        <v>76</v>
      </c>
      <c r="AG66" t="s">
        <v>77</v>
      </c>
      <c r="AH66" t="s">
        <v>3016</v>
      </c>
      <c r="AI66" t="s">
        <v>615</v>
      </c>
      <c r="AJ66" t="s">
        <v>616</v>
      </c>
      <c r="AK66" t="s">
        <v>81</v>
      </c>
      <c r="AL66" t="s">
        <v>82</v>
      </c>
      <c r="AM66" t="s">
        <v>83</v>
      </c>
      <c r="AN66">
        <v>2017</v>
      </c>
      <c r="AO66">
        <v>145664</v>
      </c>
      <c r="AP66">
        <v>5425263</v>
      </c>
      <c r="AQ66">
        <v>288</v>
      </c>
      <c r="AR66" t="s">
        <v>84</v>
      </c>
      <c r="AS66">
        <v>562</v>
      </c>
      <c r="AT66" t="s">
        <v>85</v>
      </c>
      <c r="AU66" t="s">
        <v>86</v>
      </c>
      <c r="AV66">
        <v>562</v>
      </c>
      <c r="AW66" t="s">
        <v>3017</v>
      </c>
      <c r="AX66" t="s">
        <v>88</v>
      </c>
      <c r="AZ66" t="s">
        <v>659</v>
      </c>
      <c r="BA66">
        <v>0</v>
      </c>
      <c r="BB66">
        <v>13</v>
      </c>
    </row>
    <row r="67" spans="1:54" x14ac:dyDescent="0.2">
      <c r="A67" t="s">
        <v>2995</v>
      </c>
      <c r="B67" t="s">
        <v>2996</v>
      </c>
      <c r="C67" t="s">
        <v>2997</v>
      </c>
      <c r="D67" t="s">
        <v>2998</v>
      </c>
      <c r="E67" t="s">
        <v>2998</v>
      </c>
      <c r="G67" t="s">
        <v>56</v>
      </c>
      <c r="H67" t="s">
        <v>58</v>
      </c>
      <c r="I67" t="s">
        <v>2889</v>
      </c>
      <c r="J67" t="s">
        <v>2889</v>
      </c>
      <c r="K67" t="s">
        <v>7165</v>
      </c>
      <c r="L67" t="s">
        <v>7165</v>
      </c>
      <c r="M67" s="1" t="s">
        <v>603</v>
      </c>
      <c r="N67" t="s">
        <v>649</v>
      </c>
      <c r="O67" s="1" t="s">
        <v>605</v>
      </c>
      <c r="P67" s="1" t="s">
        <v>127</v>
      </c>
      <c r="Q67" s="11" t="s">
        <v>7211</v>
      </c>
      <c r="R67" s="1">
        <v>11</v>
      </c>
      <c r="S67" s="1">
        <v>2124</v>
      </c>
      <c r="T67" s="1" t="s">
        <v>169</v>
      </c>
      <c r="U67" s="1">
        <v>10560531</v>
      </c>
      <c r="V67" t="s">
        <v>2999</v>
      </c>
      <c r="W67" t="s">
        <v>3000</v>
      </c>
      <c r="X67" t="s">
        <v>68</v>
      </c>
      <c r="Y67" t="s">
        <v>3001</v>
      </c>
      <c r="Z67" t="s">
        <v>3002</v>
      </c>
      <c r="AA67" t="s">
        <v>3003</v>
      </c>
      <c r="AB67" t="s">
        <v>2692</v>
      </c>
      <c r="AC67" t="s">
        <v>73</v>
      </c>
      <c r="AD67" t="s">
        <v>3004</v>
      </c>
      <c r="AE67" t="s">
        <v>75</v>
      </c>
      <c r="AF67" t="s">
        <v>76</v>
      </c>
      <c r="AG67" t="s">
        <v>77</v>
      </c>
      <c r="AH67" t="s">
        <v>669</v>
      </c>
      <c r="AI67" t="s">
        <v>615</v>
      </c>
      <c r="AJ67" t="s">
        <v>616</v>
      </c>
      <c r="AK67" t="s">
        <v>81</v>
      </c>
      <c r="AL67" t="s">
        <v>82</v>
      </c>
      <c r="AM67" t="s">
        <v>83</v>
      </c>
      <c r="AN67">
        <v>2017</v>
      </c>
      <c r="AO67">
        <v>135952</v>
      </c>
      <c r="AP67">
        <v>5416740</v>
      </c>
      <c r="AQ67">
        <v>271</v>
      </c>
      <c r="AR67" t="s">
        <v>84</v>
      </c>
      <c r="AS67">
        <v>562</v>
      </c>
      <c r="AT67" t="s">
        <v>85</v>
      </c>
      <c r="AU67" t="s">
        <v>86</v>
      </c>
      <c r="AV67">
        <v>562</v>
      </c>
      <c r="AW67" t="s">
        <v>3005</v>
      </c>
      <c r="AX67" t="s">
        <v>88</v>
      </c>
      <c r="AZ67" t="s">
        <v>2961</v>
      </c>
      <c r="BA67">
        <v>0</v>
      </c>
      <c r="BB67">
        <v>16</v>
      </c>
    </row>
    <row r="68" spans="1:54" x14ac:dyDescent="0.2">
      <c r="A68" t="s">
        <v>2982</v>
      </c>
      <c r="B68" t="s">
        <v>2983</v>
      </c>
      <c r="C68" t="s">
        <v>2952</v>
      </c>
      <c r="D68" t="s">
        <v>2984</v>
      </c>
      <c r="E68" t="s">
        <v>2984</v>
      </c>
      <c r="F68" t="s">
        <v>2985</v>
      </c>
      <c r="G68" t="s">
        <v>56</v>
      </c>
      <c r="H68" t="s">
        <v>58</v>
      </c>
      <c r="I68" t="s">
        <v>2889</v>
      </c>
      <c r="J68" t="s">
        <v>2889</v>
      </c>
      <c r="K68" t="s">
        <v>7165</v>
      </c>
      <c r="L68" t="s">
        <v>7165</v>
      </c>
      <c r="M68" s="1" t="s">
        <v>603</v>
      </c>
      <c r="N68" t="s">
        <v>649</v>
      </c>
      <c r="O68" s="1" t="s">
        <v>605</v>
      </c>
      <c r="P68" s="1" t="s">
        <v>127</v>
      </c>
      <c r="Q68" s="11" t="s">
        <v>7211</v>
      </c>
      <c r="R68" s="1">
        <v>11</v>
      </c>
      <c r="S68" s="1">
        <v>2124</v>
      </c>
      <c r="T68" s="1" t="s">
        <v>169</v>
      </c>
      <c r="U68" s="1">
        <v>10560531</v>
      </c>
      <c r="V68" t="s">
        <v>2986</v>
      </c>
      <c r="W68" t="s">
        <v>2987</v>
      </c>
      <c r="X68" t="s">
        <v>68</v>
      </c>
      <c r="Y68" t="s">
        <v>2988</v>
      </c>
      <c r="Z68" t="s">
        <v>2989</v>
      </c>
      <c r="AA68" t="s">
        <v>2990</v>
      </c>
      <c r="AB68" t="s">
        <v>2926</v>
      </c>
      <c r="AC68" t="s">
        <v>73</v>
      </c>
      <c r="AD68" t="s">
        <v>2991</v>
      </c>
      <c r="AE68" t="s">
        <v>75</v>
      </c>
      <c r="AF68" t="s">
        <v>76</v>
      </c>
      <c r="AG68" t="s">
        <v>77</v>
      </c>
      <c r="AH68" t="s">
        <v>2992</v>
      </c>
      <c r="AI68" t="s">
        <v>2993</v>
      </c>
      <c r="AJ68" t="s">
        <v>616</v>
      </c>
      <c r="AK68" t="s">
        <v>81</v>
      </c>
      <c r="AL68" t="s">
        <v>82</v>
      </c>
      <c r="AM68" t="s">
        <v>83</v>
      </c>
      <c r="AN68">
        <v>2017</v>
      </c>
      <c r="AO68">
        <v>136031</v>
      </c>
      <c r="AP68">
        <v>5388968</v>
      </c>
      <c r="AQ68">
        <v>277</v>
      </c>
      <c r="AR68" t="s">
        <v>84</v>
      </c>
      <c r="AS68">
        <v>562</v>
      </c>
      <c r="AT68" t="s">
        <v>85</v>
      </c>
      <c r="AU68" t="s">
        <v>86</v>
      </c>
      <c r="AV68">
        <v>562</v>
      </c>
      <c r="AW68" t="s">
        <v>2994</v>
      </c>
      <c r="AX68" t="s">
        <v>88</v>
      </c>
      <c r="AZ68" t="s">
        <v>2961</v>
      </c>
      <c r="BA68">
        <v>0</v>
      </c>
      <c r="BB68">
        <v>16</v>
      </c>
    </row>
    <row r="69" spans="1:54" x14ac:dyDescent="0.2">
      <c r="A69" t="s">
        <v>6884</v>
      </c>
      <c r="B69" t="s">
        <v>6885</v>
      </c>
      <c r="C69" t="s">
        <v>6872</v>
      </c>
      <c r="D69" t="s">
        <v>6886</v>
      </c>
      <c r="E69" t="s">
        <v>6886</v>
      </c>
      <c r="G69" t="s">
        <v>56</v>
      </c>
      <c r="H69" t="s">
        <v>93</v>
      </c>
      <c r="I69" t="s">
        <v>406</v>
      </c>
      <c r="J69" t="s">
        <v>406</v>
      </c>
      <c r="K69" t="s">
        <v>7165</v>
      </c>
      <c r="L69" t="s">
        <v>7172</v>
      </c>
      <c r="M69" s="1" t="s">
        <v>3194</v>
      </c>
      <c r="N69" t="s">
        <v>6874</v>
      </c>
      <c r="O69" s="1" t="s">
        <v>373</v>
      </c>
      <c r="P69" s="1" t="s">
        <v>167</v>
      </c>
      <c r="Q69" s="11" t="s">
        <v>7197</v>
      </c>
      <c r="R69" s="1">
        <v>1817</v>
      </c>
      <c r="S69" s="1">
        <v>61940</v>
      </c>
      <c r="T69" s="1" t="s">
        <v>169</v>
      </c>
      <c r="U69" s="1" t="s">
        <v>6875</v>
      </c>
      <c r="V69" t="s">
        <v>6887</v>
      </c>
      <c r="W69" t="s">
        <v>6888</v>
      </c>
      <c r="X69" t="s">
        <v>68</v>
      </c>
      <c r="Y69" t="s">
        <v>6889</v>
      </c>
      <c r="Z69" t="s">
        <v>6890</v>
      </c>
      <c r="AA69" t="s">
        <v>6891</v>
      </c>
      <c r="AB69" t="s">
        <v>2926</v>
      </c>
      <c r="AC69" t="s">
        <v>73</v>
      </c>
      <c r="AD69" t="s">
        <v>6892</v>
      </c>
      <c r="AE69" t="s">
        <v>75</v>
      </c>
      <c r="AF69" t="s">
        <v>76</v>
      </c>
      <c r="AG69" t="s">
        <v>77</v>
      </c>
      <c r="AH69" t="s">
        <v>425</v>
      </c>
      <c r="AI69" t="s">
        <v>107</v>
      </c>
      <c r="AJ69" t="s">
        <v>80</v>
      </c>
      <c r="AK69" t="s">
        <v>81</v>
      </c>
      <c r="AL69" t="s">
        <v>82</v>
      </c>
      <c r="AM69" t="s">
        <v>83</v>
      </c>
      <c r="AN69">
        <v>2018</v>
      </c>
      <c r="AO69">
        <v>138595</v>
      </c>
      <c r="AP69">
        <v>5133164</v>
      </c>
      <c r="AQ69">
        <v>163</v>
      </c>
      <c r="AR69" t="s">
        <v>84</v>
      </c>
      <c r="AS69">
        <v>562</v>
      </c>
      <c r="AT69" t="s">
        <v>85</v>
      </c>
      <c r="AU69" t="s">
        <v>86</v>
      </c>
      <c r="AV69">
        <v>562</v>
      </c>
      <c r="AW69" t="s">
        <v>6893</v>
      </c>
      <c r="AX69" t="s">
        <v>88</v>
      </c>
      <c r="AZ69" t="s">
        <v>6883</v>
      </c>
      <c r="BA69">
        <v>0</v>
      </c>
    </row>
    <row r="70" spans="1:54" x14ac:dyDescent="0.2">
      <c r="A70" t="s">
        <v>2972</v>
      </c>
      <c r="B70" t="s">
        <v>2973</v>
      </c>
      <c r="C70" t="s">
        <v>2952</v>
      </c>
      <c r="D70" t="s">
        <v>2974</v>
      </c>
      <c r="E70" t="s">
        <v>2974</v>
      </c>
      <c r="G70" t="s">
        <v>56</v>
      </c>
      <c r="H70" t="s">
        <v>58</v>
      </c>
      <c r="I70" t="s">
        <v>2889</v>
      </c>
      <c r="J70" t="s">
        <v>2889</v>
      </c>
      <c r="K70" t="s">
        <v>7165</v>
      </c>
      <c r="L70" t="s">
        <v>7165</v>
      </c>
      <c r="M70" s="1" t="s">
        <v>603</v>
      </c>
      <c r="N70" t="s">
        <v>649</v>
      </c>
      <c r="O70" s="1" t="s">
        <v>605</v>
      </c>
      <c r="P70" s="1" t="s">
        <v>127</v>
      </c>
      <c r="Q70" s="11" t="s">
        <v>7211</v>
      </c>
      <c r="R70" s="1">
        <v>11</v>
      </c>
      <c r="S70" s="1">
        <v>2124</v>
      </c>
      <c r="T70" s="1" t="s">
        <v>169</v>
      </c>
      <c r="U70" s="1">
        <v>10560531</v>
      </c>
      <c r="V70" t="s">
        <v>2975</v>
      </c>
      <c r="W70" t="s">
        <v>2976</v>
      </c>
      <c r="X70" t="s">
        <v>68</v>
      </c>
      <c r="Y70" t="s">
        <v>2977</v>
      </c>
      <c r="Z70" t="s">
        <v>2978</v>
      </c>
      <c r="AA70" t="s">
        <v>2979</v>
      </c>
      <c r="AB70" t="s">
        <v>2926</v>
      </c>
      <c r="AC70" t="s">
        <v>73</v>
      </c>
      <c r="AD70" t="s">
        <v>2980</v>
      </c>
      <c r="AE70" t="s">
        <v>75</v>
      </c>
      <c r="AF70" t="s">
        <v>76</v>
      </c>
      <c r="AG70" t="s">
        <v>77</v>
      </c>
      <c r="AH70" t="s">
        <v>630</v>
      </c>
      <c r="AI70" t="s">
        <v>615</v>
      </c>
      <c r="AJ70" t="s">
        <v>616</v>
      </c>
      <c r="AK70" t="s">
        <v>81</v>
      </c>
      <c r="AL70" t="s">
        <v>82</v>
      </c>
      <c r="AM70" t="s">
        <v>83</v>
      </c>
      <c r="AN70">
        <v>2017</v>
      </c>
      <c r="AO70">
        <v>149177</v>
      </c>
      <c r="AP70">
        <v>5393494</v>
      </c>
      <c r="AQ70">
        <v>271</v>
      </c>
      <c r="AR70" t="s">
        <v>84</v>
      </c>
      <c r="AS70">
        <v>562</v>
      </c>
      <c r="AT70" t="s">
        <v>85</v>
      </c>
      <c r="AU70" t="s">
        <v>86</v>
      </c>
      <c r="AV70">
        <v>562</v>
      </c>
      <c r="AW70" t="s">
        <v>2981</v>
      </c>
      <c r="AX70" t="s">
        <v>88</v>
      </c>
      <c r="AZ70" t="s">
        <v>2961</v>
      </c>
      <c r="BA70">
        <v>0</v>
      </c>
      <c r="BB70">
        <v>17</v>
      </c>
    </row>
    <row r="71" spans="1:54" x14ac:dyDescent="0.2">
      <c r="A71" t="s">
        <v>2962</v>
      </c>
      <c r="B71" t="s">
        <v>2963</v>
      </c>
      <c r="C71" t="s">
        <v>2952</v>
      </c>
      <c r="D71" t="s">
        <v>2964</v>
      </c>
      <c r="E71" t="s">
        <v>2964</v>
      </c>
      <c r="G71" t="s">
        <v>56</v>
      </c>
      <c r="H71" t="s">
        <v>58</v>
      </c>
      <c r="I71" t="s">
        <v>2889</v>
      </c>
      <c r="J71" t="s">
        <v>2889</v>
      </c>
      <c r="K71" t="s">
        <v>7165</v>
      </c>
      <c r="L71" t="s">
        <v>7165</v>
      </c>
      <c r="M71" s="1" t="s">
        <v>603</v>
      </c>
      <c r="N71" t="s">
        <v>649</v>
      </c>
      <c r="O71" s="1" t="s">
        <v>605</v>
      </c>
      <c r="P71" s="1" t="s">
        <v>127</v>
      </c>
      <c r="Q71" s="11" t="s">
        <v>7211</v>
      </c>
      <c r="R71" s="1">
        <v>11</v>
      </c>
      <c r="S71" s="1">
        <v>2124</v>
      </c>
      <c r="T71" s="1" t="s">
        <v>169</v>
      </c>
      <c r="U71" s="1">
        <v>10560531</v>
      </c>
      <c r="V71" t="s">
        <v>2965</v>
      </c>
      <c r="W71" t="s">
        <v>2966</v>
      </c>
      <c r="X71" t="s">
        <v>68</v>
      </c>
      <c r="Y71" t="s">
        <v>2967</v>
      </c>
      <c r="Z71" t="s">
        <v>2968</v>
      </c>
      <c r="AA71" t="s">
        <v>2969</v>
      </c>
      <c r="AB71" t="s">
        <v>2926</v>
      </c>
      <c r="AC71" t="s">
        <v>73</v>
      </c>
      <c r="AD71" t="s">
        <v>2970</v>
      </c>
      <c r="AE71" t="s">
        <v>75</v>
      </c>
      <c r="AF71" t="s">
        <v>76</v>
      </c>
      <c r="AG71" t="s">
        <v>77</v>
      </c>
      <c r="AH71" t="s">
        <v>669</v>
      </c>
      <c r="AI71" t="s">
        <v>615</v>
      </c>
      <c r="AJ71" t="s">
        <v>616</v>
      </c>
      <c r="AK71" t="s">
        <v>81</v>
      </c>
      <c r="AL71" t="s">
        <v>82</v>
      </c>
      <c r="AM71" t="s">
        <v>83</v>
      </c>
      <c r="AN71">
        <v>2017</v>
      </c>
      <c r="AO71">
        <v>146102</v>
      </c>
      <c r="AP71">
        <v>5407324</v>
      </c>
      <c r="AQ71">
        <v>252</v>
      </c>
      <c r="AR71" t="s">
        <v>84</v>
      </c>
      <c r="AS71">
        <v>562</v>
      </c>
      <c r="AT71" t="s">
        <v>85</v>
      </c>
      <c r="AU71" t="s">
        <v>86</v>
      </c>
      <c r="AV71">
        <v>562</v>
      </c>
      <c r="AW71" t="s">
        <v>2971</v>
      </c>
      <c r="AX71" t="s">
        <v>88</v>
      </c>
      <c r="AZ71" t="s">
        <v>2961</v>
      </c>
      <c r="BA71">
        <v>0</v>
      </c>
      <c r="BB71">
        <v>16</v>
      </c>
    </row>
    <row r="72" spans="1:54" x14ac:dyDescent="0.2">
      <c r="A72" t="s">
        <v>2950</v>
      </c>
      <c r="B72" t="s">
        <v>2951</v>
      </c>
      <c r="C72" t="s">
        <v>2952</v>
      </c>
      <c r="D72" t="s">
        <v>2953</v>
      </c>
      <c r="E72" t="s">
        <v>2953</v>
      </c>
      <c r="G72" t="s">
        <v>56</v>
      </c>
      <c r="H72" t="s">
        <v>58</v>
      </c>
      <c r="I72" t="s">
        <v>2889</v>
      </c>
      <c r="J72" t="s">
        <v>2889</v>
      </c>
      <c r="K72" t="s">
        <v>7165</v>
      </c>
      <c r="L72" t="s">
        <v>7165</v>
      </c>
      <c r="M72" s="1" t="s">
        <v>603</v>
      </c>
      <c r="N72" t="s">
        <v>649</v>
      </c>
      <c r="O72" s="1" t="s">
        <v>605</v>
      </c>
      <c r="P72" s="1" t="s">
        <v>127</v>
      </c>
      <c r="Q72" s="11" t="s">
        <v>7211</v>
      </c>
      <c r="R72" s="1">
        <v>11</v>
      </c>
      <c r="S72" s="1">
        <v>2124</v>
      </c>
      <c r="T72" s="1" t="s">
        <v>169</v>
      </c>
      <c r="U72" s="1">
        <v>10560531</v>
      </c>
      <c r="V72" t="s">
        <v>2954</v>
      </c>
      <c r="W72" t="s">
        <v>2955</v>
      </c>
      <c r="X72" t="s">
        <v>68</v>
      </c>
      <c r="Y72" t="s">
        <v>2956</v>
      </c>
      <c r="Z72" t="s">
        <v>2957</v>
      </c>
      <c r="AA72" t="s">
        <v>2958</v>
      </c>
      <c r="AB72" t="s">
        <v>2926</v>
      </c>
      <c r="AC72" t="s">
        <v>73</v>
      </c>
      <c r="AD72" t="s">
        <v>2959</v>
      </c>
      <c r="AE72" t="s">
        <v>75</v>
      </c>
      <c r="AF72" t="s">
        <v>76</v>
      </c>
      <c r="AG72" t="s">
        <v>77</v>
      </c>
      <c r="AH72" t="s">
        <v>1359</v>
      </c>
      <c r="AI72" t="s">
        <v>615</v>
      </c>
      <c r="AJ72" t="s">
        <v>616</v>
      </c>
      <c r="AK72" t="s">
        <v>81</v>
      </c>
      <c r="AL72" t="s">
        <v>82</v>
      </c>
      <c r="AM72" t="s">
        <v>83</v>
      </c>
      <c r="AN72">
        <v>2017</v>
      </c>
      <c r="AO72">
        <v>146102</v>
      </c>
      <c r="AP72">
        <v>5397668</v>
      </c>
      <c r="AQ72">
        <v>267</v>
      </c>
      <c r="AR72" t="s">
        <v>84</v>
      </c>
      <c r="AS72">
        <v>562</v>
      </c>
      <c r="AT72" t="s">
        <v>85</v>
      </c>
      <c r="AU72" t="s">
        <v>86</v>
      </c>
      <c r="AV72">
        <v>562</v>
      </c>
      <c r="AW72" t="s">
        <v>2960</v>
      </c>
      <c r="AX72" t="s">
        <v>88</v>
      </c>
      <c r="AZ72" t="s">
        <v>2961</v>
      </c>
      <c r="BA72">
        <v>0</v>
      </c>
      <c r="BB72">
        <v>17</v>
      </c>
    </row>
    <row r="73" spans="1:54" x14ac:dyDescent="0.2">
      <c r="A73" t="s">
        <v>6745</v>
      </c>
      <c r="B73" t="s">
        <v>6746</v>
      </c>
      <c r="C73" t="s">
        <v>6747</v>
      </c>
      <c r="D73" t="s">
        <v>6748</v>
      </c>
      <c r="E73" t="s">
        <v>6748</v>
      </c>
      <c r="G73" t="s">
        <v>56</v>
      </c>
      <c r="H73" t="s">
        <v>93</v>
      </c>
      <c r="I73" t="s">
        <v>140</v>
      </c>
      <c r="J73" t="s">
        <v>6749</v>
      </c>
      <c r="K73" t="s">
        <v>7165</v>
      </c>
      <c r="L73" t="s">
        <v>7165</v>
      </c>
      <c r="M73" s="1" t="s">
        <v>4492</v>
      </c>
      <c r="N73" t="s">
        <v>4493</v>
      </c>
      <c r="O73" s="1" t="s">
        <v>3530</v>
      </c>
      <c r="P73" s="1" t="s">
        <v>250</v>
      </c>
      <c r="Q73" s="11" t="s">
        <v>7207</v>
      </c>
      <c r="R73" s="1">
        <v>17</v>
      </c>
      <c r="S73" s="1">
        <v>15628</v>
      </c>
      <c r="T73" s="1" t="s">
        <v>3196</v>
      </c>
      <c r="U73" s="1" t="s">
        <v>170</v>
      </c>
      <c r="V73" t="s">
        <v>6750</v>
      </c>
      <c r="W73" t="s">
        <v>6751</v>
      </c>
      <c r="X73" t="s">
        <v>68</v>
      </c>
      <c r="Y73" t="s">
        <v>6752</v>
      </c>
      <c r="Z73" t="s">
        <v>6753</v>
      </c>
      <c r="AA73" t="s">
        <v>6754</v>
      </c>
      <c r="AB73" t="s">
        <v>2926</v>
      </c>
      <c r="AC73" t="s">
        <v>73</v>
      </c>
      <c r="AD73" t="s">
        <v>6755</v>
      </c>
      <c r="AE73" t="s">
        <v>75</v>
      </c>
      <c r="AF73" t="s">
        <v>76</v>
      </c>
      <c r="AG73" t="s">
        <v>77</v>
      </c>
      <c r="AH73" t="s">
        <v>6756</v>
      </c>
      <c r="AI73" t="s">
        <v>107</v>
      </c>
      <c r="AJ73" t="s">
        <v>80</v>
      </c>
      <c r="AK73" t="s">
        <v>81</v>
      </c>
      <c r="AL73" t="s">
        <v>82</v>
      </c>
      <c r="AM73" t="s">
        <v>83</v>
      </c>
      <c r="AN73">
        <v>2017</v>
      </c>
      <c r="AO73">
        <v>155978</v>
      </c>
      <c r="AP73">
        <v>5219474</v>
      </c>
      <c r="AQ73">
        <v>177</v>
      </c>
      <c r="AR73" t="s">
        <v>84</v>
      </c>
      <c r="AS73">
        <v>562</v>
      </c>
      <c r="AT73" t="s">
        <v>85</v>
      </c>
      <c r="AU73" t="s">
        <v>86</v>
      </c>
      <c r="AV73">
        <v>562</v>
      </c>
      <c r="AW73" t="s">
        <v>6757</v>
      </c>
      <c r="AX73" t="s">
        <v>88</v>
      </c>
      <c r="AZ73" t="s">
        <v>6758</v>
      </c>
      <c r="BA73">
        <v>25</v>
      </c>
      <c r="BB73">
        <v>30</v>
      </c>
    </row>
    <row r="74" spans="1:54" x14ac:dyDescent="0.2">
      <c r="A74" t="s">
        <v>2918</v>
      </c>
      <c r="B74" t="s">
        <v>2919</v>
      </c>
      <c r="C74" t="s">
        <v>2887</v>
      </c>
      <c r="D74" t="s">
        <v>2920</v>
      </c>
      <c r="E74" t="s">
        <v>2920</v>
      </c>
      <c r="G74" t="s">
        <v>56</v>
      </c>
      <c r="H74" t="s">
        <v>58</v>
      </c>
      <c r="I74" t="s">
        <v>2889</v>
      </c>
      <c r="J74" t="s">
        <v>2889</v>
      </c>
      <c r="K74" t="s">
        <v>7165</v>
      </c>
      <c r="L74" t="s">
        <v>7165</v>
      </c>
      <c r="M74" s="1" t="s">
        <v>603</v>
      </c>
      <c r="N74" t="s">
        <v>649</v>
      </c>
      <c r="O74" s="1" t="s">
        <v>605</v>
      </c>
      <c r="P74" s="1" t="s">
        <v>127</v>
      </c>
      <c r="Q74" s="11" t="s">
        <v>7211</v>
      </c>
      <c r="R74" s="1">
        <v>11</v>
      </c>
      <c r="S74" s="1">
        <v>2124</v>
      </c>
      <c r="T74" s="1" t="s">
        <v>169</v>
      </c>
      <c r="U74" s="1">
        <v>10596157</v>
      </c>
      <c r="V74" t="s">
        <v>2921</v>
      </c>
      <c r="W74" t="s">
        <v>2922</v>
      </c>
      <c r="X74" t="s">
        <v>68</v>
      </c>
      <c r="Y74" t="s">
        <v>2923</v>
      </c>
      <c r="Z74" t="s">
        <v>2924</v>
      </c>
      <c r="AA74" t="s">
        <v>2925</v>
      </c>
      <c r="AB74" t="s">
        <v>2926</v>
      </c>
      <c r="AC74" t="s">
        <v>73</v>
      </c>
      <c r="AD74" t="s">
        <v>2927</v>
      </c>
      <c r="AE74" t="s">
        <v>75</v>
      </c>
      <c r="AF74" t="s">
        <v>76</v>
      </c>
      <c r="AG74" t="s">
        <v>77</v>
      </c>
      <c r="AH74" t="s">
        <v>1359</v>
      </c>
      <c r="AI74" t="s">
        <v>615</v>
      </c>
      <c r="AJ74" t="s">
        <v>616</v>
      </c>
      <c r="AK74" t="s">
        <v>81</v>
      </c>
      <c r="AL74" t="s">
        <v>82</v>
      </c>
      <c r="AM74" t="s">
        <v>83</v>
      </c>
      <c r="AN74">
        <v>2017</v>
      </c>
      <c r="AO74">
        <v>90873</v>
      </c>
      <c r="AP74">
        <v>5346579</v>
      </c>
      <c r="AQ74">
        <v>292</v>
      </c>
      <c r="AR74" t="s">
        <v>84</v>
      </c>
      <c r="AS74">
        <v>562</v>
      </c>
      <c r="AT74" t="s">
        <v>85</v>
      </c>
      <c r="AU74" t="s">
        <v>86</v>
      </c>
      <c r="AV74">
        <v>562</v>
      </c>
      <c r="AW74" t="s">
        <v>2928</v>
      </c>
      <c r="AX74" t="s">
        <v>88</v>
      </c>
      <c r="AZ74" t="s">
        <v>2873</v>
      </c>
      <c r="BA74">
        <v>1</v>
      </c>
    </row>
    <row r="75" spans="1:54" x14ac:dyDescent="0.2">
      <c r="A75" t="s">
        <v>2908</v>
      </c>
      <c r="B75" t="s">
        <v>2909</v>
      </c>
      <c r="C75" t="s">
        <v>2887</v>
      </c>
      <c r="D75" t="s">
        <v>2910</v>
      </c>
      <c r="E75" t="s">
        <v>2910</v>
      </c>
      <c r="G75" t="s">
        <v>56</v>
      </c>
      <c r="H75" t="s">
        <v>58</v>
      </c>
      <c r="I75" t="s">
        <v>2889</v>
      </c>
      <c r="J75" t="s">
        <v>2889</v>
      </c>
      <c r="K75" t="s">
        <v>7165</v>
      </c>
      <c r="L75" t="s">
        <v>7165</v>
      </c>
      <c r="M75" s="1" t="s">
        <v>603</v>
      </c>
      <c r="N75" t="s">
        <v>649</v>
      </c>
      <c r="O75" s="1" t="s">
        <v>605</v>
      </c>
      <c r="P75" s="1" t="s">
        <v>127</v>
      </c>
      <c r="Q75" s="11" t="s">
        <v>7211</v>
      </c>
      <c r="R75" s="1">
        <v>11</v>
      </c>
      <c r="S75" s="1">
        <v>2124</v>
      </c>
      <c r="T75" s="1" t="s">
        <v>169</v>
      </c>
      <c r="U75" s="1">
        <v>10596157</v>
      </c>
      <c r="V75" t="s">
        <v>2911</v>
      </c>
      <c r="W75" t="s">
        <v>2912</v>
      </c>
      <c r="X75" t="s">
        <v>68</v>
      </c>
      <c r="Y75" t="s">
        <v>2913</v>
      </c>
      <c r="Z75" t="s">
        <v>2914</v>
      </c>
      <c r="AA75" t="s">
        <v>2915</v>
      </c>
      <c r="AB75" t="s">
        <v>2905</v>
      </c>
      <c r="AC75" t="s">
        <v>73</v>
      </c>
      <c r="AD75" t="s">
        <v>2916</v>
      </c>
      <c r="AE75" t="s">
        <v>75</v>
      </c>
      <c r="AF75" t="s">
        <v>76</v>
      </c>
      <c r="AG75" t="s">
        <v>77</v>
      </c>
      <c r="AH75" t="s">
        <v>929</v>
      </c>
      <c r="AI75" t="s">
        <v>615</v>
      </c>
      <c r="AJ75" t="s">
        <v>616</v>
      </c>
      <c r="AK75" t="s">
        <v>81</v>
      </c>
      <c r="AL75" t="s">
        <v>82</v>
      </c>
      <c r="AM75" t="s">
        <v>83</v>
      </c>
      <c r="AN75">
        <v>2017</v>
      </c>
      <c r="AO75">
        <v>148116</v>
      </c>
      <c r="AP75">
        <v>5357532</v>
      </c>
      <c r="AQ75">
        <v>268</v>
      </c>
      <c r="AR75" t="s">
        <v>84</v>
      </c>
      <c r="AS75">
        <v>562</v>
      </c>
      <c r="AT75" t="s">
        <v>85</v>
      </c>
      <c r="AU75" t="s">
        <v>86</v>
      </c>
      <c r="AV75">
        <v>562</v>
      </c>
      <c r="AW75" t="s">
        <v>2917</v>
      </c>
      <c r="AX75" t="s">
        <v>88</v>
      </c>
      <c r="AZ75" t="s">
        <v>2873</v>
      </c>
      <c r="BA75">
        <v>0</v>
      </c>
    </row>
    <row r="76" spans="1:54" x14ac:dyDescent="0.2">
      <c r="A76" t="s">
        <v>2897</v>
      </c>
      <c r="B76" t="s">
        <v>2898</v>
      </c>
      <c r="C76" t="s">
        <v>2887</v>
      </c>
      <c r="D76" t="s">
        <v>2899</v>
      </c>
      <c r="E76" t="s">
        <v>2899</v>
      </c>
      <c r="G76" t="s">
        <v>56</v>
      </c>
      <c r="H76" t="s">
        <v>58</v>
      </c>
      <c r="I76" t="s">
        <v>2889</v>
      </c>
      <c r="J76" t="s">
        <v>2889</v>
      </c>
      <c r="K76" t="s">
        <v>7165</v>
      </c>
      <c r="L76" t="s">
        <v>7165</v>
      </c>
      <c r="M76" s="1" t="s">
        <v>603</v>
      </c>
      <c r="N76" t="s">
        <v>169</v>
      </c>
      <c r="O76" s="1" t="s">
        <v>605</v>
      </c>
      <c r="P76" s="1" t="s">
        <v>127</v>
      </c>
      <c r="Q76" s="11" t="s">
        <v>7211</v>
      </c>
      <c r="R76" s="1">
        <v>11</v>
      </c>
      <c r="S76" s="1">
        <v>2124</v>
      </c>
      <c r="T76" s="1" t="s">
        <v>169</v>
      </c>
      <c r="U76" s="1">
        <v>10596157</v>
      </c>
      <c r="V76" t="s">
        <v>2900</v>
      </c>
      <c r="W76" t="s">
        <v>2901</v>
      </c>
      <c r="X76" t="s">
        <v>68</v>
      </c>
      <c r="Y76" t="s">
        <v>2902</v>
      </c>
      <c r="Z76" t="s">
        <v>2903</v>
      </c>
      <c r="AA76" t="s">
        <v>2904</v>
      </c>
      <c r="AB76" t="s">
        <v>2905</v>
      </c>
      <c r="AC76" t="s">
        <v>73</v>
      </c>
      <c r="AD76" t="s">
        <v>2906</v>
      </c>
      <c r="AE76" t="s">
        <v>75</v>
      </c>
      <c r="AF76" t="s">
        <v>76</v>
      </c>
      <c r="AG76" t="s">
        <v>77</v>
      </c>
      <c r="AH76" t="s">
        <v>745</v>
      </c>
      <c r="AI76" t="s">
        <v>615</v>
      </c>
      <c r="AJ76" t="s">
        <v>616</v>
      </c>
      <c r="AK76" t="s">
        <v>81</v>
      </c>
      <c r="AL76" t="s">
        <v>82</v>
      </c>
      <c r="AM76" t="s">
        <v>83</v>
      </c>
      <c r="AN76">
        <v>2017</v>
      </c>
      <c r="AO76">
        <v>94523</v>
      </c>
      <c r="AP76">
        <v>5341056</v>
      </c>
      <c r="AQ76">
        <v>308</v>
      </c>
      <c r="AR76" t="s">
        <v>84</v>
      </c>
      <c r="AS76">
        <v>562</v>
      </c>
      <c r="AT76" t="s">
        <v>85</v>
      </c>
      <c r="AU76" t="s">
        <v>86</v>
      </c>
      <c r="AV76">
        <v>562</v>
      </c>
      <c r="AW76" t="s">
        <v>2907</v>
      </c>
      <c r="AX76" t="s">
        <v>88</v>
      </c>
      <c r="AZ76" t="s">
        <v>2873</v>
      </c>
      <c r="BA76">
        <v>1</v>
      </c>
    </row>
    <row r="77" spans="1:54" x14ac:dyDescent="0.2">
      <c r="A77" t="s">
        <v>5675</v>
      </c>
      <c r="B77" t="s">
        <v>5676</v>
      </c>
      <c r="C77" t="s">
        <v>5630</v>
      </c>
      <c r="D77" t="s">
        <v>5677</v>
      </c>
      <c r="E77" t="s">
        <v>5677</v>
      </c>
      <c r="G77" t="s">
        <v>56</v>
      </c>
      <c r="H77" t="s">
        <v>58</v>
      </c>
      <c r="I77" t="s">
        <v>140</v>
      </c>
      <c r="J77" t="s">
        <v>5537</v>
      </c>
      <c r="K77" t="s">
        <v>7165</v>
      </c>
      <c r="L77" t="s">
        <v>7165</v>
      </c>
      <c r="M77" s="1" t="s">
        <v>3903</v>
      </c>
      <c r="N77" t="s">
        <v>5664</v>
      </c>
      <c r="O77" s="1" t="s">
        <v>166</v>
      </c>
      <c r="P77" s="1" t="s">
        <v>250</v>
      </c>
      <c r="Q77" s="11" t="s">
        <v>7208</v>
      </c>
      <c r="R77" s="1">
        <v>101</v>
      </c>
      <c r="S77" s="1">
        <v>1589</v>
      </c>
      <c r="T77" s="1" t="s">
        <v>5634</v>
      </c>
      <c r="U77" s="1">
        <v>9664487</v>
      </c>
      <c r="V77" t="s">
        <v>5678</v>
      </c>
      <c r="W77" t="s">
        <v>5679</v>
      </c>
      <c r="X77" t="s">
        <v>68</v>
      </c>
      <c r="Y77" t="s">
        <v>5680</v>
      </c>
      <c r="Z77" t="s">
        <v>5681</v>
      </c>
      <c r="AA77" t="s">
        <v>5682</v>
      </c>
      <c r="AB77" t="s">
        <v>2905</v>
      </c>
      <c r="AC77" t="s">
        <v>73</v>
      </c>
      <c r="AD77" t="s">
        <v>5683</v>
      </c>
      <c r="AE77" t="s">
        <v>5671</v>
      </c>
      <c r="AF77" t="s">
        <v>76</v>
      </c>
      <c r="AG77" t="s">
        <v>77</v>
      </c>
      <c r="AH77" t="s">
        <v>5642</v>
      </c>
      <c r="AI77" t="s">
        <v>5672</v>
      </c>
      <c r="AJ77" t="s">
        <v>5673</v>
      </c>
      <c r="AK77" t="s">
        <v>81</v>
      </c>
      <c r="AL77" t="s">
        <v>82</v>
      </c>
      <c r="AM77" t="s">
        <v>83</v>
      </c>
      <c r="AN77">
        <v>2017</v>
      </c>
      <c r="AO77">
        <v>134888</v>
      </c>
      <c r="AP77">
        <v>5460607</v>
      </c>
      <c r="AQ77">
        <v>173</v>
      </c>
      <c r="AR77" t="s">
        <v>84</v>
      </c>
      <c r="AS77">
        <v>562</v>
      </c>
      <c r="AT77" t="s">
        <v>85</v>
      </c>
      <c r="AU77" t="s">
        <v>86</v>
      </c>
      <c r="AV77">
        <v>562</v>
      </c>
      <c r="AW77" t="s">
        <v>5684</v>
      </c>
      <c r="AX77" t="s">
        <v>88</v>
      </c>
      <c r="AZ77" t="s">
        <v>5646</v>
      </c>
      <c r="BA77">
        <v>1</v>
      </c>
    </row>
    <row r="78" spans="1:54" x14ac:dyDescent="0.2">
      <c r="A78" t="s">
        <v>4072</v>
      </c>
      <c r="B78" t="s">
        <v>4073</v>
      </c>
      <c r="C78" t="s">
        <v>4074</v>
      </c>
      <c r="D78" t="s">
        <v>4075</v>
      </c>
      <c r="E78" t="s">
        <v>4075</v>
      </c>
      <c r="G78" t="s">
        <v>56</v>
      </c>
      <c r="H78" t="s">
        <v>58</v>
      </c>
      <c r="I78" t="s">
        <v>2663</v>
      </c>
      <c r="J78" t="s">
        <v>2663</v>
      </c>
      <c r="K78" t="s">
        <v>7165</v>
      </c>
      <c r="L78" t="s">
        <v>7165</v>
      </c>
      <c r="M78" s="1" t="s">
        <v>603</v>
      </c>
      <c r="N78" t="s">
        <v>649</v>
      </c>
      <c r="O78" s="1" t="s">
        <v>875</v>
      </c>
      <c r="P78" s="1" t="s">
        <v>64</v>
      </c>
      <c r="Q78" s="11" t="s">
        <v>7220</v>
      </c>
      <c r="R78" s="1">
        <v>11</v>
      </c>
      <c r="S78" s="1">
        <v>2124</v>
      </c>
      <c r="T78" s="1" t="s">
        <v>169</v>
      </c>
      <c r="U78" s="1">
        <v>10664297</v>
      </c>
      <c r="V78" t="s">
        <v>4076</v>
      </c>
      <c r="W78" t="s">
        <v>4077</v>
      </c>
      <c r="X78" t="s">
        <v>68</v>
      </c>
      <c r="Y78" t="s">
        <v>4078</v>
      </c>
      <c r="Z78" t="s">
        <v>4079</v>
      </c>
      <c r="AA78" t="s">
        <v>4080</v>
      </c>
      <c r="AB78" t="s">
        <v>2905</v>
      </c>
      <c r="AC78" t="s">
        <v>73</v>
      </c>
      <c r="AD78" t="s">
        <v>4081</v>
      </c>
      <c r="AE78" t="s">
        <v>75</v>
      </c>
      <c r="AF78" t="s">
        <v>76</v>
      </c>
      <c r="AG78" t="s">
        <v>77</v>
      </c>
      <c r="AH78" t="s">
        <v>1032</v>
      </c>
      <c r="AI78" t="s">
        <v>615</v>
      </c>
      <c r="AJ78" t="s">
        <v>616</v>
      </c>
      <c r="AK78" t="s">
        <v>81</v>
      </c>
      <c r="AL78" t="s">
        <v>82</v>
      </c>
      <c r="AM78" t="s">
        <v>83</v>
      </c>
      <c r="AN78">
        <v>2018</v>
      </c>
      <c r="AO78">
        <v>68339</v>
      </c>
      <c r="AP78">
        <v>5277017</v>
      </c>
      <c r="AQ78">
        <v>289</v>
      </c>
      <c r="AR78" t="s">
        <v>84</v>
      </c>
      <c r="AS78">
        <v>562</v>
      </c>
      <c r="AT78" t="s">
        <v>85</v>
      </c>
      <c r="AU78" t="s">
        <v>86</v>
      </c>
      <c r="AV78">
        <v>562</v>
      </c>
      <c r="AW78" t="s">
        <v>4082</v>
      </c>
      <c r="AX78" t="s">
        <v>88</v>
      </c>
      <c r="AZ78" t="s">
        <v>841</v>
      </c>
      <c r="BA78">
        <v>0</v>
      </c>
      <c r="BB78">
        <v>1</v>
      </c>
    </row>
    <row r="79" spans="1:54" x14ac:dyDescent="0.2">
      <c r="A79" t="s">
        <v>5727</v>
      </c>
      <c r="B79" t="s">
        <v>5728</v>
      </c>
      <c r="C79" t="s">
        <v>5711</v>
      </c>
      <c r="D79" t="s">
        <v>5729</v>
      </c>
      <c r="E79" t="s">
        <v>5729</v>
      </c>
      <c r="G79" t="s">
        <v>56</v>
      </c>
      <c r="H79" t="s">
        <v>93</v>
      </c>
      <c r="I79" t="s">
        <v>140</v>
      </c>
      <c r="J79" t="s">
        <v>5537</v>
      </c>
      <c r="K79" t="s">
        <v>7165</v>
      </c>
      <c r="L79" t="s">
        <v>7165</v>
      </c>
      <c r="M79" s="1" t="s">
        <v>248</v>
      </c>
      <c r="N79" t="s">
        <v>5730</v>
      </c>
      <c r="O79" s="1" t="s">
        <v>166</v>
      </c>
      <c r="P79" s="1" t="s">
        <v>250</v>
      </c>
      <c r="Q79" s="11" t="s">
        <v>7208</v>
      </c>
      <c r="R79" s="1">
        <v>3589</v>
      </c>
      <c r="S79" s="1">
        <v>35160</v>
      </c>
      <c r="T79" s="1" t="s">
        <v>960</v>
      </c>
      <c r="U79" s="1">
        <v>9664487</v>
      </c>
      <c r="V79" t="s">
        <v>5731</v>
      </c>
      <c r="W79" t="s">
        <v>5732</v>
      </c>
      <c r="X79" t="s">
        <v>68</v>
      </c>
      <c r="Y79" t="s">
        <v>5733</v>
      </c>
      <c r="Z79" t="s">
        <v>5734</v>
      </c>
      <c r="AA79" t="s">
        <v>5735</v>
      </c>
      <c r="AB79" t="s">
        <v>2905</v>
      </c>
      <c r="AC79" t="s">
        <v>73</v>
      </c>
      <c r="AD79" t="s">
        <v>5736</v>
      </c>
      <c r="AE79" t="s">
        <v>967</v>
      </c>
      <c r="AF79" t="s">
        <v>76</v>
      </c>
      <c r="AG79" t="s">
        <v>77</v>
      </c>
      <c r="AH79" t="s">
        <v>5737</v>
      </c>
      <c r="AI79" t="s">
        <v>5738</v>
      </c>
      <c r="AJ79" t="s">
        <v>5739</v>
      </c>
      <c r="AK79" t="s">
        <v>81</v>
      </c>
      <c r="AL79" t="s">
        <v>82</v>
      </c>
      <c r="AM79" t="s">
        <v>83</v>
      </c>
      <c r="AN79">
        <v>2017</v>
      </c>
      <c r="AO79">
        <v>357710</v>
      </c>
      <c r="AP79">
        <v>5220142</v>
      </c>
      <c r="AQ79">
        <v>85</v>
      </c>
      <c r="AR79" t="s">
        <v>84</v>
      </c>
      <c r="AS79">
        <v>562</v>
      </c>
      <c r="AT79" t="s">
        <v>85</v>
      </c>
      <c r="AU79" t="s">
        <v>86</v>
      </c>
      <c r="AV79">
        <v>562</v>
      </c>
      <c r="AW79" t="s">
        <v>5740</v>
      </c>
      <c r="AX79" t="s">
        <v>88</v>
      </c>
    </row>
    <row r="80" spans="1:54" x14ac:dyDescent="0.2">
      <c r="A80" t="s">
        <v>5696</v>
      </c>
      <c r="B80" t="s">
        <v>5697</v>
      </c>
      <c r="C80" t="s">
        <v>5698</v>
      </c>
      <c r="D80" t="s">
        <v>5699</v>
      </c>
      <c r="E80" t="s">
        <v>5699</v>
      </c>
      <c r="G80" t="s">
        <v>56</v>
      </c>
      <c r="H80" t="s">
        <v>93</v>
      </c>
      <c r="I80" t="s">
        <v>5442</v>
      </c>
      <c r="J80" t="s">
        <v>5443</v>
      </c>
      <c r="K80" t="s">
        <v>7169</v>
      </c>
      <c r="L80" t="s">
        <v>7169</v>
      </c>
      <c r="M80" s="1" t="s">
        <v>3134</v>
      </c>
      <c r="N80" t="s">
        <v>5700</v>
      </c>
      <c r="O80" s="1" t="s">
        <v>144</v>
      </c>
      <c r="P80" s="1" t="s">
        <v>64</v>
      </c>
      <c r="Q80" s="11" t="s">
        <v>7331</v>
      </c>
      <c r="R80" s="1">
        <v>162</v>
      </c>
      <c r="S80" s="1">
        <v>1544</v>
      </c>
      <c r="T80" s="1" t="s">
        <v>169</v>
      </c>
      <c r="U80" s="1">
        <v>9664487</v>
      </c>
      <c r="V80" t="s">
        <v>5701</v>
      </c>
      <c r="W80" t="s">
        <v>5702</v>
      </c>
      <c r="X80" t="s">
        <v>68</v>
      </c>
      <c r="Y80" t="s">
        <v>5703</v>
      </c>
      <c r="Z80" t="s">
        <v>5704</v>
      </c>
      <c r="AA80" t="s">
        <v>5705</v>
      </c>
      <c r="AB80" t="s">
        <v>2905</v>
      </c>
      <c r="AC80" t="s">
        <v>73</v>
      </c>
      <c r="AD80" t="s">
        <v>5706</v>
      </c>
      <c r="AE80" t="s">
        <v>75</v>
      </c>
      <c r="AF80" t="s">
        <v>76</v>
      </c>
      <c r="AG80" t="s">
        <v>77</v>
      </c>
      <c r="AH80" t="s">
        <v>5707</v>
      </c>
      <c r="AI80" t="s">
        <v>156</v>
      </c>
      <c r="AJ80" t="s">
        <v>80</v>
      </c>
      <c r="AK80" t="s">
        <v>81</v>
      </c>
      <c r="AL80" t="s">
        <v>82</v>
      </c>
      <c r="AM80" t="s">
        <v>83</v>
      </c>
      <c r="AN80">
        <v>2017</v>
      </c>
      <c r="AO80">
        <v>189557</v>
      </c>
      <c r="AP80">
        <v>5124305</v>
      </c>
      <c r="AQ80">
        <v>84</v>
      </c>
      <c r="AR80" t="s">
        <v>84</v>
      </c>
      <c r="AS80">
        <v>562</v>
      </c>
      <c r="AT80" t="s">
        <v>85</v>
      </c>
      <c r="AU80" t="s">
        <v>86</v>
      </c>
      <c r="AV80">
        <v>562</v>
      </c>
      <c r="AW80" t="s">
        <v>5708</v>
      </c>
      <c r="AX80" t="s">
        <v>88</v>
      </c>
    </row>
    <row r="81" spans="1:54" x14ac:dyDescent="0.2">
      <c r="A81" t="s">
        <v>5768</v>
      </c>
      <c r="B81" t="s">
        <v>5769</v>
      </c>
      <c r="C81" t="s">
        <v>5759</v>
      </c>
      <c r="D81" t="s">
        <v>5770</v>
      </c>
      <c r="E81" t="s">
        <v>5770</v>
      </c>
      <c r="G81" t="s">
        <v>56</v>
      </c>
      <c r="H81" t="s">
        <v>93</v>
      </c>
      <c r="I81" t="s">
        <v>140</v>
      </c>
      <c r="J81" t="s">
        <v>5745</v>
      </c>
      <c r="K81" t="s">
        <v>7165</v>
      </c>
      <c r="L81" t="s">
        <v>7165</v>
      </c>
      <c r="M81" s="1" t="s">
        <v>4285</v>
      </c>
      <c r="N81" t="s">
        <v>4286</v>
      </c>
      <c r="O81" s="1" t="s">
        <v>3090</v>
      </c>
      <c r="P81" s="1" t="s">
        <v>127</v>
      </c>
      <c r="Q81" s="11" t="s">
        <v>7295</v>
      </c>
      <c r="R81" s="1">
        <v>442</v>
      </c>
      <c r="S81" s="1">
        <v>1629</v>
      </c>
      <c r="T81" s="1" t="s">
        <v>169</v>
      </c>
      <c r="U81" s="1">
        <v>9786539</v>
      </c>
      <c r="V81" t="s">
        <v>5771</v>
      </c>
      <c r="W81" t="s">
        <v>5772</v>
      </c>
      <c r="X81" t="s">
        <v>68</v>
      </c>
      <c r="Y81" t="s">
        <v>5773</v>
      </c>
      <c r="Z81" t="s">
        <v>5774</v>
      </c>
      <c r="AA81" t="s">
        <v>5775</v>
      </c>
      <c r="AB81" t="s">
        <v>2905</v>
      </c>
      <c r="AC81" t="s">
        <v>73</v>
      </c>
      <c r="AD81" t="s">
        <v>5776</v>
      </c>
      <c r="AE81" t="s">
        <v>75</v>
      </c>
      <c r="AF81" t="s">
        <v>76</v>
      </c>
      <c r="AG81" t="s">
        <v>77</v>
      </c>
      <c r="AH81" t="s">
        <v>5777</v>
      </c>
      <c r="AI81" t="s">
        <v>156</v>
      </c>
      <c r="AJ81" t="s">
        <v>80</v>
      </c>
      <c r="AK81" t="s">
        <v>81</v>
      </c>
      <c r="AL81" t="s">
        <v>82</v>
      </c>
      <c r="AM81" t="s">
        <v>83</v>
      </c>
      <c r="AN81">
        <v>2017</v>
      </c>
      <c r="AO81">
        <v>115155</v>
      </c>
      <c r="AP81">
        <v>5012758</v>
      </c>
      <c r="AQ81">
        <v>105</v>
      </c>
      <c r="AR81" t="s">
        <v>84</v>
      </c>
      <c r="AS81">
        <v>562</v>
      </c>
      <c r="AT81" t="s">
        <v>85</v>
      </c>
      <c r="AU81" t="s">
        <v>86</v>
      </c>
      <c r="AV81">
        <v>562</v>
      </c>
      <c r="AW81" t="s">
        <v>5778</v>
      </c>
      <c r="AX81" t="s">
        <v>88</v>
      </c>
      <c r="AZ81" t="s">
        <v>5756</v>
      </c>
      <c r="BA81">
        <v>1</v>
      </c>
    </row>
    <row r="82" spans="1:54" x14ac:dyDescent="0.2">
      <c r="A82" t="s">
        <v>5360</v>
      </c>
      <c r="B82" t="s">
        <v>5361</v>
      </c>
      <c r="C82" t="s">
        <v>5362</v>
      </c>
      <c r="D82" t="s">
        <v>5363</v>
      </c>
      <c r="E82" t="s">
        <v>5363</v>
      </c>
      <c r="G82" t="s">
        <v>56</v>
      </c>
      <c r="H82" t="s">
        <v>93</v>
      </c>
      <c r="I82" t="s">
        <v>5350</v>
      </c>
      <c r="J82" t="s">
        <v>648</v>
      </c>
      <c r="K82" t="s">
        <v>7165</v>
      </c>
      <c r="L82" t="s">
        <v>7165</v>
      </c>
      <c r="M82" s="1" t="s">
        <v>3918</v>
      </c>
      <c r="N82" t="s">
        <v>5364</v>
      </c>
      <c r="O82" s="1" t="s">
        <v>4374</v>
      </c>
      <c r="P82" s="1" t="s">
        <v>3649</v>
      </c>
      <c r="Q82" s="11" t="s">
        <v>7219</v>
      </c>
      <c r="R82" s="1">
        <v>2101</v>
      </c>
      <c r="S82" s="1">
        <v>29895</v>
      </c>
      <c r="T82" s="1" t="s">
        <v>169</v>
      </c>
      <c r="U82" s="1">
        <v>8063273</v>
      </c>
      <c r="V82" t="s">
        <v>5365</v>
      </c>
      <c r="W82" t="s">
        <v>5366</v>
      </c>
      <c r="X82" t="s">
        <v>68</v>
      </c>
      <c r="Y82" t="s">
        <v>5367</v>
      </c>
      <c r="Z82" t="s">
        <v>5368</v>
      </c>
      <c r="AA82" t="s">
        <v>5369</v>
      </c>
      <c r="AB82" t="s">
        <v>2905</v>
      </c>
      <c r="AC82" t="s">
        <v>73</v>
      </c>
      <c r="AD82" t="s">
        <v>5370</v>
      </c>
      <c r="AE82" t="s">
        <v>3927</v>
      </c>
      <c r="AF82" t="s">
        <v>76</v>
      </c>
      <c r="AG82" t="s">
        <v>77</v>
      </c>
      <c r="AH82" t="s">
        <v>5371</v>
      </c>
      <c r="AI82" t="s">
        <v>107</v>
      </c>
      <c r="AJ82" t="s">
        <v>3929</v>
      </c>
      <c r="AK82" t="s">
        <v>81</v>
      </c>
      <c r="AL82" t="s">
        <v>82</v>
      </c>
      <c r="AM82" t="s">
        <v>83</v>
      </c>
      <c r="AN82">
        <v>2016</v>
      </c>
      <c r="AO82">
        <v>389139</v>
      </c>
      <c r="AP82">
        <v>5079825</v>
      </c>
      <c r="AQ82">
        <v>64</v>
      </c>
      <c r="AR82" t="s">
        <v>84</v>
      </c>
      <c r="AS82">
        <v>562</v>
      </c>
      <c r="AT82" t="s">
        <v>85</v>
      </c>
      <c r="AU82" t="s">
        <v>86</v>
      </c>
      <c r="AV82">
        <v>562</v>
      </c>
      <c r="AW82" t="s">
        <v>5372</v>
      </c>
      <c r="AX82" t="s">
        <v>88</v>
      </c>
    </row>
    <row r="83" spans="1:54" x14ac:dyDescent="0.2">
      <c r="A83" t="s">
        <v>5511</v>
      </c>
      <c r="B83" t="s">
        <v>5512</v>
      </c>
      <c r="C83" t="s">
        <v>5476</v>
      </c>
      <c r="D83" t="s">
        <v>5513</v>
      </c>
      <c r="E83" t="s">
        <v>5513</v>
      </c>
      <c r="G83" t="s">
        <v>56</v>
      </c>
      <c r="H83" t="s">
        <v>93</v>
      </c>
      <c r="I83" t="s">
        <v>5478</v>
      </c>
      <c r="J83" t="s">
        <v>5478</v>
      </c>
      <c r="K83" t="s">
        <v>7165</v>
      </c>
      <c r="L83" t="s">
        <v>7165</v>
      </c>
      <c r="M83" s="1" t="s">
        <v>5479</v>
      </c>
      <c r="N83" t="s">
        <v>5480</v>
      </c>
      <c r="O83" s="1" t="s">
        <v>5514</v>
      </c>
      <c r="P83" s="1" t="s">
        <v>3649</v>
      </c>
      <c r="Q83" s="11" t="s">
        <v>7336</v>
      </c>
      <c r="R83" s="1">
        <v>440</v>
      </c>
      <c r="S83" s="1">
        <v>33484</v>
      </c>
      <c r="T83" s="1" t="s">
        <v>3196</v>
      </c>
      <c r="U83" s="1">
        <v>9279459</v>
      </c>
      <c r="V83" t="s">
        <v>5515</v>
      </c>
      <c r="W83" t="s">
        <v>5516</v>
      </c>
      <c r="X83" t="s">
        <v>68</v>
      </c>
      <c r="Y83" t="s">
        <v>5517</v>
      </c>
      <c r="Z83" t="s">
        <v>5518</v>
      </c>
      <c r="AA83" t="s">
        <v>5519</v>
      </c>
      <c r="AB83" t="s">
        <v>4069</v>
      </c>
      <c r="AC83" t="s">
        <v>73</v>
      </c>
      <c r="AD83" t="s">
        <v>5520</v>
      </c>
      <c r="AE83" t="s">
        <v>75</v>
      </c>
      <c r="AF83" t="s">
        <v>76</v>
      </c>
      <c r="AG83" t="s">
        <v>77</v>
      </c>
      <c r="AH83" t="s">
        <v>5488</v>
      </c>
      <c r="AI83" t="s">
        <v>156</v>
      </c>
      <c r="AJ83" t="s">
        <v>80</v>
      </c>
      <c r="AK83" t="s">
        <v>81</v>
      </c>
      <c r="AL83" t="s">
        <v>82</v>
      </c>
      <c r="AM83" t="s">
        <v>83</v>
      </c>
      <c r="AN83">
        <v>2016</v>
      </c>
      <c r="AO83">
        <v>138629</v>
      </c>
      <c r="AP83">
        <v>5038213</v>
      </c>
      <c r="AQ83">
        <v>112</v>
      </c>
      <c r="AR83" t="s">
        <v>84</v>
      </c>
      <c r="AS83">
        <v>562</v>
      </c>
      <c r="AT83" t="s">
        <v>85</v>
      </c>
      <c r="AU83" t="s">
        <v>86</v>
      </c>
      <c r="AV83">
        <v>562</v>
      </c>
      <c r="AW83" t="s">
        <v>5521</v>
      </c>
      <c r="AX83" t="s">
        <v>88</v>
      </c>
      <c r="AZ83" t="s">
        <v>5490</v>
      </c>
      <c r="BA83">
        <v>0</v>
      </c>
    </row>
    <row r="84" spans="1:54" x14ac:dyDescent="0.2">
      <c r="A84" t="s">
        <v>5474</v>
      </c>
      <c r="B84" t="s">
        <v>5475</v>
      </c>
      <c r="C84" t="s">
        <v>5476</v>
      </c>
      <c r="D84" t="s">
        <v>5477</v>
      </c>
      <c r="E84" t="s">
        <v>5477</v>
      </c>
      <c r="G84" t="s">
        <v>56</v>
      </c>
      <c r="H84" t="s">
        <v>93</v>
      </c>
      <c r="I84" t="s">
        <v>5478</v>
      </c>
      <c r="J84" t="s">
        <v>5478</v>
      </c>
      <c r="K84" t="s">
        <v>7165</v>
      </c>
      <c r="L84" t="s">
        <v>7165</v>
      </c>
      <c r="M84" s="1" t="s">
        <v>5479</v>
      </c>
      <c r="N84" t="s">
        <v>5480</v>
      </c>
      <c r="O84" s="1" t="s">
        <v>144</v>
      </c>
      <c r="P84" s="1" t="s">
        <v>3649</v>
      </c>
      <c r="Q84" s="11" t="s">
        <v>7336</v>
      </c>
      <c r="R84" s="1">
        <v>440</v>
      </c>
      <c r="S84" s="1">
        <v>33484</v>
      </c>
      <c r="T84" s="1" t="s">
        <v>3196</v>
      </c>
      <c r="U84" s="1">
        <v>9279459</v>
      </c>
      <c r="V84" t="s">
        <v>5482</v>
      </c>
      <c r="W84" t="s">
        <v>5483</v>
      </c>
      <c r="X84" t="s">
        <v>68</v>
      </c>
      <c r="Y84" t="s">
        <v>5484</v>
      </c>
      <c r="Z84" t="s">
        <v>5485</v>
      </c>
      <c r="AA84" t="s">
        <v>5486</v>
      </c>
      <c r="AB84" t="s">
        <v>4069</v>
      </c>
      <c r="AC84" t="s">
        <v>73</v>
      </c>
      <c r="AD84" t="s">
        <v>5487</v>
      </c>
      <c r="AE84" t="s">
        <v>75</v>
      </c>
      <c r="AF84" t="s">
        <v>76</v>
      </c>
      <c r="AG84" t="s">
        <v>77</v>
      </c>
      <c r="AH84" t="s">
        <v>5488</v>
      </c>
      <c r="AI84" t="s">
        <v>156</v>
      </c>
      <c r="AJ84" t="s">
        <v>80</v>
      </c>
      <c r="AK84" t="s">
        <v>81</v>
      </c>
      <c r="AL84" t="s">
        <v>82</v>
      </c>
      <c r="AM84" t="s">
        <v>83</v>
      </c>
      <c r="AN84">
        <v>2016</v>
      </c>
      <c r="AO84">
        <v>178620</v>
      </c>
      <c r="AP84">
        <v>5025369</v>
      </c>
      <c r="AQ84">
        <v>107</v>
      </c>
      <c r="AR84" t="s">
        <v>84</v>
      </c>
      <c r="AS84">
        <v>562</v>
      </c>
      <c r="AT84" t="s">
        <v>85</v>
      </c>
      <c r="AU84" t="s">
        <v>86</v>
      </c>
      <c r="AV84">
        <v>562</v>
      </c>
      <c r="AW84" t="s">
        <v>5489</v>
      </c>
      <c r="AX84" t="s">
        <v>88</v>
      </c>
      <c r="AZ84" t="s">
        <v>5490</v>
      </c>
      <c r="BA84">
        <v>0</v>
      </c>
    </row>
    <row r="85" spans="1:54" x14ac:dyDescent="0.2">
      <c r="A85" t="s">
        <v>5501</v>
      </c>
      <c r="B85" t="s">
        <v>5502</v>
      </c>
      <c r="C85" t="s">
        <v>5476</v>
      </c>
      <c r="D85" t="s">
        <v>5503</v>
      </c>
      <c r="E85" t="s">
        <v>5503</v>
      </c>
      <c r="G85" t="s">
        <v>56</v>
      </c>
      <c r="H85" t="s">
        <v>93</v>
      </c>
      <c r="I85" t="s">
        <v>5478</v>
      </c>
      <c r="J85" t="s">
        <v>5478</v>
      </c>
      <c r="K85" t="s">
        <v>7165</v>
      </c>
      <c r="L85" t="s">
        <v>7165</v>
      </c>
      <c r="M85" s="1" t="s">
        <v>5479</v>
      </c>
      <c r="N85" t="s">
        <v>5480</v>
      </c>
      <c r="O85" s="1" t="s">
        <v>144</v>
      </c>
      <c r="P85" s="1" t="s">
        <v>3649</v>
      </c>
      <c r="Q85" s="11" t="s">
        <v>7336</v>
      </c>
      <c r="R85" s="1">
        <v>440</v>
      </c>
      <c r="S85" s="1">
        <v>33484</v>
      </c>
      <c r="T85" s="1" t="s">
        <v>3196</v>
      </c>
      <c r="U85" s="1">
        <v>9279459</v>
      </c>
      <c r="V85" t="s">
        <v>5504</v>
      </c>
      <c r="W85" t="s">
        <v>5505</v>
      </c>
      <c r="X85" t="s">
        <v>68</v>
      </c>
      <c r="Y85" t="s">
        <v>5506</v>
      </c>
      <c r="Z85" t="s">
        <v>5507</v>
      </c>
      <c r="AA85" t="s">
        <v>5508</v>
      </c>
      <c r="AB85" t="s">
        <v>4069</v>
      </c>
      <c r="AC85" t="s">
        <v>73</v>
      </c>
      <c r="AD85" t="s">
        <v>5509</v>
      </c>
      <c r="AE85" t="s">
        <v>75</v>
      </c>
      <c r="AF85" t="s">
        <v>76</v>
      </c>
      <c r="AG85" t="s">
        <v>77</v>
      </c>
      <c r="AH85" t="s">
        <v>5488</v>
      </c>
      <c r="AI85" t="s">
        <v>156</v>
      </c>
      <c r="AJ85" t="s">
        <v>80</v>
      </c>
      <c r="AK85" t="s">
        <v>81</v>
      </c>
      <c r="AL85" t="s">
        <v>82</v>
      </c>
      <c r="AM85" t="s">
        <v>83</v>
      </c>
      <c r="AN85">
        <v>2016</v>
      </c>
      <c r="AO85">
        <v>125638</v>
      </c>
      <c r="AP85">
        <v>5036327</v>
      </c>
      <c r="AQ85">
        <v>118</v>
      </c>
      <c r="AR85" t="s">
        <v>84</v>
      </c>
      <c r="AS85">
        <v>562</v>
      </c>
      <c r="AT85" t="s">
        <v>85</v>
      </c>
      <c r="AU85" t="s">
        <v>86</v>
      </c>
      <c r="AV85">
        <v>562</v>
      </c>
      <c r="AW85" t="s">
        <v>5510</v>
      </c>
      <c r="AX85" t="s">
        <v>88</v>
      </c>
      <c r="AZ85" t="s">
        <v>5490</v>
      </c>
      <c r="BA85">
        <v>0</v>
      </c>
    </row>
    <row r="86" spans="1:54" x14ac:dyDescent="0.2">
      <c r="A86" t="s">
        <v>5491</v>
      </c>
      <c r="B86" t="s">
        <v>5492</v>
      </c>
      <c r="C86" t="s">
        <v>5476</v>
      </c>
      <c r="D86" t="s">
        <v>5493</v>
      </c>
      <c r="E86" t="s">
        <v>5493</v>
      </c>
      <c r="G86" t="s">
        <v>56</v>
      </c>
      <c r="H86" t="s">
        <v>93</v>
      </c>
      <c r="I86" t="s">
        <v>5478</v>
      </c>
      <c r="J86" t="s">
        <v>5478</v>
      </c>
      <c r="K86" t="s">
        <v>7165</v>
      </c>
      <c r="L86" t="s">
        <v>7165</v>
      </c>
      <c r="M86" s="1" t="s">
        <v>5479</v>
      </c>
      <c r="N86" t="s">
        <v>5480</v>
      </c>
      <c r="O86" s="1" t="s">
        <v>144</v>
      </c>
      <c r="P86" s="1" t="s">
        <v>3649</v>
      </c>
      <c r="Q86" s="11" t="s">
        <v>7336</v>
      </c>
      <c r="R86" s="1">
        <v>440</v>
      </c>
      <c r="S86" s="1">
        <v>33484</v>
      </c>
      <c r="T86" s="1" t="s">
        <v>3196</v>
      </c>
      <c r="U86" s="1">
        <v>9279459</v>
      </c>
      <c r="V86" t="s">
        <v>5494</v>
      </c>
      <c r="W86" t="s">
        <v>5495</v>
      </c>
      <c r="X86" t="s">
        <v>68</v>
      </c>
      <c r="Y86" t="s">
        <v>5496</v>
      </c>
      <c r="Z86" t="s">
        <v>5497</v>
      </c>
      <c r="AA86" t="s">
        <v>5498</v>
      </c>
      <c r="AB86" t="s">
        <v>4069</v>
      </c>
      <c r="AC86" t="s">
        <v>73</v>
      </c>
      <c r="AD86" t="s">
        <v>5499</v>
      </c>
      <c r="AE86" t="s">
        <v>75</v>
      </c>
      <c r="AF86" t="s">
        <v>76</v>
      </c>
      <c r="AG86" t="s">
        <v>77</v>
      </c>
      <c r="AH86" t="s">
        <v>5488</v>
      </c>
      <c r="AI86" t="s">
        <v>156</v>
      </c>
      <c r="AJ86" t="s">
        <v>80</v>
      </c>
      <c r="AK86" t="s">
        <v>81</v>
      </c>
      <c r="AL86" t="s">
        <v>82</v>
      </c>
      <c r="AM86" t="s">
        <v>83</v>
      </c>
      <c r="AN86">
        <v>2016</v>
      </c>
      <c r="AO86">
        <v>134780</v>
      </c>
      <c r="AP86">
        <v>5030647</v>
      </c>
      <c r="AQ86">
        <v>160</v>
      </c>
      <c r="AR86" t="s">
        <v>84</v>
      </c>
      <c r="AS86">
        <v>562</v>
      </c>
      <c r="AT86" t="s">
        <v>85</v>
      </c>
      <c r="AU86" t="s">
        <v>86</v>
      </c>
      <c r="AV86">
        <v>562</v>
      </c>
      <c r="AW86" t="s">
        <v>5500</v>
      </c>
      <c r="AX86" t="s">
        <v>88</v>
      </c>
      <c r="AZ86" t="s">
        <v>5490</v>
      </c>
      <c r="BA86">
        <v>0</v>
      </c>
    </row>
    <row r="87" spans="1:54" x14ac:dyDescent="0.2">
      <c r="A87" t="s">
        <v>5741</v>
      </c>
      <c r="B87" t="s">
        <v>5742</v>
      </c>
      <c r="C87" t="s">
        <v>5743</v>
      </c>
      <c r="D87" t="s">
        <v>5744</v>
      </c>
      <c r="E87" t="s">
        <v>5744</v>
      </c>
      <c r="G87" t="s">
        <v>56</v>
      </c>
      <c r="H87" t="s">
        <v>93</v>
      </c>
      <c r="I87" t="s">
        <v>140</v>
      </c>
      <c r="J87" t="s">
        <v>5745</v>
      </c>
      <c r="K87" t="s">
        <v>7165</v>
      </c>
      <c r="L87" t="s">
        <v>7165</v>
      </c>
      <c r="M87" s="1" t="s">
        <v>4285</v>
      </c>
      <c r="N87" t="s">
        <v>5746</v>
      </c>
      <c r="O87" s="1" t="s">
        <v>3090</v>
      </c>
      <c r="P87" s="1" t="s">
        <v>127</v>
      </c>
      <c r="Q87" s="11" t="s">
        <v>7320</v>
      </c>
      <c r="R87" s="1">
        <v>442</v>
      </c>
      <c r="S87" s="1">
        <v>1629</v>
      </c>
      <c r="T87" s="1" t="s">
        <v>169</v>
      </c>
      <c r="U87" s="1">
        <v>9786539</v>
      </c>
      <c r="V87" t="s">
        <v>5748</v>
      </c>
      <c r="W87" t="s">
        <v>5749</v>
      </c>
      <c r="X87" t="s">
        <v>68</v>
      </c>
      <c r="Y87" t="s">
        <v>5750</v>
      </c>
      <c r="Z87" t="s">
        <v>5751</v>
      </c>
      <c r="AA87" t="s">
        <v>5752</v>
      </c>
      <c r="AB87" t="s">
        <v>4069</v>
      </c>
      <c r="AC87" t="s">
        <v>73</v>
      </c>
      <c r="AD87" t="s">
        <v>5753</v>
      </c>
      <c r="AE87" t="s">
        <v>75</v>
      </c>
      <c r="AF87" t="s">
        <v>76</v>
      </c>
      <c r="AG87" t="s">
        <v>77</v>
      </c>
      <c r="AH87" t="s">
        <v>5754</v>
      </c>
      <c r="AI87" t="s">
        <v>156</v>
      </c>
      <c r="AJ87" t="s">
        <v>80</v>
      </c>
      <c r="AK87" t="s">
        <v>81</v>
      </c>
      <c r="AL87" t="s">
        <v>82</v>
      </c>
      <c r="AM87" t="s">
        <v>83</v>
      </c>
      <c r="AN87">
        <v>2017</v>
      </c>
      <c r="AO87">
        <v>75692</v>
      </c>
      <c r="AP87">
        <v>5042456</v>
      </c>
      <c r="AQ87">
        <v>164</v>
      </c>
      <c r="AR87" t="s">
        <v>84</v>
      </c>
      <c r="AS87">
        <v>562</v>
      </c>
      <c r="AT87" t="s">
        <v>85</v>
      </c>
      <c r="AU87" t="s">
        <v>86</v>
      </c>
      <c r="AV87">
        <v>562</v>
      </c>
      <c r="AW87" t="s">
        <v>5755</v>
      </c>
      <c r="AX87" t="s">
        <v>88</v>
      </c>
      <c r="AZ87" t="s">
        <v>5756</v>
      </c>
      <c r="BA87">
        <v>1</v>
      </c>
    </row>
    <row r="88" spans="1:54" x14ac:dyDescent="0.2">
      <c r="A88" t="s">
        <v>6719</v>
      </c>
      <c r="B88" t="s">
        <v>6720</v>
      </c>
      <c r="C88" t="s">
        <v>5968</v>
      </c>
      <c r="D88" t="s">
        <v>6721</v>
      </c>
      <c r="E88" t="s">
        <v>6721</v>
      </c>
      <c r="G88" t="s">
        <v>56</v>
      </c>
      <c r="H88" t="s">
        <v>93</v>
      </c>
      <c r="I88" t="s">
        <v>140</v>
      </c>
      <c r="J88" t="s">
        <v>6709</v>
      </c>
      <c r="K88" t="s">
        <v>7165</v>
      </c>
      <c r="L88" t="s">
        <v>7165</v>
      </c>
      <c r="M88" s="1" t="s">
        <v>183</v>
      </c>
      <c r="N88" t="s">
        <v>6710</v>
      </c>
      <c r="O88" s="1" t="s">
        <v>126</v>
      </c>
      <c r="P88" s="1" t="s">
        <v>185</v>
      </c>
      <c r="Q88" s="11" t="s">
        <v>7210</v>
      </c>
      <c r="R88" s="1">
        <v>33</v>
      </c>
      <c r="S88" s="1">
        <v>1587</v>
      </c>
      <c r="T88" s="1" t="s">
        <v>169</v>
      </c>
      <c r="U88" s="1">
        <v>10286324</v>
      </c>
      <c r="V88" t="s">
        <v>6722</v>
      </c>
      <c r="W88" t="s">
        <v>6723</v>
      </c>
      <c r="X88" t="s">
        <v>68</v>
      </c>
      <c r="Y88" t="s">
        <v>6724</v>
      </c>
      <c r="Z88" t="s">
        <v>6725</v>
      </c>
      <c r="AA88" t="s">
        <v>6726</v>
      </c>
      <c r="AB88" t="s">
        <v>4069</v>
      </c>
      <c r="AC88" t="s">
        <v>73</v>
      </c>
      <c r="AD88" t="s">
        <v>6727</v>
      </c>
      <c r="AF88" t="s">
        <v>76</v>
      </c>
      <c r="AG88" t="s">
        <v>77</v>
      </c>
      <c r="AH88" t="s">
        <v>556</v>
      </c>
      <c r="AI88" t="s">
        <v>156</v>
      </c>
      <c r="AJ88" t="s">
        <v>531</v>
      </c>
      <c r="AK88" t="s">
        <v>532</v>
      </c>
      <c r="AL88" t="s">
        <v>533</v>
      </c>
      <c r="AM88" t="s">
        <v>83</v>
      </c>
      <c r="AN88">
        <v>2017</v>
      </c>
      <c r="AO88">
        <v>84424</v>
      </c>
      <c r="AP88">
        <v>5577166</v>
      </c>
      <c r="AQ88">
        <v>378</v>
      </c>
      <c r="AR88" t="s">
        <v>84</v>
      </c>
      <c r="AS88">
        <v>562</v>
      </c>
      <c r="AT88" t="s">
        <v>85</v>
      </c>
      <c r="AU88" t="s">
        <v>86</v>
      </c>
      <c r="AV88">
        <v>562</v>
      </c>
      <c r="AW88" t="s">
        <v>6728</v>
      </c>
      <c r="AX88" t="s">
        <v>88</v>
      </c>
      <c r="AZ88" t="s">
        <v>535</v>
      </c>
      <c r="BA88">
        <v>0</v>
      </c>
    </row>
    <row r="89" spans="1:54" x14ac:dyDescent="0.2">
      <c r="A89" t="s">
        <v>4060</v>
      </c>
      <c r="B89" t="s">
        <v>4061</v>
      </c>
      <c r="C89" t="s">
        <v>4062</v>
      </c>
      <c r="D89" t="s">
        <v>4063</v>
      </c>
      <c r="E89" t="s">
        <v>4063</v>
      </c>
      <c r="G89" t="s">
        <v>56</v>
      </c>
      <c r="H89" t="s">
        <v>58</v>
      </c>
      <c r="I89" t="s">
        <v>2663</v>
      </c>
      <c r="J89" t="s">
        <v>2663</v>
      </c>
      <c r="K89" t="s">
        <v>7165</v>
      </c>
      <c r="L89" t="s">
        <v>7165</v>
      </c>
      <c r="M89" s="1" t="s">
        <v>603</v>
      </c>
      <c r="N89" t="s">
        <v>649</v>
      </c>
      <c r="O89" s="1" t="s">
        <v>875</v>
      </c>
      <c r="P89" s="1" t="s">
        <v>64</v>
      </c>
      <c r="Q89" s="11" t="s">
        <v>7220</v>
      </c>
      <c r="R89" s="1">
        <v>7021</v>
      </c>
      <c r="S89" s="1">
        <v>2124</v>
      </c>
      <c r="T89" s="1" t="s">
        <v>169</v>
      </c>
      <c r="U89" s="1">
        <v>10664297</v>
      </c>
      <c r="V89" t="s">
        <v>4064</v>
      </c>
      <c r="W89" t="s">
        <v>4065</v>
      </c>
      <c r="X89" t="s">
        <v>68</v>
      </c>
      <c r="Y89" t="s">
        <v>4066</v>
      </c>
      <c r="Z89" t="s">
        <v>4067</v>
      </c>
      <c r="AA89" t="s">
        <v>4068</v>
      </c>
      <c r="AB89" t="s">
        <v>4069</v>
      </c>
      <c r="AC89" t="s">
        <v>73</v>
      </c>
      <c r="AD89" t="s">
        <v>4070</v>
      </c>
      <c r="AE89" t="s">
        <v>75</v>
      </c>
      <c r="AF89" t="s">
        <v>76</v>
      </c>
      <c r="AG89" t="s">
        <v>77</v>
      </c>
      <c r="AH89" t="s">
        <v>1032</v>
      </c>
      <c r="AI89" t="s">
        <v>615</v>
      </c>
      <c r="AJ89" t="s">
        <v>616</v>
      </c>
      <c r="AK89" t="s">
        <v>81</v>
      </c>
      <c r="AL89" t="s">
        <v>82</v>
      </c>
      <c r="AM89" t="s">
        <v>83</v>
      </c>
      <c r="AN89">
        <v>2018</v>
      </c>
      <c r="AO89">
        <v>78036</v>
      </c>
      <c r="AP89">
        <v>5314512</v>
      </c>
      <c r="AQ89">
        <v>236</v>
      </c>
      <c r="AR89" t="s">
        <v>84</v>
      </c>
      <c r="AS89">
        <v>562</v>
      </c>
      <c r="AT89" t="s">
        <v>85</v>
      </c>
      <c r="AU89" t="s">
        <v>86</v>
      </c>
      <c r="AV89">
        <v>562</v>
      </c>
      <c r="AW89" t="s">
        <v>4071</v>
      </c>
      <c r="AX89" t="s">
        <v>88</v>
      </c>
      <c r="AZ89" t="s">
        <v>841</v>
      </c>
      <c r="BA89">
        <v>0</v>
      </c>
      <c r="BB89">
        <v>0</v>
      </c>
    </row>
    <row r="90" spans="1:54" x14ac:dyDescent="0.2">
      <c r="A90" t="s">
        <v>6706</v>
      </c>
      <c r="B90" t="s">
        <v>6707</v>
      </c>
      <c r="C90" t="s">
        <v>5968</v>
      </c>
      <c r="D90" t="s">
        <v>6708</v>
      </c>
      <c r="E90" t="s">
        <v>6708</v>
      </c>
      <c r="G90" t="s">
        <v>56</v>
      </c>
      <c r="H90" t="s">
        <v>93</v>
      </c>
      <c r="I90" t="s">
        <v>140</v>
      </c>
      <c r="J90" t="s">
        <v>6709</v>
      </c>
      <c r="K90" t="s">
        <v>7165</v>
      </c>
      <c r="L90" t="s">
        <v>7165</v>
      </c>
      <c r="M90" s="1" t="s">
        <v>183</v>
      </c>
      <c r="N90" t="s">
        <v>6710</v>
      </c>
      <c r="O90" s="1" t="s">
        <v>126</v>
      </c>
      <c r="P90" s="1" t="s">
        <v>185</v>
      </c>
      <c r="Q90" s="11" t="s">
        <v>7210</v>
      </c>
      <c r="R90" s="1">
        <v>33</v>
      </c>
      <c r="S90" s="1">
        <v>1587</v>
      </c>
      <c r="T90" s="1" t="s">
        <v>169</v>
      </c>
      <c r="U90" s="1">
        <v>10286324</v>
      </c>
      <c r="V90" t="s">
        <v>6711</v>
      </c>
      <c r="W90" t="s">
        <v>6712</v>
      </c>
      <c r="X90" t="s">
        <v>68</v>
      </c>
      <c r="Y90" t="s">
        <v>6713</v>
      </c>
      <c r="Z90" t="s">
        <v>6714</v>
      </c>
      <c r="AA90" t="s">
        <v>6715</v>
      </c>
      <c r="AB90" t="s">
        <v>2479</v>
      </c>
      <c r="AC90" t="s">
        <v>73</v>
      </c>
      <c r="AD90" t="s">
        <v>6716</v>
      </c>
      <c r="AF90" t="s">
        <v>76</v>
      </c>
      <c r="AG90" t="s">
        <v>77</v>
      </c>
      <c r="AH90" t="s">
        <v>6717</v>
      </c>
      <c r="AI90" t="s">
        <v>156</v>
      </c>
      <c r="AJ90" t="s">
        <v>531</v>
      </c>
      <c r="AK90" t="s">
        <v>532</v>
      </c>
      <c r="AL90" t="s">
        <v>533</v>
      </c>
      <c r="AM90" t="s">
        <v>83</v>
      </c>
      <c r="AN90">
        <v>2017</v>
      </c>
      <c r="AO90">
        <v>93576</v>
      </c>
      <c r="AP90">
        <v>5594114</v>
      </c>
      <c r="AQ90">
        <v>345</v>
      </c>
      <c r="AR90" t="s">
        <v>84</v>
      </c>
      <c r="AS90">
        <v>562</v>
      </c>
      <c r="AT90" t="s">
        <v>85</v>
      </c>
      <c r="AU90" t="s">
        <v>86</v>
      </c>
      <c r="AV90">
        <v>562</v>
      </c>
      <c r="AW90" t="s">
        <v>6718</v>
      </c>
      <c r="AX90" t="s">
        <v>88</v>
      </c>
      <c r="AZ90" t="s">
        <v>535</v>
      </c>
      <c r="BA90">
        <v>0</v>
      </c>
    </row>
    <row r="91" spans="1:54" x14ac:dyDescent="0.2">
      <c r="A91" t="s">
        <v>6540</v>
      </c>
      <c r="B91" t="s">
        <v>6541</v>
      </c>
      <c r="C91" t="s">
        <v>6542</v>
      </c>
      <c r="D91" t="s">
        <v>6543</v>
      </c>
      <c r="E91" t="s">
        <v>6543</v>
      </c>
      <c r="G91" t="s">
        <v>56</v>
      </c>
      <c r="H91" t="s">
        <v>58</v>
      </c>
      <c r="I91" t="s">
        <v>1094</v>
      </c>
      <c r="J91" t="s">
        <v>1094</v>
      </c>
      <c r="K91" t="s">
        <v>7165</v>
      </c>
      <c r="L91" t="s">
        <v>7165</v>
      </c>
      <c r="M91" s="1" t="s">
        <v>4838</v>
      </c>
      <c r="N91" t="s">
        <v>604</v>
      </c>
      <c r="O91" s="1" t="s">
        <v>875</v>
      </c>
      <c r="P91" s="1" t="s">
        <v>270</v>
      </c>
      <c r="Q91" s="11" t="s">
        <v>7339</v>
      </c>
      <c r="R91" s="1">
        <v>2966</v>
      </c>
      <c r="S91" s="1">
        <v>47909</v>
      </c>
      <c r="T91" s="1" t="s">
        <v>169</v>
      </c>
      <c r="U91" s="1">
        <v>8758949</v>
      </c>
      <c r="V91" t="s">
        <v>6545</v>
      </c>
      <c r="W91" t="s">
        <v>6546</v>
      </c>
      <c r="X91" t="s">
        <v>68</v>
      </c>
      <c r="Y91" t="s">
        <v>6547</v>
      </c>
      <c r="Z91" t="s">
        <v>6548</v>
      </c>
      <c r="AA91" t="s">
        <v>6549</v>
      </c>
      <c r="AB91" t="s">
        <v>2479</v>
      </c>
      <c r="AC91" t="s">
        <v>73</v>
      </c>
      <c r="AD91" t="s">
        <v>6550</v>
      </c>
      <c r="AE91" t="s">
        <v>75</v>
      </c>
      <c r="AF91" t="s">
        <v>76</v>
      </c>
      <c r="AG91" t="s">
        <v>77</v>
      </c>
      <c r="AH91" t="s">
        <v>1265</v>
      </c>
      <c r="AI91" t="s">
        <v>615</v>
      </c>
      <c r="AJ91" t="s">
        <v>616</v>
      </c>
      <c r="AK91" t="s">
        <v>81</v>
      </c>
      <c r="AL91" t="s">
        <v>82</v>
      </c>
      <c r="AM91" t="s">
        <v>83</v>
      </c>
      <c r="AN91">
        <v>2016</v>
      </c>
      <c r="AO91">
        <v>189301</v>
      </c>
      <c r="AP91">
        <v>5356832</v>
      </c>
      <c r="AQ91">
        <v>148</v>
      </c>
      <c r="AR91" t="s">
        <v>84</v>
      </c>
      <c r="AS91">
        <v>562</v>
      </c>
      <c r="AT91" t="s">
        <v>85</v>
      </c>
      <c r="AU91" t="s">
        <v>86</v>
      </c>
      <c r="AV91">
        <v>562</v>
      </c>
      <c r="AW91" t="s">
        <v>6551</v>
      </c>
      <c r="AX91" t="s">
        <v>88</v>
      </c>
    </row>
    <row r="92" spans="1:54" x14ac:dyDescent="0.2">
      <c r="A92" t="s">
        <v>2469</v>
      </c>
      <c r="B92" t="s">
        <v>2470</v>
      </c>
      <c r="C92" t="s">
        <v>2471</v>
      </c>
      <c r="D92" t="s">
        <v>2472</v>
      </c>
      <c r="E92" t="s">
        <v>2472</v>
      </c>
      <c r="G92" t="s">
        <v>56</v>
      </c>
      <c r="H92" t="s">
        <v>58</v>
      </c>
      <c r="I92" t="s">
        <v>2459</v>
      </c>
      <c r="J92" t="s">
        <v>1094</v>
      </c>
      <c r="K92" t="s">
        <v>7165</v>
      </c>
      <c r="L92" t="s">
        <v>7165</v>
      </c>
      <c r="M92" s="1" t="s">
        <v>603</v>
      </c>
      <c r="N92" t="s">
        <v>2473</v>
      </c>
      <c r="O92" s="1" t="s">
        <v>875</v>
      </c>
      <c r="P92" s="1" t="s">
        <v>270</v>
      </c>
      <c r="Q92" s="11" t="s">
        <v>7339</v>
      </c>
      <c r="R92" s="1">
        <v>11</v>
      </c>
      <c r="S92" s="1">
        <v>2124</v>
      </c>
      <c r="T92" s="1" t="s">
        <v>169</v>
      </c>
      <c r="U92" s="1">
        <v>8758949</v>
      </c>
      <c r="V92" t="s">
        <v>2474</v>
      </c>
      <c r="W92" t="s">
        <v>2475</v>
      </c>
      <c r="X92" t="s">
        <v>68</v>
      </c>
      <c r="Y92" t="s">
        <v>2476</v>
      </c>
      <c r="Z92" t="s">
        <v>2477</v>
      </c>
      <c r="AA92" t="s">
        <v>2478</v>
      </c>
      <c r="AB92" t="s">
        <v>2479</v>
      </c>
      <c r="AC92" t="s">
        <v>73</v>
      </c>
      <c r="AD92" t="s">
        <v>2480</v>
      </c>
      <c r="AE92" t="s">
        <v>75</v>
      </c>
      <c r="AF92" t="s">
        <v>76</v>
      </c>
      <c r="AG92" t="s">
        <v>77</v>
      </c>
      <c r="AH92" t="s">
        <v>2481</v>
      </c>
      <c r="AI92" t="s">
        <v>615</v>
      </c>
      <c r="AJ92" t="s">
        <v>616</v>
      </c>
      <c r="AK92" t="s">
        <v>81</v>
      </c>
      <c r="AL92" t="s">
        <v>82</v>
      </c>
      <c r="AM92" t="s">
        <v>83</v>
      </c>
      <c r="AN92">
        <v>2016</v>
      </c>
      <c r="AO92">
        <v>142520</v>
      </c>
      <c r="AP92">
        <v>5338341</v>
      </c>
      <c r="AQ92">
        <v>211</v>
      </c>
      <c r="AR92" t="s">
        <v>84</v>
      </c>
      <c r="AS92">
        <v>562</v>
      </c>
      <c r="AT92" t="s">
        <v>85</v>
      </c>
      <c r="AU92" t="s">
        <v>86</v>
      </c>
      <c r="AV92">
        <v>562</v>
      </c>
      <c r="AW92" t="s">
        <v>2482</v>
      </c>
      <c r="AX92" t="s">
        <v>88</v>
      </c>
    </row>
    <row r="93" spans="1:54" x14ac:dyDescent="0.2">
      <c r="A93" t="s">
        <v>2885</v>
      </c>
      <c r="B93" t="s">
        <v>2886</v>
      </c>
      <c r="C93" t="s">
        <v>2887</v>
      </c>
      <c r="D93" t="s">
        <v>2888</v>
      </c>
      <c r="E93" t="s">
        <v>2888</v>
      </c>
      <c r="G93" t="s">
        <v>56</v>
      </c>
      <c r="H93" t="s">
        <v>58</v>
      </c>
      <c r="I93" t="s">
        <v>2889</v>
      </c>
      <c r="J93" t="s">
        <v>2889</v>
      </c>
      <c r="K93" t="s">
        <v>7165</v>
      </c>
      <c r="L93" t="s">
        <v>7165</v>
      </c>
      <c r="M93" s="1" t="s">
        <v>603</v>
      </c>
      <c r="N93" t="s">
        <v>649</v>
      </c>
      <c r="O93" s="1" t="s">
        <v>605</v>
      </c>
      <c r="P93" s="1" t="s">
        <v>127</v>
      </c>
      <c r="Q93" s="11" t="s">
        <v>7211</v>
      </c>
      <c r="R93" s="1">
        <v>11</v>
      </c>
      <c r="S93" s="1">
        <v>2124</v>
      </c>
      <c r="T93" s="1" t="s">
        <v>169</v>
      </c>
      <c r="U93" s="1">
        <v>10596157</v>
      </c>
      <c r="V93" t="s">
        <v>2890</v>
      </c>
      <c r="W93" t="s">
        <v>2891</v>
      </c>
      <c r="X93" t="s">
        <v>68</v>
      </c>
      <c r="Y93" t="s">
        <v>2892</v>
      </c>
      <c r="Z93" t="s">
        <v>2893</v>
      </c>
      <c r="AA93" t="s">
        <v>2894</v>
      </c>
      <c r="AB93" t="s">
        <v>2479</v>
      </c>
      <c r="AC93" t="s">
        <v>73</v>
      </c>
      <c r="AD93" t="s">
        <v>2895</v>
      </c>
      <c r="AE93" t="s">
        <v>75</v>
      </c>
      <c r="AF93" t="s">
        <v>76</v>
      </c>
      <c r="AG93" t="s">
        <v>77</v>
      </c>
      <c r="AH93" t="s">
        <v>669</v>
      </c>
      <c r="AI93" t="s">
        <v>615</v>
      </c>
      <c r="AJ93" t="s">
        <v>616</v>
      </c>
      <c r="AK93" t="s">
        <v>81</v>
      </c>
      <c r="AL93" t="s">
        <v>82</v>
      </c>
      <c r="AM93" t="s">
        <v>83</v>
      </c>
      <c r="AN93">
        <v>2017</v>
      </c>
      <c r="AO93">
        <v>149173</v>
      </c>
      <c r="AP93">
        <v>5346428</v>
      </c>
      <c r="AQ93">
        <v>274</v>
      </c>
      <c r="AR93" t="s">
        <v>84</v>
      </c>
      <c r="AS93">
        <v>562</v>
      </c>
      <c r="AT93" t="s">
        <v>85</v>
      </c>
      <c r="AU93" t="s">
        <v>86</v>
      </c>
      <c r="AV93">
        <v>562</v>
      </c>
      <c r="AW93" t="s">
        <v>2896</v>
      </c>
      <c r="AX93" t="s">
        <v>88</v>
      </c>
      <c r="AZ93" t="s">
        <v>2873</v>
      </c>
      <c r="BA93">
        <v>0</v>
      </c>
    </row>
    <row r="94" spans="1:54" x14ac:dyDescent="0.2">
      <c r="A94" t="s">
        <v>2929</v>
      </c>
      <c r="B94" t="s">
        <v>2930</v>
      </c>
      <c r="C94" t="s">
        <v>2887</v>
      </c>
      <c r="D94" t="s">
        <v>2931</v>
      </c>
      <c r="E94" t="s">
        <v>2931</v>
      </c>
      <c r="G94" t="s">
        <v>56</v>
      </c>
      <c r="H94" t="s">
        <v>58</v>
      </c>
      <c r="I94" t="s">
        <v>2889</v>
      </c>
      <c r="J94" t="s">
        <v>2889</v>
      </c>
      <c r="K94" t="s">
        <v>7165</v>
      </c>
      <c r="L94" t="s">
        <v>7165</v>
      </c>
      <c r="M94" s="1" t="s">
        <v>603</v>
      </c>
      <c r="N94" t="s">
        <v>649</v>
      </c>
      <c r="O94" s="1" t="s">
        <v>605</v>
      </c>
      <c r="P94" s="1" t="s">
        <v>127</v>
      </c>
      <c r="Q94" s="11" t="s">
        <v>7211</v>
      </c>
      <c r="R94" s="1">
        <v>11</v>
      </c>
      <c r="S94" s="1">
        <v>2124</v>
      </c>
      <c r="T94" s="1" t="s">
        <v>169</v>
      </c>
      <c r="U94" s="1">
        <v>10596157</v>
      </c>
      <c r="V94" t="s">
        <v>2932</v>
      </c>
      <c r="W94" t="s">
        <v>2933</v>
      </c>
      <c r="X94" t="s">
        <v>68</v>
      </c>
      <c r="Y94" t="s">
        <v>2934</v>
      </c>
      <c r="Z94" t="s">
        <v>2935</v>
      </c>
      <c r="AA94" t="s">
        <v>2936</v>
      </c>
      <c r="AB94" t="s">
        <v>2479</v>
      </c>
      <c r="AC94" t="s">
        <v>73</v>
      </c>
      <c r="AD94" t="s">
        <v>2937</v>
      </c>
      <c r="AE94" t="s">
        <v>75</v>
      </c>
      <c r="AF94" t="s">
        <v>76</v>
      </c>
      <c r="AG94" t="s">
        <v>77</v>
      </c>
      <c r="AH94" t="s">
        <v>669</v>
      </c>
      <c r="AI94" t="s">
        <v>615</v>
      </c>
      <c r="AJ94" t="s">
        <v>616</v>
      </c>
      <c r="AK94" t="s">
        <v>81</v>
      </c>
      <c r="AL94" t="s">
        <v>82</v>
      </c>
      <c r="AM94" t="s">
        <v>83</v>
      </c>
      <c r="AN94">
        <v>2017</v>
      </c>
      <c r="AO94">
        <v>104376</v>
      </c>
      <c r="AP94">
        <v>5350312</v>
      </c>
      <c r="AQ94">
        <v>291</v>
      </c>
      <c r="AR94" t="s">
        <v>84</v>
      </c>
      <c r="AS94">
        <v>562</v>
      </c>
      <c r="AT94" t="s">
        <v>85</v>
      </c>
      <c r="AU94" t="s">
        <v>86</v>
      </c>
      <c r="AV94">
        <v>562</v>
      </c>
      <c r="AW94" t="s">
        <v>2938</v>
      </c>
      <c r="AX94" t="s">
        <v>88</v>
      </c>
      <c r="AZ94" t="s">
        <v>2873</v>
      </c>
      <c r="BA94">
        <v>0</v>
      </c>
    </row>
    <row r="95" spans="1:54" x14ac:dyDescent="0.2">
      <c r="A95" t="s">
        <v>2874</v>
      </c>
      <c r="B95" t="s">
        <v>2875</v>
      </c>
      <c r="C95" t="s">
        <v>2876</v>
      </c>
      <c r="D95" t="s">
        <v>2877</v>
      </c>
      <c r="E95" t="s">
        <v>2877</v>
      </c>
      <c r="G95" t="s">
        <v>56</v>
      </c>
      <c r="H95" t="s">
        <v>58</v>
      </c>
      <c r="I95" t="s">
        <v>2459</v>
      </c>
      <c r="J95" t="s">
        <v>2865</v>
      </c>
      <c r="K95" t="s">
        <v>7165</v>
      </c>
      <c r="L95" t="s">
        <v>7165</v>
      </c>
      <c r="M95" s="1" t="s">
        <v>603</v>
      </c>
      <c r="N95" t="s">
        <v>649</v>
      </c>
      <c r="O95" s="1" t="s">
        <v>605</v>
      </c>
      <c r="P95" s="1" t="s">
        <v>127</v>
      </c>
      <c r="Q95" s="11" t="s">
        <v>7194</v>
      </c>
      <c r="R95" s="1">
        <v>7021</v>
      </c>
      <c r="S95" s="1">
        <v>2124</v>
      </c>
      <c r="T95" s="1" t="s">
        <v>169</v>
      </c>
      <c r="U95" s="1">
        <v>10539544</v>
      </c>
      <c r="V95" t="s">
        <v>2878</v>
      </c>
      <c r="W95" t="s">
        <v>2879</v>
      </c>
      <c r="X95" t="s">
        <v>68</v>
      </c>
      <c r="Y95" t="s">
        <v>2880</v>
      </c>
      <c r="Z95" t="s">
        <v>2881</v>
      </c>
      <c r="AA95" t="s">
        <v>2882</v>
      </c>
      <c r="AB95" t="s">
        <v>2479</v>
      </c>
      <c r="AC95" t="s">
        <v>73</v>
      </c>
      <c r="AD95" t="s">
        <v>2883</v>
      </c>
      <c r="AE95" t="s">
        <v>75</v>
      </c>
      <c r="AF95" t="s">
        <v>76</v>
      </c>
      <c r="AG95" t="s">
        <v>77</v>
      </c>
      <c r="AH95" t="s">
        <v>630</v>
      </c>
      <c r="AI95" t="s">
        <v>615</v>
      </c>
      <c r="AJ95" t="s">
        <v>616</v>
      </c>
      <c r="AK95" t="s">
        <v>81</v>
      </c>
      <c r="AL95" t="s">
        <v>82</v>
      </c>
      <c r="AM95" t="s">
        <v>83</v>
      </c>
      <c r="AN95">
        <v>2017</v>
      </c>
      <c r="AO95">
        <v>148116</v>
      </c>
      <c r="AP95">
        <v>5391263</v>
      </c>
      <c r="AQ95">
        <v>185</v>
      </c>
      <c r="AR95" t="s">
        <v>84</v>
      </c>
      <c r="AS95">
        <v>562</v>
      </c>
      <c r="AT95" t="s">
        <v>85</v>
      </c>
      <c r="AU95" t="s">
        <v>86</v>
      </c>
      <c r="AV95">
        <v>562</v>
      </c>
      <c r="AW95" t="s">
        <v>2884</v>
      </c>
      <c r="AX95" t="s">
        <v>88</v>
      </c>
      <c r="AZ95" t="s">
        <v>2873</v>
      </c>
      <c r="BA95">
        <v>0</v>
      </c>
    </row>
    <row r="96" spans="1:54" x14ac:dyDescent="0.2">
      <c r="A96" t="s">
        <v>6870</v>
      </c>
      <c r="B96" t="s">
        <v>6871</v>
      </c>
      <c r="C96" t="s">
        <v>6872</v>
      </c>
      <c r="D96" t="s">
        <v>6873</v>
      </c>
      <c r="E96" t="s">
        <v>6873</v>
      </c>
      <c r="G96" t="s">
        <v>56</v>
      </c>
      <c r="H96" t="s">
        <v>93</v>
      </c>
      <c r="I96" t="s">
        <v>406</v>
      </c>
      <c r="J96" t="s">
        <v>406</v>
      </c>
      <c r="K96" t="s">
        <v>7165</v>
      </c>
      <c r="L96" t="s">
        <v>7172</v>
      </c>
      <c r="M96" s="1" t="s">
        <v>3194</v>
      </c>
      <c r="N96" t="s">
        <v>6874</v>
      </c>
      <c r="O96" s="1" t="s">
        <v>373</v>
      </c>
      <c r="P96" s="1" t="s">
        <v>167</v>
      </c>
      <c r="Q96" s="11" t="s">
        <v>7197</v>
      </c>
      <c r="R96" s="1">
        <v>1817</v>
      </c>
      <c r="S96" s="1">
        <v>61940</v>
      </c>
      <c r="T96" s="1" t="s">
        <v>169</v>
      </c>
      <c r="U96" s="1" t="s">
        <v>6875</v>
      </c>
      <c r="V96" t="s">
        <v>6876</v>
      </c>
      <c r="W96" t="s">
        <v>6877</v>
      </c>
      <c r="X96" t="s">
        <v>68</v>
      </c>
      <c r="Y96" t="s">
        <v>6878</v>
      </c>
      <c r="Z96" t="s">
        <v>6879</v>
      </c>
      <c r="AA96" t="s">
        <v>6880</v>
      </c>
      <c r="AB96" t="s">
        <v>2479</v>
      </c>
      <c r="AC96" t="s">
        <v>73</v>
      </c>
      <c r="AD96" t="s">
        <v>6881</v>
      </c>
      <c r="AE96" t="s">
        <v>75</v>
      </c>
      <c r="AF96" t="s">
        <v>76</v>
      </c>
      <c r="AG96" t="s">
        <v>77</v>
      </c>
      <c r="AH96" t="s">
        <v>425</v>
      </c>
      <c r="AI96" t="s">
        <v>107</v>
      </c>
      <c r="AJ96" t="s">
        <v>80</v>
      </c>
      <c r="AK96" t="s">
        <v>81</v>
      </c>
      <c r="AL96" t="s">
        <v>82</v>
      </c>
      <c r="AM96" t="s">
        <v>83</v>
      </c>
      <c r="AN96">
        <v>2018</v>
      </c>
      <c r="AO96">
        <v>131425</v>
      </c>
      <c r="AP96">
        <v>5145842</v>
      </c>
      <c r="AQ96">
        <v>154</v>
      </c>
      <c r="AR96" t="s">
        <v>84</v>
      </c>
      <c r="AS96">
        <v>562</v>
      </c>
      <c r="AT96" t="s">
        <v>85</v>
      </c>
      <c r="AU96" t="s">
        <v>86</v>
      </c>
      <c r="AV96">
        <v>562</v>
      </c>
      <c r="AW96" t="s">
        <v>6882</v>
      </c>
      <c r="AX96" t="s">
        <v>88</v>
      </c>
      <c r="AZ96" t="s">
        <v>6883</v>
      </c>
      <c r="BA96">
        <v>0</v>
      </c>
    </row>
    <row r="97" spans="1:54" x14ac:dyDescent="0.2">
      <c r="A97" t="s">
        <v>2861</v>
      </c>
      <c r="B97" t="s">
        <v>2862</v>
      </c>
      <c r="C97" t="s">
        <v>2863</v>
      </c>
      <c r="D97" t="s">
        <v>2864</v>
      </c>
      <c r="E97" t="s">
        <v>2864</v>
      </c>
      <c r="G97" t="s">
        <v>56</v>
      </c>
      <c r="H97" t="s">
        <v>58</v>
      </c>
      <c r="I97" t="s">
        <v>2459</v>
      </c>
      <c r="J97" t="s">
        <v>2865</v>
      </c>
      <c r="K97" t="s">
        <v>7165</v>
      </c>
      <c r="L97" t="s">
        <v>7165</v>
      </c>
      <c r="M97" s="1" t="s">
        <v>603</v>
      </c>
      <c r="N97" t="s">
        <v>649</v>
      </c>
      <c r="O97" s="1" t="s">
        <v>605</v>
      </c>
      <c r="P97" s="1" t="s">
        <v>127</v>
      </c>
      <c r="Q97" s="11" t="s">
        <v>7194</v>
      </c>
      <c r="R97" s="1">
        <v>11</v>
      </c>
      <c r="S97" s="1">
        <v>2124</v>
      </c>
      <c r="T97" s="1" t="s">
        <v>169</v>
      </c>
      <c r="U97" s="1">
        <v>10539544</v>
      </c>
      <c r="V97" t="s">
        <v>2866</v>
      </c>
      <c r="W97" t="s">
        <v>2867</v>
      </c>
      <c r="X97" t="s">
        <v>68</v>
      </c>
      <c r="Y97" t="s">
        <v>2868</v>
      </c>
      <c r="Z97" t="s">
        <v>2869</v>
      </c>
      <c r="AA97" t="s">
        <v>2870</v>
      </c>
      <c r="AB97" t="s">
        <v>2479</v>
      </c>
      <c r="AC97" t="s">
        <v>73</v>
      </c>
      <c r="AD97" t="s">
        <v>2871</v>
      </c>
      <c r="AE97" t="s">
        <v>75</v>
      </c>
      <c r="AF97" t="s">
        <v>76</v>
      </c>
      <c r="AG97" t="s">
        <v>77</v>
      </c>
      <c r="AH97" t="s">
        <v>669</v>
      </c>
      <c r="AI97" t="s">
        <v>615</v>
      </c>
      <c r="AJ97" t="s">
        <v>616</v>
      </c>
      <c r="AK97" t="s">
        <v>81</v>
      </c>
      <c r="AL97" t="s">
        <v>82</v>
      </c>
      <c r="AM97" t="s">
        <v>83</v>
      </c>
      <c r="AN97">
        <v>2017</v>
      </c>
      <c r="AO97">
        <v>92110</v>
      </c>
      <c r="AP97">
        <v>5334610</v>
      </c>
      <c r="AQ97">
        <v>292</v>
      </c>
      <c r="AR97" t="s">
        <v>84</v>
      </c>
      <c r="AS97">
        <v>562</v>
      </c>
      <c r="AT97" t="s">
        <v>85</v>
      </c>
      <c r="AU97" t="s">
        <v>86</v>
      </c>
      <c r="AV97">
        <v>562</v>
      </c>
      <c r="AW97" t="s">
        <v>2872</v>
      </c>
      <c r="AX97" t="s">
        <v>88</v>
      </c>
      <c r="AZ97" t="s">
        <v>2873</v>
      </c>
      <c r="BA97">
        <v>1</v>
      </c>
    </row>
    <row r="98" spans="1:54" x14ac:dyDescent="0.2">
      <c r="A98" t="s">
        <v>6729</v>
      </c>
      <c r="B98" t="s">
        <v>6730</v>
      </c>
      <c r="C98" t="s">
        <v>6731</v>
      </c>
      <c r="D98" t="s">
        <v>6732</v>
      </c>
      <c r="E98" t="s">
        <v>6732</v>
      </c>
      <c r="G98" t="s">
        <v>56</v>
      </c>
      <c r="H98" t="s">
        <v>93</v>
      </c>
      <c r="I98" t="s">
        <v>140</v>
      </c>
      <c r="J98" t="s">
        <v>6709</v>
      </c>
      <c r="K98" t="s">
        <v>7165</v>
      </c>
      <c r="L98" t="s">
        <v>7165</v>
      </c>
      <c r="M98" s="1" t="s">
        <v>5551</v>
      </c>
      <c r="N98" t="s">
        <v>6733</v>
      </c>
      <c r="O98" s="1" t="s">
        <v>144</v>
      </c>
      <c r="P98" s="1" t="s">
        <v>64</v>
      </c>
      <c r="Q98" s="11" t="s">
        <v>7231</v>
      </c>
      <c r="R98" s="1">
        <v>329</v>
      </c>
      <c r="S98" s="1">
        <v>42920</v>
      </c>
      <c r="T98" s="1" t="s">
        <v>1055</v>
      </c>
      <c r="U98" s="1">
        <v>10539613</v>
      </c>
      <c r="V98" t="s">
        <v>6734</v>
      </c>
      <c r="W98" t="s">
        <v>6735</v>
      </c>
      <c r="X98" t="s">
        <v>68</v>
      </c>
      <c r="Y98" t="s">
        <v>6736</v>
      </c>
      <c r="Z98" t="s">
        <v>6737</v>
      </c>
      <c r="AA98" t="s">
        <v>6738</v>
      </c>
      <c r="AB98" t="s">
        <v>2858</v>
      </c>
      <c r="AC98" t="s">
        <v>73</v>
      </c>
      <c r="AD98" t="s">
        <v>6739</v>
      </c>
      <c r="AE98" t="s">
        <v>6740</v>
      </c>
      <c r="AF98" t="s">
        <v>76</v>
      </c>
      <c r="AG98" t="s">
        <v>77</v>
      </c>
      <c r="AH98" t="s">
        <v>6741</v>
      </c>
      <c r="AI98" t="s">
        <v>156</v>
      </c>
      <c r="AJ98" t="s">
        <v>6742</v>
      </c>
      <c r="AK98" t="s">
        <v>81</v>
      </c>
      <c r="AL98" t="s">
        <v>82</v>
      </c>
      <c r="AM98" t="s">
        <v>83</v>
      </c>
      <c r="AN98">
        <v>2017</v>
      </c>
      <c r="AO98">
        <v>112254</v>
      </c>
      <c r="AP98">
        <v>5248032</v>
      </c>
      <c r="AQ98">
        <v>165</v>
      </c>
      <c r="AR98" t="s">
        <v>84</v>
      </c>
      <c r="AS98">
        <v>562</v>
      </c>
      <c r="AT98" t="s">
        <v>85</v>
      </c>
      <c r="AU98" t="s">
        <v>86</v>
      </c>
      <c r="AV98">
        <v>562</v>
      </c>
      <c r="AW98" t="s">
        <v>6743</v>
      </c>
      <c r="AX98" t="s">
        <v>88</v>
      </c>
      <c r="AZ98" t="s">
        <v>6744</v>
      </c>
      <c r="BA98">
        <v>34</v>
      </c>
    </row>
    <row r="99" spans="1:54" x14ac:dyDescent="0.2">
      <c r="A99" t="s">
        <v>2849</v>
      </c>
      <c r="B99" t="s">
        <v>2850</v>
      </c>
      <c r="C99" t="s">
        <v>2851</v>
      </c>
      <c r="D99" t="s">
        <v>2852</v>
      </c>
      <c r="E99" t="s">
        <v>2852</v>
      </c>
      <c r="G99" t="s">
        <v>56</v>
      </c>
      <c r="H99" t="s">
        <v>58</v>
      </c>
      <c r="I99" t="s">
        <v>2641</v>
      </c>
      <c r="J99" t="s">
        <v>2814</v>
      </c>
      <c r="K99" t="s">
        <v>7165</v>
      </c>
      <c r="L99" t="s">
        <v>7165</v>
      </c>
      <c r="M99" s="1" t="s">
        <v>603</v>
      </c>
      <c r="N99" t="s">
        <v>649</v>
      </c>
      <c r="O99" s="1" t="s">
        <v>605</v>
      </c>
      <c r="P99" s="1" t="s">
        <v>127</v>
      </c>
      <c r="Q99" s="11" t="s">
        <v>7194</v>
      </c>
      <c r="R99" s="1">
        <v>11</v>
      </c>
      <c r="S99" s="1">
        <v>2124</v>
      </c>
      <c r="T99" s="1" t="s">
        <v>169</v>
      </c>
      <c r="U99" s="1">
        <v>11012484</v>
      </c>
      <c r="V99" t="s">
        <v>2853</v>
      </c>
      <c r="W99" t="s">
        <v>2854</v>
      </c>
      <c r="X99" t="s">
        <v>68</v>
      </c>
      <c r="Y99" t="s">
        <v>2855</v>
      </c>
      <c r="Z99" t="s">
        <v>2856</v>
      </c>
      <c r="AA99" t="s">
        <v>2857</v>
      </c>
      <c r="AB99" t="s">
        <v>2858</v>
      </c>
      <c r="AC99" t="s">
        <v>73</v>
      </c>
      <c r="AD99" t="s">
        <v>2859</v>
      </c>
      <c r="AE99" t="s">
        <v>75</v>
      </c>
      <c r="AF99" t="s">
        <v>76</v>
      </c>
      <c r="AG99" t="s">
        <v>77</v>
      </c>
      <c r="AH99" t="s">
        <v>1359</v>
      </c>
      <c r="AI99" t="s">
        <v>615</v>
      </c>
      <c r="AJ99" t="s">
        <v>616</v>
      </c>
      <c r="AK99" t="s">
        <v>81</v>
      </c>
      <c r="AL99" t="s">
        <v>82</v>
      </c>
      <c r="AM99" t="s">
        <v>83</v>
      </c>
      <c r="AN99">
        <v>2017</v>
      </c>
      <c r="AO99">
        <v>131361</v>
      </c>
      <c r="AP99">
        <v>5427158</v>
      </c>
      <c r="AQ99">
        <v>193</v>
      </c>
      <c r="AR99" t="s">
        <v>84</v>
      </c>
      <c r="AS99">
        <v>562</v>
      </c>
      <c r="AT99" t="s">
        <v>85</v>
      </c>
      <c r="AU99" t="s">
        <v>86</v>
      </c>
      <c r="AV99">
        <v>562</v>
      </c>
      <c r="AW99" t="s">
        <v>2860</v>
      </c>
      <c r="AX99" t="s">
        <v>88</v>
      </c>
      <c r="AZ99" t="s">
        <v>1572</v>
      </c>
      <c r="BA99">
        <v>18</v>
      </c>
      <c r="BB99">
        <v>17</v>
      </c>
    </row>
    <row r="100" spans="1:54" x14ac:dyDescent="0.2">
      <c r="A100" t="s">
        <v>6835</v>
      </c>
      <c r="B100" t="s">
        <v>6836</v>
      </c>
      <c r="C100" t="s">
        <v>6820</v>
      </c>
      <c r="D100" t="s">
        <v>6837</v>
      </c>
      <c r="E100" t="s">
        <v>6837</v>
      </c>
      <c r="G100" t="s">
        <v>56</v>
      </c>
      <c r="H100" t="s">
        <v>93</v>
      </c>
      <c r="I100" t="s">
        <v>447</v>
      </c>
      <c r="J100" t="s">
        <v>6822</v>
      </c>
      <c r="K100" t="s">
        <v>7165</v>
      </c>
      <c r="L100" t="s">
        <v>7172</v>
      </c>
      <c r="M100" s="1" t="s">
        <v>183</v>
      </c>
      <c r="N100" t="s">
        <v>184</v>
      </c>
      <c r="O100" s="1" t="s">
        <v>126</v>
      </c>
      <c r="P100" s="1" t="s">
        <v>185</v>
      </c>
      <c r="Q100" s="11" t="s">
        <v>7305</v>
      </c>
      <c r="R100" s="1">
        <v>33</v>
      </c>
      <c r="S100" s="1">
        <v>1587</v>
      </c>
      <c r="T100" s="1" t="s">
        <v>169</v>
      </c>
      <c r="U100" s="1" t="s">
        <v>6824</v>
      </c>
      <c r="V100" t="s">
        <v>6839</v>
      </c>
      <c r="W100" t="s">
        <v>6840</v>
      </c>
      <c r="X100" t="s">
        <v>68</v>
      </c>
      <c r="Y100" t="s">
        <v>6841</v>
      </c>
      <c r="Z100" t="s">
        <v>6842</v>
      </c>
      <c r="AA100" t="s">
        <v>6843</v>
      </c>
      <c r="AB100" t="s">
        <v>2858</v>
      </c>
      <c r="AC100" t="s">
        <v>73</v>
      </c>
      <c r="AD100" t="s">
        <v>6844</v>
      </c>
      <c r="AE100" t="s">
        <v>75</v>
      </c>
      <c r="AF100" t="s">
        <v>76</v>
      </c>
      <c r="AG100" t="s">
        <v>77</v>
      </c>
      <c r="AH100" t="s">
        <v>6845</v>
      </c>
      <c r="AI100" t="s">
        <v>156</v>
      </c>
      <c r="AJ100" t="s">
        <v>80</v>
      </c>
      <c r="AK100" t="s">
        <v>81</v>
      </c>
      <c r="AL100" t="s">
        <v>82</v>
      </c>
      <c r="AM100" t="s">
        <v>83</v>
      </c>
      <c r="AN100">
        <v>2018</v>
      </c>
      <c r="AO100">
        <v>84875</v>
      </c>
      <c r="AP100">
        <v>5585865</v>
      </c>
      <c r="AQ100">
        <v>310</v>
      </c>
      <c r="AR100" t="s">
        <v>84</v>
      </c>
      <c r="AS100">
        <v>562</v>
      </c>
      <c r="AT100" t="s">
        <v>85</v>
      </c>
      <c r="AU100" t="s">
        <v>86</v>
      </c>
      <c r="AV100">
        <v>562</v>
      </c>
      <c r="AW100" t="s">
        <v>6846</v>
      </c>
      <c r="AX100" t="s">
        <v>88</v>
      </c>
    </row>
    <row r="101" spans="1:54" x14ac:dyDescent="0.2">
      <c r="A101" t="s">
        <v>6774</v>
      </c>
      <c r="B101" t="s">
        <v>6775</v>
      </c>
      <c r="C101" t="s">
        <v>4256</v>
      </c>
      <c r="D101" t="s">
        <v>6776</v>
      </c>
      <c r="E101" t="s">
        <v>6776</v>
      </c>
      <c r="G101" t="s">
        <v>170</v>
      </c>
      <c r="H101" t="s">
        <v>93</v>
      </c>
      <c r="I101" t="s">
        <v>4258</v>
      </c>
      <c r="J101" t="s">
        <v>4258</v>
      </c>
      <c r="K101" t="s">
        <v>7165</v>
      </c>
      <c r="L101" t="s">
        <v>7165</v>
      </c>
      <c r="M101" s="1" t="s">
        <v>6777</v>
      </c>
      <c r="N101" t="s">
        <v>6778</v>
      </c>
      <c r="O101" s="1" t="s">
        <v>6779</v>
      </c>
      <c r="P101" s="1" t="s">
        <v>169</v>
      </c>
      <c r="Q101" s="11" t="s">
        <v>169</v>
      </c>
      <c r="R101" s="1">
        <v>10</v>
      </c>
      <c r="S101" s="1">
        <v>145605</v>
      </c>
      <c r="T101" s="1" t="s">
        <v>6780</v>
      </c>
      <c r="U101" s="1">
        <v>10838521</v>
      </c>
      <c r="V101" t="s">
        <v>6781</v>
      </c>
      <c r="W101" t="s">
        <v>6782</v>
      </c>
      <c r="X101" t="s">
        <v>68</v>
      </c>
      <c r="Y101" t="s">
        <v>6783</v>
      </c>
      <c r="Z101" s="27" t="s">
        <v>6784</v>
      </c>
      <c r="AA101" t="s">
        <v>6785</v>
      </c>
      <c r="AB101" t="s">
        <v>2858</v>
      </c>
      <c r="AC101" t="s">
        <v>73</v>
      </c>
      <c r="AD101" t="s">
        <v>6786</v>
      </c>
      <c r="AF101" t="s">
        <v>76</v>
      </c>
      <c r="AG101" t="s">
        <v>77</v>
      </c>
      <c r="AH101" t="s">
        <v>6787</v>
      </c>
      <c r="AI101" t="s">
        <v>156</v>
      </c>
      <c r="AJ101" t="s">
        <v>531</v>
      </c>
      <c r="AK101" t="s">
        <v>81</v>
      </c>
      <c r="AL101" t="s">
        <v>82</v>
      </c>
      <c r="AM101" t="s">
        <v>83</v>
      </c>
      <c r="AN101">
        <v>2018</v>
      </c>
      <c r="AO101">
        <v>160736</v>
      </c>
      <c r="AP101">
        <v>4741944</v>
      </c>
      <c r="AQ101">
        <v>72</v>
      </c>
      <c r="AR101" t="s">
        <v>84</v>
      </c>
      <c r="AS101">
        <v>562</v>
      </c>
      <c r="AT101" t="s">
        <v>85</v>
      </c>
      <c r="AU101" t="s">
        <v>86</v>
      </c>
      <c r="AV101">
        <v>562</v>
      </c>
      <c r="AW101" t="s">
        <v>6788</v>
      </c>
      <c r="AX101" t="s">
        <v>88</v>
      </c>
      <c r="AZ101" t="s">
        <v>6789</v>
      </c>
      <c r="BA101">
        <v>31</v>
      </c>
    </row>
    <row r="102" spans="1:54" x14ac:dyDescent="0.2">
      <c r="A102" t="s">
        <v>4231</v>
      </c>
      <c r="B102" t="s">
        <v>4232</v>
      </c>
      <c r="C102" t="s">
        <v>4233</v>
      </c>
      <c r="D102" t="s">
        <v>4234</v>
      </c>
      <c r="E102" t="s">
        <v>4234</v>
      </c>
      <c r="G102" t="s">
        <v>56</v>
      </c>
      <c r="H102" t="s">
        <v>58</v>
      </c>
      <c r="I102" t="s">
        <v>2663</v>
      </c>
      <c r="J102" t="s">
        <v>2663</v>
      </c>
      <c r="K102" t="s">
        <v>7165</v>
      </c>
      <c r="L102" t="s">
        <v>7165</v>
      </c>
      <c r="M102" s="1" t="s">
        <v>603</v>
      </c>
      <c r="N102" t="s">
        <v>649</v>
      </c>
      <c r="O102" s="1" t="s">
        <v>875</v>
      </c>
      <c r="P102" s="1" t="s">
        <v>64</v>
      </c>
      <c r="Q102" s="11" t="s">
        <v>7220</v>
      </c>
      <c r="R102" s="1">
        <v>11</v>
      </c>
      <c r="S102" s="1">
        <v>2124</v>
      </c>
      <c r="T102" s="1" t="s">
        <v>169</v>
      </c>
      <c r="U102" s="1">
        <v>10664297</v>
      </c>
      <c r="V102" t="s">
        <v>4235</v>
      </c>
      <c r="W102" t="s">
        <v>4236</v>
      </c>
      <c r="X102" t="s">
        <v>68</v>
      </c>
      <c r="Y102" t="s">
        <v>4237</v>
      </c>
      <c r="Z102" t="s">
        <v>4238</v>
      </c>
      <c r="AA102" t="s">
        <v>4239</v>
      </c>
      <c r="AB102" t="s">
        <v>2858</v>
      </c>
      <c r="AC102" t="s">
        <v>73</v>
      </c>
      <c r="AD102" t="s">
        <v>4240</v>
      </c>
      <c r="AE102" t="s">
        <v>75</v>
      </c>
      <c r="AF102" t="s">
        <v>76</v>
      </c>
      <c r="AG102" t="s">
        <v>77</v>
      </c>
      <c r="AH102" t="s">
        <v>780</v>
      </c>
      <c r="AI102" t="s">
        <v>615</v>
      </c>
      <c r="AJ102" t="s">
        <v>616</v>
      </c>
      <c r="AK102" t="s">
        <v>81</v>
      </c>
      <c r="AL102" t="s">
        <v>82</v>
      </c>
      <c r="AM102" t="s">
        <v>83</v>
      </c>
      <c r="AN102">
        <v>2018</v>
      </c>
      <c r="AO102">
        <v>99554</v>
      </c>
      <c r="AP102">
        <v>5317957</v>
      </c>
      <c r="AQ102">
        <v>206</v>
      </c>
      <c r="AR102" t="s">
        <v>84</v>
      </c>
      <c r="AS102">
        <v>562</v>
      </c>
      <c r="AT102" t="s">
        <v>85</v>
      </c>
      <c r="AU102" t="s">
        <v>86</v>
      </c>
      <c r="AV102">
        <v>562</v>
      </c>
      <c r="AW102" t="s">
        <v>4241</v>
      </c>
      <c r="AX102" t="s">
        <v>88</v>
      </c>
      <c r="AZ102" t="s">
        <v>841</v>
      </c>
      <c r="BA102">
        <v>1</v>
      </c>
      <c r="BB102">
        <v>2</v>
      </c>
    </row>
    <row r="103" spans="1:54" x14ac:dyDescent="0.2">
      <c r="A103" t="s">
        <v>4170</v>
      </c>
      <c r="B103" t="s">
        <v>4171</v>
      </c>
      <c r="C103" t="s">
        <v>4172</v>
      </c>
      <c r="D103" t="s">
        <v>4173</v>
      </c>
      <c r="E103" t="s">
        <v>4173</v>
      </c>
      <c r="G103" t="s">
        <v>56</v>
      </c>
      <c r="H103" t="s">
        <v>58</v>
      </c>
      <c r="I103" t="s">
        <v>2663</v>
      </c>
      <c r="J103" t="s">
        <v>2663</v>
      </c>
      <c r="K103" t="s">
        <v>7165</v>
      </c>
      <c r="L103" t="s">
        <v>7165</v>
      </c>
      <c r="M103" s="1" t="s">
        <v>603</v>
      </c>
      <c r="N103" t="s">
        <v>649</v>
      </c>
      <c r="O103" s="1" t="s">
        <v>875</v>
      </c>
      <c r="P103" s="1" t="s">
        <v>64</v>
      </c>
      <c r="Q103" s="11" t="s">
        <v>7220</v>
      </c>
      <c r="R103" s="1">
        <v>11</v>
      </c>
      <c r="S103" s="1">
        <v>2124</v>
      </c>
      <c r="T103" s="1" t="s">
        <v>169</v>
      </c>
      <c r="U103" s="1">
        <v>10664297</v>
      </c>
      <c r="V103" t="s">
        <v>4174</v>
      </c>
      <c r="W103" t="s">
        <v>4175</v>
      </c>
      <c r="X103" t="s">
        <v>68</v>
      </c>
      <c r="Y103" t="s">
        <v>4176</v>
      </c>
      <c r="Z103" t="s">
        <v>4177</v>
      </c>
      <c r="AA103" t="s">
        <v>4178</v>
      </c>
      <c r="AB103" t="s">
        <v>2858</v>
      </c>
      <c r="AC103" t="s">
        <v>73</v>
      </c>
      <c r="AD103" t="s">
        <v>4179</v>
      </c>
      <c r="AE103" t="s">
        <v>75</v>
      </c>
      <c r="AF103" t="s">
        <v>76</v>
      </c>
      <c r="AG103" t="s">
        <v>77</v>
      </c>
      <c r="AH103" t="s">
        <v>4180</v>
      </c>
      <c r="AI103" t="s">
        <v>615</v>
      </c>
      <c r="AJ103" t="s">
        <v>616</v>
      </c>
      <c r="AK103" t="s">
        <v>81</v>
      </c>
      <c r="AL103" t="s">
        <v>82</v>
      </c>
      <c r="AM103" t="s">
        <v>83</v>
      </c>
      <c r="AN103">
        <v>2018</v>
      </c>
      <c r="AO103">
        <v>90799</v>
      </c>
      <c r="AP103">
        <v>5295366</v>
      </c>
      <c r="AQ103">
        <v>269</v>
      </c>
      <c r="AR103" t="s">
        <v>84</v>
      </c>
      <c r="AS103">
        <v>562</v>
      </c>
      <c r="AT103" t="s">
        <v>85</v>
      </c>
      <c r="AU103" t="s">
        <v>86</v>
      </c>
      <c r="AV103">
        <v>562</v>
      </c>
      <c r="AW103" t="s">
        <v>4181</v>
      </c>
      <c r="AX103" t="s">
        <v>88</v>
      </c>
      <c r="AZ103" t="s">
        <v>841</v>
      </c>
      <c r="BA103">
        <v>0</v>
      </c>
      <c r="BB103">
        <v>0</v>
      </c>
    </row>
    <row r="104" spans="1:54" x14ac:dyDescent="0.2">
      <c r="A104" t="s">
        <v>4159</v>
      </c>
      <c r="B104" t="s">
        <v>4160</v>
      </c>
      <c r="C104" t="s">
        <v>4161</v>
      </c>
      <c r="D104" t="s">
        <v>4162</v>
      </c>
      <c r="E104" t="s">
        <v>4162</v>
      </c>
      <c r="G104" t="s">
        <v>56</v>
      </c>
      <c r="H104" t="s">
        <v>58</v>
      </c>
      <c r="I104" t="s">
        <v>2663</v>
      </c>
      <c r="J104" t="s">
        <v>2663</v>
      </c>
      <c r="K104" t="s">
        <v>7165</v>
      </c>
      <c r="L104" t="s">
        <v>7165</v>
      </c>
      <c r="M104" s="1" t="s">
        <v>603</v>
      </c>
      <c r="N104" t="s">
        <v>649</v>
      </c>
      <c r="O104" s="1" t="s">
        <v>875</v>
      </c>
      <c r="P104" s="1" t="s">
        <v>64</v>
      </c>
      <c r="Q104" s="11" t="s">
        <v>7220</v>
      </c>
      <c r="R104" s="1">
        <v>11</v>
      </c>
      <c r="S104" s="1">
        <v>2124</v>
      </c>
      <c r="T104" s="1" t="s">
        <v>169</v>
      </c>
      <c r="U104" s="1">
        <v>10664297</v>
      </c>
      <c r="V104" t="s">
        <v>4163</v>
      </c>
      <c r="W104" t="s">
        <v>4164</v>
      </c>
      <c r="X104" t="s">
        <v>68</v>
      </c>
      <c r="Y104" t="s">
        <v>4165</v>
      </c>
      <c r="Z104" t="s">
        <v>4166</v>
      </c>
      <c r="AA104" t="s">
        <v>4167</v>
      </c>
      <c r="AB104" t="s">
        <v>2858</v>
      </c>
      <c r="AC104" t="s">
        <v>73</v>
      </c>
      <c r="AD104" t="s">
        <v>4168</v>
      </c>
      <c r="AE104" t="s">
        <v>75</v>
      </c>
      <c r="AF104" t="s">
        <v>76</v>
      </c>
      <c r="AG104" t="s">
        <v>77</v>
      </c>
      <c r="AH104" t="s">
        <v>792</v>
      </c>
      <c r="AI104" t="s">
        <v>615</v>
      </c>
      <c r="AJ104" t="s">
        <v>616</v>
      </c>
      <c r="AK104" t="s">
        <v>81</v>
      </c>
      <c r="AL104" t="s">
        <v>82</v>
      </c>
      <c r="AM104" t="s">
        <v>83</v>
      </c>
      <c r="AN104">
        <v>2018</v>
      </c>
      <c r="AO104">
        <v>116980</v>
      </c>
      <c r="AP104">
        <v>5327247</v>
      </c>
      <c r="AQ104">
        <v>181</v>
      </c>
      <c r="AR104" t="s">
        <v>84</v>
      </c>
      <c r="AS104">
        <v>562</v>
      </c>
      <c r="AT104" t="s">
        <v>85</v>
      </c>
      <c r="AU104" t="s">
        <v>86</v>
      </c>
      <c r="AV104">
        <v>562</v>
      </c>
      <c r="AW104" t="s">
        <v>4169</v>
      </c>
      <c r="AX104" t="s">
        <v>88</v>
      </c>
      <c r="AZ104" t="s">
        <v>841</v>
      </c>
      <c r="BA104">
        <v>0</v>
      </c>
      <c r="BB104">
        <v>1</v>
      </c>
    </row>
    <row r="105" spans="1:54" x14ac:dyDescent="0.2">
      <c r="A105" t="s">
        <v>4135</v>
      </c>
      <c r="B105" t="s">
        <v>4136</v>
      </c>
      <c r="C105" t="s">
        <v>4137</v>
      </c>
      <c r="D105" t="s">
        <v>4138</v>
      </c>
      <c r="E105" t="s">
        <v>4138</v>
      </c>
      <c r="G105" t="s">
        <v>56</v>
      </c>
      <c r="H105" t="s">
        <v>58</v>
      </c>
      <c r="I105" t="s">
        <v>2663</v>
      </c>
      <c r="J105" t="s">
        <v>2663</v>
      </c>
      <c r="K105" t="s">
        <v>7165</v>
      </c>
      <c r="L105" t="s">
        <v>7165</v>
      </c>
      <c r="M105" s="1" t="s">
        <v>603</v>
      </c>
      <c r="N105" t="s">
        <v>649</v>
      </c>
      <c r="O105" s="1" t="s">
        <v>875</v>
      </c>
      <c r="P105" s="1" t="s">
        <v>64</v>
      </c>
      <c r="Q105" s="11" t="s">
        <v>7220</v>
      </c>
      <c r="R105" s="1">
        <v>11</v>
      </c>
      <c r="S105" s="1">
        <v>2124</v>
      </c>
      <c r="T105" s="1" t="s">
        <v>169</v>
      </c>
      <c r="U105" s="1">
        <v>10664297</v>
      </c>
      <c r="V105" t="s">
        <v>4139</v>
      </c>
      <c r="W105" t="s">
        <v>4140</v>
      </c>
      <c r="X105" t="s">
        <v>68</v>
      </c>
      <c r="Y105" t="s">
        <v>4141</v>
      </c>
      <c r="Z105" t="s">
        <v>4142</v>
      </c>
      <c r="AA105" t="s">
        <v>4143</v>
      </c>
      <c r="AB105" t="s">
        <v>4131</v>
      </c>
      <c r="AC105" t="s">
        <v>73</v>
      </c>
      <c r="AD105" t="s">
        <v>4144</v>
      </c>
      <c r="AE105" t="s">
        <v>75</v>
      </c>
      <c r="AF105" t="s">
        <v>76</v>
      </c>
      <c r="AG105" t="s">
        <v>77</v>
      </c>
      <c r="AH105" t="s">
        <v>4108</v>
      </c>
      <c r="AI105" t="s">
        <v>615</v>
      </c>
      <c r="AJ105" t="s">
        <v>616</v>
      </c>
      <c r="AK105" t="s">
        <v>81</v>
      </c>
      <c r="AL105" t="s">
        <v>82</v>
      </c>
      <c r="AM105" t="s">
        <v>83</v>
      </c>
      <c r="AN105">
        <v>2018</v>
      </c>
      <c r="AO105">
        <v>104756</v>
      </c>
      <c r="AP105">
        <v>5291294</v>
      </c>
      <c r="AQ105">
        <v>252</v>
      </c>
      <c r="AR105" t="s">
        <v>84</v>
      </c>
      <c r="AS105">
        <v>562</v>
      </c>
      <c r="AT105" t="s">
        <v>85</v>
      </c>
      <c r="AU105" t="s">
        <v>86</v>
      </c>
      <c r="AV105">
        <v>562</v>
      </c>
      <c r="AW105" t="s">
        <v>4145</v>
      </c>
      <c r="AX105" t="s">
        <v>88</v>
      </c>
      <c r="AZ105" t="s">
        <v>841</v>
      </c>
      <c r="BA105">
        <v>0</v>
      </c>
      <c r="BB105">
        <v>1</v>
      </c>
    </row>
    <row r="106" spans="1:54" x14ac:dyDescent="0.2">
      <c r="A106" t="s">
        <v>4122</v>
      </c>
      <c r="B106" t="s">
        <v>4123</v>
      </c>
      <c r="C106" t="s">
        <v>4124</v>
      </c>
      <c r="D106" t="s">
        <v>4125</v>
      </c>
      <c r="E106" t="s">
        <v>4125</v>
      </c>
      <c r="G106" t="s">
        <v>56</v>
      </c>
      <c r="H106" t="s">
        <v>58</v>
      </c>
      <c r="I106" t="s">
        <v>2663</v>
      </c>
      <c r="J106" t="s">
        <v>2663</v>
      </c>
      <c r="K106" t="s">
        <v>7165</v>
      </c>
      <c r="L106" t="s">
        <v>7165</v>
      </c>
      <c r="M106" s="1" t="s">
        <v>603</v>
      </c>
      <c r="N106" t="s">
        <v>649</v>
      </c>
      <c r="O106" s="1" t="s">
        <v>875</v>
      </c>
      <c r="P106" s="1" t="s">
        <v>64</v>
      </c>
      <c r="Q106" s="11" t="s">
        <v>7220</v>
      </c>
      <c r="R106" s="1">
        <v>11</v>
      </c>
      <c r="S106" s="1">
        <v>2124</v>
      </c>
      <c r="T106" s="1" t="s">
        <v>169</v>
      </c>
      <c r="U106" s="1">
        <v>10664297</v>
      </c>
      <c r="V106" t="s">
        <v>4126</v>
      </c>
      <c r="W106" t="s">
        <v>4127</v>
      </c>
      <c r="X106" t="s">
        <v>68</v>
      </c>
      <c r="Y106" t="s">
        <v>4128</v>
      </c>
      <c r="Z106" t="s">
        <v>4129</v>
      </c>
      <c r="AA106" t="s">
        <v>4130</v>
      </c>
      <c r="AB106" t="s">
        <v>4131</v>
      </c>
      <c r="AC106" t="s">
        <v>73</v>
      </c>
      <c r="AD106" t="s">
        <v>4132</v>
      </c>
      <c r="AE106" t="s">
        <v>75</v>
      </c>
      <c r="AF106" t="s">
        <v>76</v>
      </c>
      <c r="AG106" t="s">
        <v>77</v>
      </c>
      <c r="AH106" t="s">
        <v>4133</v>
      </c>
      <c r="AI106" t="s">
        <v>615</v>
      </c>
      <c r="AJ106" t="s">
        <v>616</v>
      </c>
      <c r="AK106" t="s">
        <v>81</v>
      </c>
      <c r="AL106" t="s">
        <v>82</v>
      </c>
      <c r="AM106" t="s">
        <v>83</v>
      </c>
      <c r="AN106">
        <v>2018</v>
      </c>
      <c r="AO106">
        <v>67473</v>
      </c>
      <c r="AP106">
        <v>5268511</v>
      </c>
      <c r="AQ106">
        <v>309</v>
      </c>
      <c r="AR106" t="s">
        <v>84</v>
      </c>
      <c r="AS106">
        <v>562</v>
      </c>
      <c r="AT106" t="s">
        <v>85</v>
      </c>
      <c r="AU106" t="s">
        <v>86</v>
      </c>
      <c r="AV106">
        <v>562</v>
      </c>
      <c r="AW106" t="s">
        <v>4134</v>
      </c>
      <c r="AX106" t="s">
        <v>88</v>
      </c>
      <c r="AZ106" t="s">
        <v>841</v>
      </c>
      <c r="BA106">
        <v>1</v>
      </c>
      <c r="BB106">
        <v>2</v>
      </c>
    </row>
    <row r="107" spans="1:54" x14ac:dyDescent="0.2">
      <c r="A107" t="s">
        <v>6932</v>
      </c>
      <c r="B107" t="s">
        <v>6933</v>
      </c>
      <c r="C107" t="s">
        <v>6896</v>
      </c>
      <c r="D107" t="s">
        <v>6934</v>
      </c>
      <c r="E107" t="s">
        <v>6934</v>
      </c>
      <c r="G107" t="s">
        <v>56</v>
      </c>
      <c r="H107" t="s">
        <v>58</v>
      </c>
      <c r="I107" t="s">
        <v>3132</v>
      </c>
      <c r="J107" t="s">
        <v>3132</v>
      </c>
      <c r="K107" t="s">
        <v>60</v>
      </c>
      <c r="L107" t="s">
        <v>60</v>
      </c>
      <c r="M107" s="1" t="s">
        <v>6764</v>
      </c>
      <c r="N107" t="s">
        <v>6912</v>
      </c>
      <c r="O107" s="1" t="s">
        <v>4494</v>
      </c>
      <c r="P107" s="1" t="s">
        <v>250</v>
      </c>
      <c r="Q107" s="11" t="s">
        <v>7327</v>
      </c>
      <c r="R107" s="1">
        <v>343</v>
      </c>
      <c r="S107" s="1">
        <v>29633</v>
      </c>
      <c r="T107" s="1" t="s">
        <v>169</v>
      </c>
      <c r="U107" s="1">
        <v>11077768</v>
      </c>
      <c r="V107" t="s">
        <v>6935</v>
      </c>
      <c r="W107" t="s">
        <v>6936</v>
      </c>
      <c r="X107" t="s">
        <v>68</v>
      </c>
      <c r="Y107" t="s">
        <v>6937</v>
      </c>
      <c r="Z107" t="s">
        <v>6938</v>
      </c>
      <c r="AA107" t="s">
        <v>6939</v>
      </c>
      <c r="AB107" t="s">
        <v>4131</v>
      </c>
      <c r="AC107" t="s">
        <v>73</v>
      </c>
      <c r="AD107" t="s">
        <v>6940</v>
      </c>
      <c r="AE107" t="s">
        <v>75</v>
      </c>
      <c r="AF107" t="s">
        <v>76</v>
      </c>
      <c r="AG107" t="s">
        <v>77</v>
      </c>
      <c r="AH107" t="s">
        <v>6941</v>
      </c>
      <c r="AI107" t="s">
        <v>364</v>
      </c>
      <c r="AJ107" t="s">
        <v>80</v>
      </c>
      <c r="AK107" t="s">
        <v>81</v>
      </c>
      <c r="AL107" t="s">
        <v>82</v>
      </c>
      <c r="AM107" t="s">
        <v>83</v>
      </c>
      <c r="AN107">
        <v>2018</v>
      </c>
      <c r="AO107">
        <v>85743</v>
      </c>
      <c r="AP107">
        <v>5382253</v>
      </c>
      <c r="AQ107">
        <v>270</v>
      </c>
      <c r="AR107" t="s">
        <v>84</v>
      </c>
      <c r="AS107">
        <v>562</v>
      </c>
      <c r="AT107" t="s">
        <v>85</v>
      </c>
      <c r="AU107" t="s">
        <v>86</v>
      </c>
      <c r="AV107">
        <v>562</v>
      </c>
      <c r="AW107" t="s">
        <v>6942</v>
      </c>
      <c r="AX107" t="s">
        <v>88</v>
      </c>
      <c r="AZ107" t="s">
        <v>6908</v>
      </c>
      <c r="BA107">
        <v>0</v>
      </c>
      <c r="BB107">
        <v>35</v>
      </c>
    </row>
    <row r="108" spans="1:54" x14ac:dyDescent="0.2">
      <c r="A108" t="s">
        <v>6909</v>
      </c>
      <c r="B108" t="s">
        <v>6910</v>
      </c>
      <c r="C108" t="s">
        <v>6896</v>
      </c>
      <c r="D108" t="s">
        <v>6911</v>
      </c>
      <c r="E108" t="s">
        <v>6911</v>
      </c>
      <c r="G108" t="s">
        <v>56</v>
      </c>
      <c r="H108" t="s">
        <v>58</v>
      </c>
      <c r="I108" t="s">
        <v>3132</v>
      </c>
      <c r="J108" t="s">
        <v>3132</v>
      </c>
      <c r="K108" t="s">
        <v>60</v>
      </c>
      <c r="L108" t="s">
        <v>60</v>
      </c>
      <c r="M108" s="1" t="s">
        <v>6764</v>
      </c>
      <c r="N108" t="s">
        <v>6912</v>
      </c>
      <c r="O108" s="1" t="s">
        <v>4494</v>
      </c>
      <c r="P108" s="1" t="s">
        <v>250</v>
      </c>
      <c r="Q108" s="11" t="s">
        <v>7327</v>
      </c>
      <c r="R108" s="1">
        <v>343</v>
      </c>
      <c r="S108" s="1">
        <v>29633</v>
      </c>
      <c r="T108" s="1" t="s">
        <v>169</v>
      </c>
      <c r="U108" s="1">
        <v>11077768</v>
      </c>
      <c r="V108" t="s">
        <v>6913</v>
      </c>
      <c r="W108" t="s">
        <v>6914</v>
      </c>
      <c r="X108" t="s">
        <v>68</v>
      </c>
      <c r="Y108" t="s">
        <v>6915</v>
      </c>
      <c r="Z108" t="s">
        <v>6916</v>
      </c>
      <c r="AA108" t="s">
        <v>6917</v>
      </c>
      <c r="AB108" t="s">
        <v>4131</v>
      </c>
      <c r="AC108" t="s">
        <v>73</v>
      </c>
      <c r="AD108" t="s">
        <v>6918</v>
      </c>
      <c r="AE108" t="s">
        <v>75</v>
      </c>
      <c r="AF108" t="s">
        <v>76</v>
      </c>
      <c r="AG108" t="s">
        <v>77</v>
      </c>
      <c r="AH108" t="s">
        <v>6919</v>
      </c>
      <c r="AI108" t="s">
        <v>364</v>
      </c>
      <c r="AJ108" t="s">
        <v>80</v>
      </c>
      <c r="AK108" t="s">
        <v>81</v>
      </c>
      <c r="AL108" t="s">
        <v>82</v>
      </c>
      <c r="AM108" t="s">
        <v>83</v>
      </c>
      <c r="AN108">
        <v>2018</v>
      </c>
      <c r="AO108">
        <v>96308</v>
      </c>
      <c r="AP108">
        <v>5381345</v>
      </c>
      <c r="AQ108">
        <v>302</v>
      </c>
      <c r="AR108" t="s">
        <v>84</v>
      </c>
      <c r="AS108">
        <v>562</v>
      </c>
      <c r="AT108" t="s">
        <v>85</v>
      </c>
      <c r="AU108" t="s">
        <v>86</v>
      </c>
      <c r="AV108">
        <v>562</v>
      </c>
      <c r="AW108" t="s">
        <v>6920</v>
      </c>
      <c r="AX108" t="s">
        <v>88</v>
      </c>
      <c r="AZ108" t="s">
        <v>6908</v>
      </c>
      <c r="BA108">
        <v>0</v>
      </c>
      <c r="BB108">
        <v>35</v>
      </c>
    </row>
    <row r="109" spans="1:54" x14ac:dyDescent="0.2">
      <c r="A109" t="s">
        <v>2783</v>
      </c>
      <c r="B109" t="s">
        <v>2784</v>
      </c>
      <c r="C109" t="s">
        <v>2785</v>
      </c>
      <c r="D109" t="s">
        <v>2786</v>
      </c>
      <c r="E109" t="s">
        <v>2786</v>
      </c>
      <c r="G109" t="s">
        <v>56</v>
      </c>
      <c r="H109" t="s">
        <v>58</v>
      </c>
      <c r="I109" t="s">
        <v>700</v>
      </c>
      <c r="J109" t="s">
        <v>700</v>
      </c>
      <c r="K109" t="s">
        <v>7165</v>
      </c>
      <c r="L109" t="s">
        <v>7165</v>
      </c>
      <c r="M109" s="1" t="s">
        <v>603</v>
      </c>
      <c r="N109" t="s">
        <v>649</v>
      </c>
      <c r="O109" s="1" t="s">
        <v>2787</v>
      </c>
      <c r="P109" s="1" t="s">
        <v>820</v>
      </c>
      <c r="Q109" s="11" t="s">
        <v>7341</v>
      </c>
      <c r="R109" s="1">
        <v>11</v>
      </c>
      <c r="S109" s="1">
        <v>2124</v>
      </c>
      <c r="T109" s="1" t="s">
        <v>169</v>
      </c>
      <c r="U109" s="1">
        <v>11525938</v>
      </c>
      <c r="V109" t="s">
        <v>2788</v>
      </c>
      <c r="W109" t="s">
        <v>2789</v>
      </c>
      <c r="X109" t="s">
        <v>68</v>
      </c>
      <c r="Y109" t="s">
        <v>2790</v>
      </c>
      <c r="Z109" t="s">
        <v>2791</v>
      </c>
      <c r="AA109" t="s">
        <v>2792</v>
      </c>
      <c r="AB109" t="s">
        <v>2793</v>
      </c>
      <c r="AC109" t="s">
        <v>73</v>
      </c>
      <c r="AD109" t="s">
        <v>2794</v>
      </c>
      <c r="AE109" t="s">
        <v>75</v>
      </c>
      <c r="AF109" t="s">
        <v>76</v>
      </c>
      <c r="AG109" t="s">
        <v>77</v>
      </c>
      <c r="AH109" t="s">
        <v>2795</v>
      </c>
      <c r="AI109" t="s">
        <v>615</v>
      </c>
      <c r="AJ109" t="s">
        <v>616</v>
      </c>
      <c r="AK109" t="s">
        <v>81</v>
      </c>
      <c r="AL109" t="s">
        <v>82</v>
      </c>
      <c r="AM109" t="s">
        <v>83</v>
      </c>
      <c r="AN109">
        <v>2017</v>
      </c>
      <c r="AO109">
        <v>48126</v>
      </c>
      <c r="AP109">
        <v>5385357</v>
      </c>
      <c r="AQ109">
        <v>403</v>
      </c>
      <c r="AR109" t="s">
        <v>84</v>
      </c>
      <c r="AS109">
        <v>562</v>
      </c>
      <c r="AT109" t="s">
        <v>85</v>
      </c>
      <c r="AU109" t="s">
        <v>86</v>
      </c>
      <c r="AV109">
        <v>562</v>
      </c>
      <c r="AW109" t="s">
        <v>2796</v>
      </c>
      <c r="AX109" t="s">
        <v>88</v>
      </c>
      <c r="AZ109" t="s">
        <v>2797</v>
      </c>
      <c r="BA109">
        <v>8</v>
      </c>
    </row>
    <row r="110" spans="1:54" x14ac:dyDescent="0.2">
      <c r="A110" t="s">
        <v>6650</v>
      </c>
      <c r="B110" t="s">
        <v>6651</v>
      </c>
      <c r="C110" t="s">
        <v>6639</v>
      </c>
      <c r="D110" t="s">
        <v>6652</v>
      </c>
      <c r="E110" t="s">
        <v>6652</v>
      </c>
      <c r="G110" t="s">
        <v>56</v>
      </c>
      <c r="H110" t="s">
        <v>58</v>
      </c>
      <c r="I110" t="s">
        <v>94</v>
      </c>
      <c r="J110" t="s">
        <v>94</v>
      </c>
      <c r="K110" t="s">
        <v>60</v>
      </c>
      <c r="L110" t="s">
        <v>60</v>
      </c>
      <c r="M110" s="1" t="s">
        <v>61</v>
      </c>
      <c r="N110" t="s">
        <v>6653</v>
      </c>
      <c r="O110" s="1" t="s">
        <v>63</v>
      </c>
      <c r="P110" s="1" t="s">
        <v>64</v>
      </c>
      <c r="Q110" s="11" t="s">
        <v>7231</v>
      </c>
      <c r="R110" s="1">
        <v>655</v>
      </c>
      <c r="S110" s="1">
        <v>1692</v>
      </c>
      <c r="T110" s="1" t="s">
        <v>169</v>
      </c>
      <c r="U110" s="1" t="s">
        <v>170</v>
      </c>
      <c r="V110" t="s">
        <v>6654</v>
      </c>
      <c r="W110" t="s">
        <v>6655</v>
      </c>
      <c r="X110" t="s">
        <v>68</v>
      </c>
      <c r="Y110" t="s">
        <v>6656</v>
      </c>
      <c r="Z110" t="s">
        <v>6657</v>
      </c>
      <c r="AA110" t="s">
        <v>6658</v>
      </c>
      <c r="AB110" t="s">
        <v>5530</v>
      </c>
      <c r="AC110" t="s">
        <v>73</v>
      </c>
      <c r="AD110" t="s">
        <v>6659</v>
      </c>
      <c r="AE110" t="s">
        <v>75</v>
      </c>
      <c r="AF110" t="s">
        <v>76</v>
      </c>
      <c r="AG110" t="s">
        <v>77</v>
      </c>
      <c r="AH110" t="s">
        <v>6660</v>
      </c>
      <c r="AI110" t="s">
        <v>79</v>
      </c>
      <c r="AJ110" t="s">
        <v>80</v>
      </c>
      <c r="AK110" t="s">
        <v>81</v>
      </c>
      <c r="AL110" t="s">
        <v>82</v>
      </c>
      <c r="AM110" t="s">
        <v>83</v>
      </c>
      <c r="AN110">
        <v>2017</v>
      </c>
      <c r="AO110">
        <v>134602</v>
      </c>
      <c r="AP110">
        <v>5227217</v>
      </c>
      <c r="AQ110">
        <v>203</v>
      </c>
      <c r="AR110" t="s">
        <v>84</v>
      </c>
      <c r="AS110">
        <v>562</v>
      </c>
      <c r="AT110" t="s">
        <v>85</v>
      </c>
      <c r="AU110" t="s">
        <v>86</v>
      </c>
      <c r="AV110">
        <v>562</v>
      </c>
      <c r="AW110" t="s">
        <v>6661</v>
      </c>
      <c r="AX110" t="s">
        <v>88</v>
      </c>
      <c r="AZ110" t="s">
        <v>6649</v>
      </c>
      <c r="BA110">
        <v>0</v>
      </c>
      <c r="BB110">
        <v>10</v>
      </c>
    </row>
    <row r="111" spans="1:54" x14ac:dyDescent="0.2">
      <c r="A111" t="s">
        <v>6662</v>
      </c>
      <c r="B111" t="s">
        <v>6663</v>
      </c>
      <c r="C111" t="s">
        <v>6639</v>
      </c>
      <c r="D111" t="s">
        <v>6664</v>
      </c>
      <c r="E111" t="s">
        <v>6664</v>
      </c>
      <c r="G111" t="s">
        <v>56</v>
      </c>
      <c r="H111" t="s">
        <v>58</v>
      </c>
      <c r="I111" t="s">
        <v>94</v>
      </c>
      <c r="J111" t="s">
        <v>94</v>
      </c>
      <c r="K111" t="s">
        <v>60</v>
      </c>
      <c r="L111" t="s">
        <v>60</v>
      </c>
      <c r="M111" s="1" t="s">
        <v>61</v>
      </c>
      <c r="N111" t="s">
        <v>6653</v>
      </c>
      <c r="O111" s="1" t="s">
        <v>63</v>
      </c>
      <c r="P111" s="1" t="s">
        <v>64</v>
      </c>
      <c r="Q111" s="11" t="s">
        <v>7231</v>
      </c>
      <c r="R111" s="1">
        <v>655</v>
      </c>
      <c r="S111" s="1">
        <v>1692</v>
      </c>
      <c r="T111" s="1" t="s">
        <v>169</v>
      </c>
      <c r="U111" s="1" t="s">
        <v>170</v>
      </c>
      <c r="V111" t="s">
        <v>6665</v>
      </c>
      <c r="W111" t="s">
        <v>6666</v>
      </c>
      <c r="X111" t="s">
        <v>68</v>
      </c>
      <c r="Y111" t="s">
        <v>6667</v>
      </c>
      <c r="Z111" t="s">
        <v>6668</v>
      </c>
      <c r="AA111" t="s">
        <v>6669</v>
      </c>
      <c r="AB111" t="s">
        <v>5530</v>
      </c>
      <c r="AC111" t="s">
        <v>73</v>
      </c>
      <c r="AD111" t="s">
        <v>6670</v>
      </c>
      <c r="AE111" t="s">
        <v>75</v>
      </c>
      <c r="AF111" t="s">
        <v>76</v>
      </c>
      <c r="AG111" t="s">
        <v>77</v>
      </c>
      <c r="AH111" t="s">
        <v>6671</v>
      </c>
      <c r="AI111" t="s">
        <v>79</v>
      </c>
      <c r="AJ111" t="s">
        <v>80</v>
      </c>
      <c r="AK111" t="s">
        <v>81</v>
      </c>
      <c r="AL111" t="s">
        <v>82</v>
      </c>
      <c r="AM111" t="s">
        <v>83</v>
      </c>
      <c r="AN111">
        <v>2017</v>
      </c>
      <c r="AO111">
        <v>134602</v>
      </c>
      <c r="AP111">
        <v>5217645</v>
      </c>
      <c r="AQ111">
        <v>234</v>
      </c>
      <c r="AR111" t="s">
        <v>84</v>
      </c>
      <c r="AS111">
        <v>562</v>
      </c>
      <c r="AT111" t="s">
        <v>85</v>
      </c>
      <c r="AU111" t="s">
        <v>86</v>
      </c>
      <c r="AV111">
        <v>562</v>
      </c>
      <c r="AW111" t="s">
        <v>6672</v>
      </c>
      <c r="AX111" t="s">
        <v>88</v>
      </c>
      <c r="AZ111" t="s">
        <v>6649</v>
      </c>
      <c r="BA111">
        <v>0</v>
      </c>
      <c r="BB111">
        <v>10</v>
      </c>
    </row>
    <row r="112" spans="1:54" x14ac:dyDescent="0.2">
      <c r="A112" t="s">
        <v>6673</v>
      </c>
      <c r="B112" t="s">
        <v>6674</v>
      </c>
      <c r="C112" t="s">
        <v>6639</v>
      </c>
      <c r="D112" t="s">
        <v>6675</v>
      </c>
      <c r="E112" t="s">
        <v>6675</v>
      </c>
      <c r="G112" t="s">
        <v>56</v>
      </c>
      <c r="H112" t="s">
        <v>58</v>
      </c>
      <c r="I112" t="s">
        <v>94</v>
      </c>
      <c r="J112" t="s">
        <v>94</v>
      </c>
      <c r="K112" t="s">
        <v>60</v>
      </c>
      <c r="L112" t="s">
        <v>60</v>
      </c>
      <c r="M112" s="1" t="s">
        <v>61</v>
      </c>
      <c r="N112" t="s">
        <v>6653</v>
      </c>
      <c r="O112" s="1" t="s">
        <v>63</v>
      </c>
      <c r="P112" s="1" t="s">
        <v>64</v>
      </c>
      <c r="Q112" s="11" t="s">
        <v>7231</v>
      </c>
      <c r="R112" s="1">
        <v>655</v>
      </c>
      <c r="S112" s="1">
        <v>1692</v>
      </c>
      <c r="T112" s="1" t="s">
        <v>169</v>
      </c>
      <c r="U112" s="1" t="s">
        <v>170</v>
      </c>
      <c r="V112" t="s">
        <v>6676</v>
      </c>
      <c r="W112" t="s">
        <v>6677</v>
      </c>
      <c r="X112" t="s">
        <v>68</v>
      </c>
      <c r="Y112" t="s">
        <v>6678</v>
      </c>
      <c r="Z112" t="s">
        <v>6679</v>
      </c>
      <c r="AA112" t="s">
        <v>6680</v>
      </c>
      <c r="AB112" t="s">
        <v>5530</v>
      </c>
      <c r="AC112" t="s">
        <v>73</v>
      </c>
      <c r="AD112" t="s">
        <v>6681</v>
      </c>
      <c r="AE112" t="s">
        <v>75</v>
      </c>
      <c r="AF112" t="s">
        <v>76</v>
      </c>
      <c r="AG112" t="s">
        <v>77</v>
      </c>
      <c r="AH112" t="s">
        <v>6671</v>
      </c>
      <c r="AI112" t="s">
        <v>79</v>
      </c>
      <c r="AJ112" t="s">
        <v>80</v>
      </c>
      <c r="AK112" t="s">
        <v>81</v>
      </c>
      <c r="AL112" t="s">
        <v>82</v>
      </c>
      <c r="AM112" t="s">
        <v>83</v>
      </c>
      <c r="AN112">
        <v>2017</v>
      </c>
      <c r="AO112">
        <v>136506</v>
      </c>
      <c r="AP112">
        <v>5188219</v>
      </c>
      <c r="AQ112">
        <v>218</v>
      </c>
      <c r="AR112" t="s">
        <v>84</v>
      </c>
      <c r="AS112">
        <v>562</v>
      </c>
      <c r="AT112" t="s">
        <v>85</v>
      </c>
      <c r="AU112" t="s">
        <v>86</v>
      </c>
      <c r="AV112">
        <v>562</v>
      </c>
      <c r="AW112" t="s">
        <v>6682</v>
      </c>
      <c r="AX112" t="s">
        <v>88</v>
      </c>
      <c r="AZ112" t="s">
        <v>6649</v>
      </c>
      <c r="BA112">
        <v>0</v>
      </c>
      <c r="BB112">
        <v>10</v>
      </c>
    </row>
    <row r="113" spans="1:54" x14ac:dyDescent="0.2">
      <c r="A113" t="s">
        <v>6694</v>
      </c>
      <c r="B113" t="s">
        <v>6695</v>
      </c>
      <c r="C113" t="s">
        <v>6696</v>
      </c>
      <c r="D113" t="s">
        <v>6697</v>
      </c>
      <c r="E113" t="s">
        <v>6697</v>
      </c>
      <c r="G113" t="s">
        <v>56</v>
      </c>
      <c r="H113" t="s">
        <v>58</v>
      </c>
      <c r="I113" t="s">
        <v>94</v>
      </c>
      <c r="J113" t="s">
        <v>94</v>
      </c>
      <c r="K113" t="s">
        <v>60</v>
      </c>
      <c r="L113" t="s">
        <v>60</v>
      </c>
      <c r="M113" s="1" t="s">
        <v>61</v>
      </c>
      <c r="N113" t="s">
        <v>62</v>
      </c>
      <c r="O113" s="1" t="s">
        <v>63</v>
      </c>
      <c r="P113" s="1" t="s">
        <v>64</v>
      </c>
      <c r="Q113" s="11" t="s">
        <v>7231</v>
      </c>
      <c r="R113" s="1">
        <v>655</v>
      </c>
      <c r="S113" s="1">
        <v>1692</v>
      </c>
      <c r="T113" s="1" t="s">
        <v>169</v>
      </c>
      <c r="U113" s="1">
        <v>9781446</v>
      </c>
      <c r="V113" t="s">
        <v>6698</v>
      </c>
      <c r="W113" t="s">
        <v>6699</v>
      </c>
      <c r="X113" t="s">
        <v>68</v>
      </c>
      <c r="Y113" t="s">
        <v>6700</v>
      </c>
      <c r="Z113" t="s">
        <v>6701</v>
      </c>
      <c r="AA113" t="s">
        <v>6702</v>
      </c>
      <c r="AB113" t="s">
        <v>5530</v>
      </c>
      <c r="AC113" t="s">
        <v>73</v>
      </c>
      <c r="AD113" t="s">
        <v>6703</v>
      </c>
      <c r="AE113" t="s">
        <v>75</v>
      </c>
      <c r="AF113" t="s">
        <v>76</v>
      </c>
      <c r="AG113" t="s">
        <v>77</v>
      </c>
      <c r="AH113" t="s">
        <v>6704</v>
      </c>
      <c r="AI113" t="s">
        <v>79</v>
      </c>
      <c r="AJ113" t="s">
        <v>80</v>
      </c>
      <c r="AK113" t="s">
        <v>81</v>
      </c>
      <c r="AL113" t="s">
        <v>82</v>
      </c>
      <c r="AM113" t="s">
        <v>83</v>
      </c>
      <c r="AN113">
        <v>2017</v>
      </c>
      <c r="AO113">
        <v>115536</v>
      </c>
      <c r="AP113">
        <v>5197814</v>
      </c>
      <c r="AQ113">
        <v>246</v>
      </c>
      <c r="AR113" t="s">
        <v>84</v>
      </c>
      <c r="AS113">
        <v>562</v>
      </c>
      <c r="AT113" t="s">
        <v>85</v>
      </c>
      <c r="AU113" t="s">
        <v>86</v>
      </c>
      <c r="AV113">
        <v>562</v>
      </c>
      <c r="AW113" t="s">
        <v>6705</v>
      </c>
      <c r="AX113" t="s">
        <v>88</v>
      </c>
      <c r="AZ113" t="s">
        <v>89</v>
      </c>
      <c r="BA113">
        <v>0</v>
      </c>
      <c r="BB113">
        <v>0</v>
      </c>
    </row>
    <row r="114" spans="1:54" x14ac:dyDescent="0.2">
      <c r="A114" t="s">
        <v>5522</v>
      </c>
      <c r="B114" t="s">
        <v>5523</v>
      </c>
      <c r="C114" t="s">
        <v>5476</v>
      </c>
      <c r="D114" t="s">
        <v>5524</v>
      </c>
      <c r="E114" t="s">
        <v>5524</v>
      </c>
      <c r="G114" t="s">
        <v>56</v>
      </c>
      <c r="H114" t="s">
        <v>93</v>
      </c>
      <c r="I114" t="s">
        <v>5350</v>
      </c>
      <c r="J114" t="s">
        <v>5478</v>
      </c>
      <c r="K114" t="s">
        <v>7165</v>
      </c>
      <c r="L114" t="s">
        <v>7165</v>
      </c>
      <c r="M114" s="1" t="s">
        <v>5479</v>
      </c>
      <c r="N114" t="s">
        <v>5480</v>
      </c>
      <c r="O114" s="1" t="s">
        <v>144</v>
      </c>
      <c r="P114" s="1" t="s">
        <v>3649</v>
      </c>
      <c r="Q114" s="11" t="s">
        <v>7336</v>
      </c>
      <c r="R114" s="1">
        <v>440</v>
      </c>
      <c r="S114" s="1">
        <v>33484</v>
      </c>
      <c r="T114" s="1" t="s">
        <v>3196</v>
      </c>
      <c r="U114" s="1">
        <v>9279459</v>
      </c>
      <c r="V114" t="s">
        <v>5525</v>
      </c>
      <c r="W114" t="s">
        <v>5526</v>
      </c>
      <c r="X114" t="s">
        <v>68</v>
      </c>
      <c r="Y114" t="s">
        <v>5527</v>
      </c>
      <c r="Z114" t="s">
        <v>5528</v>
      </c>
      <c r="AA114" t="s">
        <v>5529</v>
      </c>
      <c r="AB114" t="s">
        <v>5530</v>
      </c>
      <c r="AC114" t="s">
        <v>73</v>
      </c>
      <c r="AD114" t="s">
        <v>5531</v>
      </c>
      <c r="AE114" t="s">
        <v>75</v>
      </c>
      <c r="AF114" t="s">
        <v>76</v>
      </c>
      <c r="AG114" t="s">
        <v>77</v>
      </c>
      <c r="AH114" t="s">
        <v>5488</v>
      </c>
      <c r="AI114" t="s">
        <v>156</v>
      </c>
      <c r="AJ114" t="s">
        <v>80</v>
      </c>
      <c r="AK114" t="s">
        <v>81</v>
      </c>
      <c r="AL114" t="s">
        <v>82</v>
      </c>
      <c r="AM114" t="s">
        <v>83</v>
      </c>
      <c r="AN114">
        <v>2017</v>
      </c>
      <c r="AO114">
        <v>132361</v>
      </c>
      <c r="AP114">
        <v>5053930</v>
      </c>
      <c r="AQ114">
        <v>107</v>
      </c>
      <c r="AR114" t="s">
        <v>84</v>
      </c>
      <c r="AS114">
        <v>562</v>
      </c>
      <c r="AT114" t="s">
        <v>85</v>
      </c>
      <c r="AU114" t="s">
        <v>86</v>
      </c>
      <c r="AV114">
        <v>562</v>
      </c>
      <c r="AW114" t="s">
        <v>5532</v>
      </c>
      <c r="AX114" t="s">
        <v>88</v>
      </c>
      <c r="AZ114" t="s">
        <v>5490</v>
      </c>
      <c r="BA114">
        <v>0</v>
      </c>
    </row>
    <row r="115" spans="1:54" x14ac:dyDescent="0.2">
      <c r="A115" t="s">
        <v>5548</v>
      </c>
      <c r="B115" t="s">
        <v>5549</v>
      </c>
      <c r="C115" t="s">
        <v>5535</v>
      </c>
      <c r="D115" t="s">
        <v>5550</v>
      </c>
      <c r="E115" t="s">
        <v>5550</v>
      </c>
      <c r="G115" t="s">
        <v>56</v>
      </c>
      <c r="H115" t="s">
        <v>93</v>
      </c>
      <c r="I115" t="s">
        <v>140</v>
      </c>
      <c r="J115" t="s">
        <v>5537</v>
      </c>
      <c r="K115" t="s">
        <v>7165</v>
      </c>
      <c r="L115" t="s">
        <v>7165</v>
      </c>
      <c r="M115" s="1" t="s">
        <v>5551</v>
      </c>
      <c r="N115" t="s">
        <v>5552</v>
      </c>
      <c r="O115" s="1" t="s">
        <v>144</v>
      </c>
      <c r="P115" s="1" t="s">
        <v>3476</v>
      </c>
      <c r="Q115" s="11" t="s">
        <v>7348</v>
      </c>
      <c r="R115" s="1">
        <v>329</v>
      </c>
      <c r="S115" s="1">
        <v>52150</v>
      </c>
      <c r="T115" s="1" t="s">
        <v>960</v>
      </c>
      <c r="U115" s="1">
        <v>9396677</v>
      </c>
      <c r="V115" t="s">
        <v>5554</v>
      </c>
      <c r="W115" t="s">
        <v>5555</v>
      </c>
      <c r="X115" t="s">
        <v>68</v>
      </c>
      <c r="Y115" t="s">
        <v>5556</v>
      </c>
      <c r="Z115" t="s">
        <v>5557</v>
      </c>
      <c r="AA115" t="s">
        <v>5558</v>
      </c>
      <c r="AB115" t="s">
        <v>5530</v>
      </c>
      <c r="AC115" t="s">
        <v>73</v>
      </c>
      <c r="AD115" t="s">
        <v>5559</v>
      </c>
      <c r="AE115" t="s">
        <v>5560</v>
      </c>
      <c r="AF115" t="s">
        <v>76</v>
      </c>
      <c r="AG115" t="s">
        <v>77</v>
      </c>
      <c r="AH115" t="s">
        <v>5561</v>
      </c>
      <c r="AI115" t="s">
        <v>5562</v>
      </c>
      <c r="AJ115" t="s">
        <v>5563</v>
      </c>
      <c r="AK115" t="s">
        <v>158</v>
      </c>
      <c r="AL115" t="s">
        <v>159</v>
      </c>
      <c r="AM115" t="s">
        <v>83</v>
      </c>
      <c r="AN115">
        <v>2017</v>
      </c>
      <c r="AO115">
        <v>67045</v>
      </c>
      <c r="AP115">
        <v>5331905</v>
      </c>
      <c r="AQ115">
        <v>330</v>
      </c>
      <c r="AR115" t="s">
        <v>84</v>
      </c>
      <c r="AS115">
        <v>562</v>
      </c>
      <c r="AT115" t="s">
        <v>85</v>
      </c>
      <c r="AU115" t="s">
        <v>86</v>
      </c>
      <c r="AV115">
        <v>562</v>
      </c>
      <c r="AW115" t="s">
        <v>5564</v>
      </c>
      <c r="AX115" t="s">
        <v>88</v>
      </c>
    </row>
    <row r="116" spans="1:54" x14ac:dyDescent="0.2">
      <c r="A116" t="s">
        <v>558</v>
      </c>
      <c r="B116" t="s">
        <v>558</v>
      </c>
      <c r="C116" t="s">
        <v>559</v>
      </c>
      <c r="D116" t="s">
        <v>560</v>
      </c>
      <c r="E116" t="s">
        <v>560</v>
      </c>
      <c r="G116" t="s">
        <v>56</v>
      </c>
      <c r="H116" t="s">
        <v>93</v>
      </c>
      <c r="I116" t="s">
        <v>561</v>
      </c>
      <c r="J116" t="s">
        <v>561</v>
      </c>
      <c r="K116" t="s">
        <v>7165</v>
      </c>
      <c r="L116" t="s">
        <v>7165</v>
      </c>
      <c r="M116" s="1" t="s">
        <v>448</v>
      </c>
      <c r="N116" t="s">
        <v>562</v>
      </c>
      <c r="O116" s="1" t="s">
        <v>126</v>
      </c>
      <c r="P116" s="1" t="s">
        <v>434</v>
      </c>
      <c r="Q116" s="11" t="s">
        <v>7307</v>
      </c>
      <c r="R116" s="1">
        <v>4748</v>
      </c>
      <c r="S116" s="1">
        <v>29367</v>
      </c>
      <c r="T116" s="1" t="s">
        <v>169</v>
      </c>
      <c r="U116" s="1">
        <v>10691518</v>
      </c>
      <c r="V116" t="s">
        <v>564</v>
      </c>
      <c r="W116" t="s">
        <v>565</v>
      </c>
      <c r="X116" t="s">
        <v>68</v>
      </c>
      <c r="Y116" t="s">
        <v>566</v>
      </c>
      <c r="Z116" t="s">
        <v>567</v>
      </c>
      <c r="AA116" t="s">
        <v>568</v>
      </c>
      <c r="AB116" t="s">
        <v>152</v>
      </c>
      <c r="AC116" t="s">
        <v>73</v>
      </c>
      <c r="AD116" t="s">
        <v>569</v>
      </c>
      <c r="AE116" t="s">
        <v>75</v>
      </c>
      <c r="AF116" t="s">
        <v>76</v>
      </c>
      <c r="AG116" t="s">
        <v>77</v>
      </c>
      <c r="AH116" t="s">
        <v>570</v>
      </c>
      <c r="AI116" t="s">
        <v>156</v>
      </c>
      <c r="AJ116" t="s">
        <v>80</v>
      </c>
      <c r="AK116" t="s">
        <v>81</v>
      </c>
      <c r="AL116" t="s">
        <v>82</v>
      </c>
      <c r="AM116" t="s">
        <v>83</v>
      </c>
      <c r="AN116">
        <v>2018</v>
      </c>
      <c r="AO116">
        <v>133342</v>
      </c>
      <c r="AP116">
        <v>5486624</v>
      </c>
      <c r="AQ116">
        <v>400</v>
      </c>
      <c r="AR116" t="s">
        <v>84</v>
      </c>
      <c r="AS116">
        <v>562</v>
      </c>
      <c r="AT116" t="s">
        <v>85</v>
      </c>
      <c r="AU116" t="s">
        <v>86</v>
      </c>
      <c r="AV116">
        <v>562</v>
      </c>
      <c r="AW116" t="s">
        <v>571</v>
      </c>
      <c r="AX116" t="s">
        <v>88</v>
      </c>
      <c r="AZ116" t="s">
        <v>572</v>
      </c>
      <c r="BA116">
        <v>2</v>
      </c>
    </row>
    <row r="117" spans="1:54" x14ac:dyDescent="0.2">
      <c r="A117" t="s">
        <v>5685</v>
      </c>
      <c r="B117" t="s">
        <v>5686</v>
      </c>
      <c r="C117" t="s">
        <v>5630</v>
      </c>
      <c r="D117" t="s">
        <v>5687</v>
      </c>
      <c r="E117" t="s">
        <v>5687</v>
      </c>
      <c r="G117" t="s">
        <v>56</v>
      </c>
      <c r="H117" t="s">
        <v>58</v>
      </c>
      <c r="I117" t="s">
        <v>5537</v>
      </c>
      <c r="J117" t="s">
        <v>5537</v>
      </c>
      <c r="K117" t="s">
        <v>7165</v>
      </c>
      <c r="L117" t="s">
        <v>7165</v>
      </c>
      <c r="M117" s="1" t="s">
        <v>3903</v>
      </c>
      <c r="N117" t="s">
        <v>5664</v>
      </c>
      <c r="O117" s="1" t="s">
        <v>166</v>
      </c>
      <c r="P117" s="1" t="s">
        <v>250</v>
      </c>
      <c r="Q117" s="11" t="s">
        <v>7208</v>
      </c>
      <c r="R117" s="1">
        <v>101</v>
      </c>
      <c r="S117" s="1">
        <v>1589</v>
      </c>
      <c r="T117" s="1" t="s">
        <v>5634</v>
      </c>
      <c r="U117" s="1">
        <v>9664487</v>
      </c>
      <c r="V117" t="s">
        <v>5688</v>
      </c>
      <c r="W117" t="s">
        <v>5689</v>
      </c>
      <c r="X117" t="s">
        <v>68</v>
      </c>
      <c r="Y117" t="s">
        <v>5690</v>
      </c>
      <c r="Z117" t="s">
        <v>5691</v>
      </c>
      <c r="AA117" t="s">
        <v>5692</v>
      </c>
      <c r="AB117" t="s">
        <v>152</v>
      </c>
      <c r="AC117" t="s">
        <v>73</v>
      </c>
      <c r="AD117" t="s">
        <v>5693</v>
      </c>
      <c r="AE117" t="s">
        <v>5671</v>
      </c>
      <c r="AF117" t="s">
        <v>76</v>
      </c>
      <c r="AG117" t="s">
        <v>77</v>
      </c>
      <c r="AH117" t="s">
        <v>5694</v>
      </c>
      <c r="AI117" t="s">
        <v>5672</v>
      </c>
      <c r="AJ117" t="s">
        <v>5673</v>
      </c>
      <c r="AK117" t="s">
        <v>158</v>
      </c>
      <c r="AL117" t="s">
        <v>159</v>
      </c>
      <c r="AM117" t="s">
        <v>83</v>
      </c>
      <c r="AN117">
        <v>2017</v>
      </c>
      <c r="AO117">
        <v>151303</v>
      </c>
      <c r="AP117">
        <v>5462718</v>
      </c>
      <c r="AQ117">
        <v>123</v>
      </c>
      <c r="AR117" t="s">
        <v>84</v>
      </c>
      <c r="AS117">
        <v>562</v>
      </c>
      <c r="AT117" t="s">
        <v>85</v>
      </c>
      <c r="AU117" t="s">
        <v>86</v>
      </c>
      <c r="AV117">
        <v>562</v>
      </c>
      <c r="AW117" t="s">
        <v>5695</v>
      </c>
      <c r="AX117" t="s">
        <v>88</v>
      </c>
      <c r="AZ117" t="s">
        <v>5646</v>
      </c>
      <c r="BA117">
        <v>0</v>
      </c>
    </row>
    <row r="118" spans="1:54" x14ac:dyDescent="0.2">
      <c r="A118" t="s">
        <v>5809</v>
      </c>
      <c r="B118" t="s">
        <v>5810</v>
      </c>
      <c r="C118" t="s">
        <v>5811</v>
      </c>
      <c r="D118" t="s">
        <v>5812</v>
      </c>
      <c r="E118" t="s">
        <v>5812</v>
      </c>
      <c r="G118" t="s">
        <v>56</v>
      </c>
      <c r="H118" t="s">
        <v>93</v>
      </c>
      <c r="I118" t="s">
        <v>140</v>
      </c>
      <c r="J118" t="s">
        <v>5745</v>
      </c>
      <c r="K118" t="s">
        <v>7165</v>
      </c>
      <c r="L118" t="s">
        <v>7165</v>
      </c>
      <c r="M118" s="1" t="s">
        <v>4872</v>
      </c>
      <c r="N118" t="s">
        <v>169</v>
      </c>
      <c r="O118" s="1" t="s">
        <v>4374</v>
      </c>
      <c r="P118" s="1" t="s">
        <v>64</v>
      </c>
      <c r="Q118" s="11" t="s">
        <v>7332</v>
      </c>
      <c r="R118" s="1">
        <v>223</v>
      </c>
      <c r="S118" s="1">
        <v>178070</v>
      </c>
      <c r="T118" s="1" t="s">
        <v>169</v>
      </c>
      <c r="U118" s="1">
        <v>9858682</v>
      </c>
      <c r="V118" t="s">
        <v>5814</v>
      </c>
      <c r="W118" t="s">
        <v>5815</v>
      </c>
      <c r="X118" t="s">
        <v>68</v>
      </c>
      <c r="Y118" t="s">
        <v>5816</v>
      </c>
      <c r="Z118" t="s">
        <v>5817</v>
      </c>
      <c r="AA118" t="s">
        <v>5818</v>
      </c>
      <c r="AB118" t="s">
        <v>152</v>
      </c>
      <c r="AC118" t="s">
        <v>73</v>
      </c>
      <c r="AD118" t="s">
        <v>5819</v>
      </c>
      <c r="AF118" t="s">
        <v>76</v>
      </c>
      <c r="AG118" t="s">
        <v>77</v>
      </c>
      <c r="AH118" t="s">
        <v>5820</v>
      </c>
      <c r="AI118" t="s">
        <v>107</v>
      </c>
      <c r="AJ118" t="s">
        <v>531</v>
      </c>
      <c r="AK118" t="s">
        <v>532</v>
      </c>
      <c r="AL118" t="s">
        <v>533</v>
      </c>
      <c r="AM118" t="s">
        <v>83</v>
      </c>
      <c r="AN118">
        <v>2017</v>
      </c>
      <c r="AO118">
        <v>123527</v>
      </c>
      <c r="AP118">
        <v>5042751</v>
      </c>
      <c r="AQ118">
        <v>161</v>
      </c>
      <c r="AR118" t="s">
        <v>84</v>
      </c>
      <c r="AS118">
        <v>562</v>
      </c>
      <c r="AT118" t="s">
        <v>85</v>
      </c>
      <c r="AU118" t="s">
        <v>86</v>
      </c>
      <c r="AV118">
        <v>562</v>
      </c>
      <c r="AW118" t="s">
        <v>5821</v>
      </c>
      <c r="AX118" t="s">
        <v>88</v>
      </c>
    </row>
    <row r="119" spans="1:54" x14ac:dyDescent="0.2">
      <c r="A119" t="s">
        <v>5848</v>
      </c>
      <c r="B119" t="s">
        <v>5849</v>
      </c>
      <c r="C119" t="s">
        <v>5850</v>
      </c>
      <c r="D119" t="s">
        <v>5851</v>
      </c>
      <c r="E119" t="s">
        <v>5851</v>
      </c>
      <c r="G119" t="s">
        <v>56</v>
      </c>
      <c r="H119" t="s">
        <v>93</v>
      </c>
      <c r="I119" t="s">
        <v>140</v>
      </c>
      <c r="J119" t="s">
        <v>5852</v>
      </c>
      <c r="K119" t="s">
        <v>7165</v>
      </c>
      <c r="L119" t="s">
        <v>7165</v>
      </c>
      <c r="M119" s="1" t="s">
        <v>3635</v>
      </c>
      <c r="N119" t="s">
        <v>169</v>
      </c>
      <c r="O119" s="1" t="s">
        <v>126</v>
      </c>
      <c r="P119" s="1" t="s">
        <v>434</v>
      </c>
      <c r="Q119" s="11" t="s">
        <v>7335</v>
      </c>
      <c r="R119" s="1">
        <v>4058</v>
      </c>
      <c r="S119" s="1">
        <v>178073</v>
      </c>
      <c r="T119" s="1" t="s">
        <v>169</v>
      </c>
      <c r="U119" s="1">
        <v>10286324</v>
      </c>
      <c r="V119" t="s">
        <v>5854</v>
      </c>
      <c r="W119" t="s">
        <v>5855</v>
      </c>
      <c r="X119" t="s">
        <v>68</v>
      </c>
      <c r="Y119" t="s">
        <v>5856</v>
      </c>
      <c r="Z119" t="s">
        <v>5857</v>
      </c>
      <c r="AA119" t="s">
        <v>5858</v>
      </c>
      <c r="AB119" t="s">
        <v>152</v>
      </c>
      <c r="AC119" t="s">
        <v>73</v>
      </c>
      <c r="AD119" t="s">
        <v>5859</v>
      </c>
      <c r="AE119" t="s">
        <v>75</v>
      </c>
      <c r="AF119" t="s">
        <v>76</v>
      </c>
      <c r="AG119" t="s">
        <v>77</v>
      </c>
      <c r="AH119" t="s">
        <v>5860</v>
      </c>
      <c r="AI119" t="s">
        <v>156</v>
      </c>
      <c r="AJ119" t="s">
        <v>80</v>
      </c>
      <c r="AK119" t="s">
        <v>81</v>
      </c>
      <c r="AL119" t="s">
        <v>82</v>
      </c>
      <c r="AM119" t="s">
        <v>83</v>
      </c>
      <c r="AN119">
        <v>2017</v>
      </c>
      <c r="AO119">
        <v>147238</v>
      </c>
      <c r="AP119">
        <v>5363835</v>
      </c>
      <c r="AQ119">
        <v>172</v>
      </c>
      <c r="AR119" t="s">
        <v>84</v>
      </c>
      <c r="AS119">
        <v>562</v>
      </c>
      <c r="AT119" t="s">
        <v>85</v>
      </c>
      <c r="AU119" t="s">
        <v>86</v>
      </c>
      <c r="AV119">
        <v>562</v>
      </c>
      <c r="AW119" t="s">
        <v>5861</v>
      </c>
      <c r="AX119" t="s">
        <v>88</v>
      </c>
    </row>
    <row r="120" spans="1:54" x14ac:dyDescent="0.2">
      <c r="A120" t="s">
        <v>137</v>
      </c>
      <c r="B120" t="s">
        <v>137</v>
      </c>
      <c r="C120" t="s">
        <v>138</v>
      </c>
      <c r="D120" t="s">
        <v>139</v>
      </c>
      <c r="E120" t="s">
        <v>139</v>
      </c>
      <c r="G120" t="s">
        <v>56</v>
      </c>
      <c r="H120" t="s">
        <v>93</v>
      </c>
      <c r="I120" t="s">
        <v>140</v>
      </c>
      <c r="J120" t="s">
        <v>141</v>
      </c>
      <c r="K120" t="s">
        <v>7165</v>
      </c>
      <c r="L120" t="s">
        <v>7165</v>
      </c>
      <c r="M120" s="1" t="s">
        <v>142</v>
      </c>
      <c r="N120" t="s">
        <v>143</v>
      </c>
      <c r="O120" s="1" t="s">
        <v>144</v>
      </c>
      <c r="P120" s="1" t="s">
        <v>64</v>
      </c>
      <c r="Q120" s="11" t="s">
        <v>7301</v>
      </c>
      <c r="R120" s="1">
        <v>332</v>
      </c>
      <c r="S120" s="1">
        <v>52369</v>
      </c>
      <c r="T120" s="1" t="s">
        <v>146</v>
      </c>
      <c r="U120" s="1">
        <v>15701181</v>
      </c>
      <c r="V120" t="s">
        <v>147</v>
      </c>
      <c r="W120" t="s">
        <v>148</v>
      </c>
      <c r="X120" t="s">
        <v>68</v>
      </c>
      <c r="Y120" t="s">
        <v>149</v>
      </c>
      <c r="Z120" t="s">
        <v>150</v>
      </c>
      <c r="AA120" t="s">
        <v>151</v>
      </c>
      <c r="AB120" t="s">
        <v>152</v>
      </c>
      <c r="AC120" t="s">
        <v>73</v>
      </c>
      <c r="AD120" t="s">
        <v>153</v>
      </c>
      <c r="AE120" t="s">
        <v>154</v>
      </c>
      <c r="AF120" t="s">
        <v>76</v>
      </c>
      <c r="AG120" t="s">
        <v>77</v>
      </c>
      <c r="AH120" t="s">
        <v>155</v>
      </c>
      <c r="AI120" t="s">
        <v>156</v>
      </c>
      <c r="AJ120" t="s">
        <v>157</v>
      </c>
      <c r="AK120" t="s">
        <v>158</v>
      </c>
      <c r="AL120" t="s">
        <v>159</v>
      </c>
      <c r="AM120" t="s">
        <v>83</v>
      </c>
      <c r="AN120">
        <v>2017</v>
      </c>
      <c r="AO120">
        <v>134508</v>
      </c>
      <c r="AP120">
        <v>5237255</v>
      </c>
      <c r="AQ120">
        <v>193</v>
      </c>
      <c r="AR120" t="s">
        <v>84</v>
      </c>
      <c r="AS120">
        <v>562</v>
      </c>
      <c r="AT120" t="s">
        <v>85</v>
      </c>
      <c r="AU120" t="s">
        <v>86</v>
      </c>
      <c r="AV120">
        <v>562</v>
      </c>
      <c r="AW120" t="s">
        <v>160</v>
      </c>
      <c r="AX120" t="s">
        <v>88</v>
      </c>
    </row>
    <row r="121" spans="1:54" ht="15.75" customHeight="1" x14ac:dyDescent="0.2">
      <c r="A121" t="s">
        <v>179</v>
      </c>
      <c r="B121" t="s">
        <v>179</v>
      </c>
      <c r="C121" t="s">
        <v>180</v>
      </c>
      <c r="D121" t="s">
        <v>181</v>
      </c>
      <c r="E121" t="s">
        <v>181</v>
      </c>
      <c r="G121" t="s">
        <v>56</v>
      </c>
      <c r="H121" t="s">
        <v>93</v>
      </c>
      <c r="I121" t="s">
        <v>140</v>
      </c>
      <c r="J121" t="s">
        <v>182</v>
      </c>
      <c r="K121" t="s">
        <v>7165</v>
      </c>
      <c r="L121" t="s">
        <v>7165</v>
      </c>
      <c r="M121" s="1" t="s">
        <v>183</v>
      </c>
      <c r="N121" t="s">
        <v>184</v>
      </c>
      <c r="O121" s="1" t="s">
        <v>126</v>
      </c>
      <c r="P121" s="1" t="s">
        <v>185</v>
      </c>
      <c r="Q121" s="11" t="s">
        <v>7210</v>
      </c>
      <c r="R121" s="1">
        <v>33</v>
      </c>
      <c r="S121" s="1">
        <v>1587</v>
      </c>
      <c r="T121" s="1" t="s">
        <v>169</v>
      </c>
      <c r="U121" s="1">
        <v>10444065</v>
      </c>
      <c r="V121" t="s">
        <v>187</v>
      </c>
      <c r="W121" t="s">
        <v>188</v>
      </c>
      <c r="X121" t="s">
        <v>68</v>
      </c>
      <c r="Y121" t="s">
        <v>189</v>
      </c>
      <c r="Z121" t="s">
        <v>190</v>
      </c>
      <c r="AA121" t="s">
        <v>191</v>
      </c>
      <c r="AB121" t="s">
        <v>192</v>
      </c>
      <c r="AC121" t="s">
        <v>73</v>
      </c>
      <c r="AD121" t="s">
        <v>193</v>
      </c>
      <c r="AE121" t="s">
        <v>75</v>
      </c>
      <c r="AF121" t="s">
        <v>76</v>
      </c>
      <c r="AG121" t="s">
        <v>77</v>
      </c>
      <c r="AH121" t="s">
        <v>194</v>
      </c>
      <c r="AI121" t="s">
        <v>156</v>
      </c>
      <c r="AJ121" t="s">
        <v>80</v>
      </c>
      <c r="AK121" t="s">
        <v>81</v>
      </c>
      <c r="AL121" t="s">
        <v>82</v>
      </c>
      <c r="AM121" t="s">
        <v>83</v>
      </c>
      <c r="AN121">
        <v>2017</v>
      </c>
      <c r="AO121">
        <v>92714</v>
      </c>
      <c r="AP121">
        <v>5601842</v>
      </c>
      <c r="AQ121">
        <v>370</v>
      </c>
      <c r="AR121" t="s">
        <v>84</v>
      </c>
      <c r="AS121">
        <v>562</v>
      </c>
      <c r="AT121" t="s">
        <v>85</v>
      </c>
      <c r="AU121" t="s">
        <v>86</v>
      </c>
      <c r="AV121">
        <v>562</v>
      </c>
      <c r="AW121" t="s">
        <v>195</v>
      </c>
      <c r="AX121" t="s">
        <v>88</v>
      </c>
    </row>
    <row r="122" spans="1:54" x14ac:dyDescent="0.2">
      <c r="A122" t="s">
        <v>206</v>
      </c>
      <c r="B122" t="s">
        <v>206</v>
      </c>
      <c r="C122" t="s">
        <v>180</v>
      </c>
      <c r="D122" t="s">
        <v>207</v>
      </c>
      <c r="E122" t="s">
        <v>207</v>
      </c>
      <c r="G122" t="s">
        <v>56</v>
      </c>
      <c r="H122" t="s">
        <v>93</v>
      </c>
      <c r="I122" t="s">
        <v>140</v>
      </c>
      <c r="J122" t="s">
        <v>182</v>
      </c>
      <c r="K122" t="s">
        <v>7165</v>
      </c>
      <c r="L122" t="s">
        <v>7165</v>
      </c>
      <c r="M122" s="1" t="s">
        <v>208</v>
      </c>
      <c r="N122" t="s">
        <v>209</v>
      </c>
      <c r="O122" s="1" t="s">
        <v>166</v>
      </c>
      <c r="P122" s="1" t="s">
        <v>167</v>
      </c>
      <c r="Q122" s="11" t="s">
        <v>7201</v>
      </c>
      <c r="R122" s="1">
        <v>675</v>
      </c>
      <c r="S122" s="1">
        <v>14960</v>
      </c>
      <c r="T122" s="1" t="s">
        <v>169</v>
      </c>
      <c r="U122" s="1">
        <v>10444065</v>
      </c>
      <c r="V122" t="s">
        <v>211</v>
      </c>
      <c r="W122" t="s">
        <v>212</v>
      </c>
      <c r="X122" t="s">
        <v>68</v>
      </c>
      <c r="Y122" t="s">
        <v>213</v>
      </c>
      <c r="Z122" t="s">
        <v>214</v>
      </c>
      <c r="AA122" t="s">
        <v>215</v>
      </c>
      <c r="AB122" t="s">
        <v>192</v>
      </c>
      <c r="AC122" t="s">
        <v>73</v>
      </c>
      <c r="AD122" t="s">
        <v>216</v>
      </c>
      <c r="AE122" t="s">
        <v>75</v>
      </c>
      <c r="AF122" t="s">
        <v>76</v>
      </c>
      <c r="AG122" t="s">
        <v>77</v>
      </c>
      <c r="AH122" t="s">
        <v>217</v>
      </c>
      <c r="AI122" t="s">
        <v>156</v>
      </c>
      <c r="AJ122" t="s">
        <v>80</v>
      </c>
      <c r="AK122" t="s">
        <v>81</v>
      </c>
      <c r="AL122" t="s">
        <v>82</v>
      </c>
      <c r="AM122" t="s">
        <v>83</v>
      </c>
      <c r="AN122">
        <v>2017</v>
      </c>
      <c r="AO122">
        <v>168481</v>
      </c>
      <c r="AP122">
        <v>5382874</v>
      </c>
      <c r="AQ122">
        <v>144</v>
      </c>
      <c r="AR122" t="s">
        <v>84</v>
      </c>
      <c r="AS122">
        <v>562</v>
      </c>
      <c r="AT122" t="s">
        <v>85</v>
      </c>
      <c r="AU122" t="s">
        <v>86</v>
      </c>
      <c r="AV122">
        <v>562</v>
      </c>
      <c r="AW122" t="s">
        <v>218</v>
      </c>
      <c r="AX122" t="s">
        <v>88</v>
      </c>
    </row>
    <row r="123" spans="1:54" x14ac:dyDescent="0.2">
      <c r="A123" t="s">
        <v>3039</v>
      </c>
      <c r="B123" t="s">
        <v>3040</v>
      </c>
      <c r="C123" t="s">
        <v>3008</v>
      </c>
      <c r="D123" t="s">
        <v>3041</v>
      </c>
      <c r="E123" t="s">
        <v>3041</v>
      </c>
      <c r="G123" t="s">
        <v>56</v>
      </c>
      <c r="H123" t="s">
        <v>58</v>
      </c>
      <c r="I123" t="s">
        <v>2641</v>
      </c>
      <c r="J123" t="s">
        <v>2889</v>
      </c>
      <c r="K123" t="s">
        <v>7165</v>
      </c>
      <c r="L123" t="s">
        <v>7165</v>
      </c>
      <c r="M123" s="1" t="s">
        <v>603</v>
      </c>
      <c r="N123" t="s">
        <v>649</v>
      </c>
      <c r="O123" s="1" t="s">
        <v>650</v>
      </c>
      <c r="P123" s="1" t="s">
        <v>127</v>
      </c>
      <c r="Q123" s="11" t="s">
        <v>7211</v>
      </c>
      <c r="R123" s="1">
        <v>11</v>
      </c>
      <c r="S123" s="1">
        <v>2124</v>
      </c>
      <c r="T123" s="1" t="s">
        <v>651</v>
      </c>
      <c r="U123" s="1" t="s">
        <v>170</v>
      </c>
      <c r="V123" t="s">
        <v>3042</v>
      </c>
      <c r="W123" t="s">
        <v>3043</v>
      </c>
      <c r="X123" t="s">
        <v>68</v>
      </c>
      <c r="Y123" t="s">
        <v>3044</v>
      </c>
      <c r="Z123" t="s">
        <v>3045</v>
      </c>
      <c r="AA123" t="s">
        <v>3046</v>
      </c>
      <c r="AB123" t="s">
        <v>192</v>
      </c>
      <c r="AC123" t="s">
        <v>73</v>
      </c>
      <c r="AD123" t="s">
        <v>3047</v>
      </c>
      <c r="AE123" t="s">
        <v>75</v>
      </c>
      <c r="AF123" t="s">
        <v>76</v>
      </c>
      <c r="AG123" t="s">
        <v>77</v>
      </c>
      <c r="AH123" t="s">
        <v>3027</v>
      </c>
      <c r="AI123" t="s">
        <v>615</v>
      </c>
      <c r="AJ123" t="s">
        <v>616</v>
      </c>
      <c r="AK123" t="s">
        <v>81</v>
      </c>
      <c r="AL123" t="s">
        <v>82</v>
      </c>
      <c r="AM123" t="s">
        <v>83</v>
      </c>
      <c r="AN123">
        <v>2018</v>
      </c>
      <c r="AO123">
        <v>142522</v>
      </c>
      <c r="AP123">
        <v>5459806</v>
      </c>
      <c r="AQ123">
        <v>225</v>
      </c>
      <c r="AR123" t="s">
        <v>84</v>
      </c>
      <c r="AS123">
        <v>562</v>
      </c>
      <c r="AT123" t="s">
        <v>85</v>
      </c>
      <c r="AU123" t="s">
        <v>86</v>
      </c>
      <c r="AV123">
        <v>562</v>
      </c>
      <c r="AW123" t="s">
        <v>3048</v>
      </c>
      <c r="AX123" t="s">
        <v>88</v>
      </c>
      <c r="AZ123" t="s">
        <v>659</v>
      </c>
      <c r="BA123">
        <v>0</v>
      </c>
      <c r="BB123">
        <v>13</v>
      </c>
    </row>
    <row r="124" spans="1:54" x14ac:dyDescent="0.2">
      <c r="A124" t="s">
        <v>4254</v>
      </c>
      <c r="B124" t="s">
        <v>4255</v>
      </c>
      <c r="C124" t="s">
        <v>4256</v>
      </c>
      <c r="D124" t="s">
        <v>4257</v>
      </c>
      <c r="E124" t="s">
        <v>4257</v>
      </c>
      <c r="G124" t="s">
        <v>56</v>
      </c>
      <c r="H124" t="s">
        <v>58</v>
      </c>
      <c r="I124" t="s">
        <v>140</v>
      </c>
      <c r="J124" t="s">
        <v>4258</v>
      </c>
      <c r="K124" t="s">
        <v>7165</v>
      </c>
      <c r="L124" t="s">
        <v>7165</v>
      </c>
      <c r="M124" s="1" t="s">
        <v>603</v>
      </c>
      <c r="N124" t="s">
        <v>649</v>
      </c>
      <c r="O124" s="1" t="s">
        <v>4259</v>
      </c>
      <c r="P124" s="1" t="s">
        <v>4260</v>
      </c>
      <c r="Q124" s="11" t="s">
        <v>7321</v>
      </c>
      <c r="R124" s="1">
        <v>11</v>
      </c>
      <c r="S124" s="1">
        <v>29913</v>
      </c>
      <c r="T124" s="1" t="s">
        <v>169</v>
      </c>
      <c r="U124" s="1">
        <v>10838521</v>
      </c>
      <c r="V124" t="s">
        <v>4262</v>
      </c>
      <c r="W124" t="s">
        <v>4263</v>
      </c>
      <c r="X124" t="s">
        <v>68</v>
      </c>
      <c r="Y124" t="s">
        <v>4264</v>
      </c>
      <c r="Z124" t="s">
        <v>4265</v>
      </c>
      <c r="AA124" t="s">
        <v>4266</v>
      </c>
      <c r="AB124" t="s">
        <v>192</v>
      </c>
      <c r="AC124" t="s">
        <v>73</v>
      </c>
      <c r="AD124" t="s">
        <v>4267</v>
      </c>
      <c r="AE124" t="s">
        <v>75</v>
      </c>
      <c r="AF124" t="s">
        <v>76</v>
      </c>
      <c r="AG124" t="s">
        <v>77</v>
      </c>
      <c r="AH124" t="s">
        <v>4268</v>
      </c>
      <c r="AI124" t="s">
        <v>615</v>
      </c>
      <c r="AJ124" t="s">
        <v>616</v>
      </c>
      <c r="AK124" t="s">
        <v>81</v>
      </c>
      <c r="AL124" t="s">
        <v>82</v>
      </c>
      <c r="AM124" t="s">
        <v>83</v>
      </c>
      <c r="AN124">
        <v>2018</v>
      </c>
      <c r="AO124">
        <v>86078</v>
      </c>
      <c r="AP124">
        <v>5400922</v>
      </c>
      <c r="AQ124">
        <v>279</v>
      </c>
      <c r="AR124" t="s">
        <v>84</v>
      </c>
      <c r="AS124">
        <v>562</v>
      </c>
      <c r="AT124" t="s">
        <v>85</v>
      </c>
      <c r="AU124" t="s">
        <v>86</v>
      </c>
      <c r="AV124">
        <v>562</v>
      </c>
      <c r="AW124" t="s">
        <v>4269</v>
      </c>
      <c r="AX124" t="s">
        <v>88</v>
      </c>
    </row>
    <row r="125" spans="1:54" x14ac:dyDescent="0.2">
      <c r="A125" t="s">
        <v>6138</v>
      </c>
      <c r="B125" t="s">
        <v>6139</v>
      </c>
      <c r="C125" t="s">
        <v>6140</v>
      </c>
      <c r="D125" t="s">
        <v>6141</v>
      </c>
      <c r="E125" t="s">
        <v>6141</v>
      </c>
      <c r="G125" t="s">
        <v>56</v>
      </c>
      <c r="H125" t="s">
        <v>93</v>
      </c>
      <c r="I125" t="s">
        <v>447</v>
      </c>
      <c r="J125" t="s">
        <v>6142</v>
      </c>
      <c r="K125" t="s">
        <v>7165</v>
      </c>
      <c r="L125" t="s">
        <v>7172</v>
      </c>
      <c r="M125" s="1" t="s">
        <v>183</v>
      </c>
      <c r="N125" t="s">
        <v>184</v>
      </c>
      <c r="O125" s="1" t="s">
        <v>3090</v>
      </c>
      <c r="P125" s="1" t="s">
        <v>434</v>
      </c>
      <c r="Q125" s="11" t="s">
        <v>7306</v>
      </c>
      <c r="R125" s="1">
        <v>33</v>
      </c>
      <c r="S125" s="1">
        <v>1587</v>
      </c>
      <c r="T125" s="1" t="s">
        <v>169</v>
      </c>
      <c r="U125" s="1">
        <v>11238666</v>
      </c>
      <c r="V125" t="s">
        <v>6143</v>
      </c>
      <c r="W125" t="s">
        <v>6144</v>
      </c>
      <c r="X125" t="s">
        <v>68</v>
      </c>
      <c r="Y125" t="s">
        <v>6145</v>
      </c>
      <c r="Z125" t="s">
        <v>6146</v>
      </c>
      <c r="AA125" t="s">
        <v>6147</v>
      </c>
      <c r="AB125" t="s">
        <v>192</v>
      </c>
      <c r="AC125" t="s">
        <v>73</v>
      </c>
      <c r="AD125" t="s">
        <v>6148</v>
      </c>
      <c r="AE125" t="s">
        <v>75</v>
      </c>
      <c r="AF125" t="s">
        <v>76</v>
      </c>
      <c r="AG125" t="s">
        <v>77</v>
      </c>
      <c r="AH125" t="s">
        <v>6149</v>
      </c>
      <c r="AI125" t="s">
        <v>156</v>
      </c>
      <c r="AJ125" t="s">
        <v>80</v>
      </c>
      <c r="AK125" t="s">
        <v>81</v>
      </c>
      <c r="AL125" t="s">
        <v>82</v>
      </c>
      <c r="AM125" t="s">
        <v>83</v>
      </c>
      <c r="AN125">
        <v>2018</v>
      </c>
      <c r="AO125">
        <v>93588</v>
      </c>
      <c r="AP125">
        <v>5450628</v>
      </c>
      <c r="AQ125">
        <v>252</v>
      </c>
      <c r="AR125" t="s">
        <v>84</v>
      </c>
      <c r="AS125">
        <v>562</v>
      </c>
      <c r="AT125" t="s">
        <v>85</v>
      </c>
      <c r="AU125" t="s">
        <v>86</v>
      </c>
      <c r="AV125">
        <v>562</v>
      </c>
      <c r="AW125" t="s">
        <v>6150</v>
      </c>
      <c r="AX125" t="s">
        <v>88</v>
      </c>
    </row>
    <row r="126" spans="1:54" x14ac:dyDescent="0.2">
      <c r="A126" t="s">
        <v>6151</v>
      </c>
      <c r="B126" t="s">
        <v>6152</v>
      </c>
      <c r="C126" t="s">
        <v>6140</v>
      </c>
      <c r="D126" t="s">
        <v>6153</v>
      </c>
      <c r="E126" t="s">
        <v>6153</v>
      </c>
      <c r="G126" t="s">
        <v>56</v>
      </c>
      <c r="H126" t="s">
        <v>93</v>
      </c>
      <c r="I126" t="s">
        <v>406</v>
      </c>
      <c r="J126" t="s">
        <v>6142</v>
      </c>
      <c r="K126" t="s">
        <v>7165</v>
      </c>
      <c r="L126" t="s">
        <v>7172</v>
      </c>
      <c r="M126" s="1" t="s">
        <v>448</v>
      </c>
      <c r="N126" t="s">
        <v>3244</v>
      </c>
      <c r="O126" s="1" t="s">
        <v>126</v>
      </c>
      <c r="P126" s="1" t="s">
        <v>434</v>
      </c>
      <c r="Q126" s="11" t="s">
        <v>7214</v>
      </c>
      <c r="R126" s="1">
        <v>12438</v>
      </c>
      <c r="S126" s="1">
        <v>30074</v>
      </c>
      <c r="T126" s="1" t="s">
        <v>3196</v>
      </c>
      <c r="U126" s="1">
        <v>11238666</v>
      </c>
      <c r="V126" t="s">
        <v>6154</v>
      </c>
      <c r="W126" t="s">
        <v>6155</v>
      </c>
      <c r="X126" t="s">
        <v>68</v>
      </c>
      <c r="Y126" t="s">
        <v>6156</v>
      </c>
      <c r="Z126" t="s">
        <v>6157</v>
      </c>
      <c r="AA126" t="s">
        <v>6158</v>
      </c>
      <c r="AB126" t="s">
        <v>192</v>
      </c>
      <c r="AC126" t="s">
        <v>73</v>
      </c>
      <c r="AD126" t="s">
        <v>6159</v>
      </c>
      <c r="AE126" t="s">
        <v>6160</v>
      </c>
      <c r="AF126" t="s">
        <v>76</v>
      </c>
      <c r="AG126" t="s">
        <v>77</v>
      </c>
      <c r="AH126" t="s">
        <v>6161</v>
      </c>
      <c r="AI126" t="s">
        <v>156</v>
      </c>
      <c r="AJ126" t="s">
        <v>6162</v>
      </c>
      <c r="AK126" t="s">
        <v>81</v>
      </c>
      <c r="AL126" t="s">
        <v>82</v>
      </c>
      <c r="AM126" t="s">
        <v>83</v>
      </c>
      <c r="AN126">
        <v>2018</v>
      </c>
      <c r="AO126">
        <v>76404</v>
      </c>
      <c r="AP126">
        <v>5542644</v>
      </c>
      <c r="AQ126">
        <v>260</v>
      </c>
      <c r="AR126" t="s">
        <v>84</v>
      </c>
      <c r="AS126">
        <v>562</v>
      </c>
      <c r="AT126" t="s">
        <v>85</v>
      </c>
      <c r="AU126" t="s">
        <v>86</v>
      </c>
      <c r="AV126">
        <v>562</v>
      </c>
      <c r="AW126" t="s">
        <v>6163</v>
      </c>
      <c r="AX126" t="s">
        <v>88</v>
      </c>
    </row>
    <row r="127" spans="1:54" x14ac:dyDescent="0.2">
      <c r="A127" t="s">
        <v>6180</v>
      </c>
      <c r="B127" t="s">
        <v>6181</v>
      </c>
      <c r="C127" t="s">
        <v>6182</v>
      </c>
      <c r="D127" t="s">
        <v>6183</v>
      </c>
      <c r="E127" t="s">
        <v>6183</v>
      </c>
      <c r="G127" t="s">
        <v>56</v>
      </c>
      <c r="H127" t="s">
        <v>93</v>
      </c>
      <c r="I127" t="s">
        <v>447</v>
      </c>
      <c r="J127" t="s">
        <v>6184</v>
      </c>
      <c r="K127" t="s">
        <v>7165</v>
      </c>
      <c r="L127" t="s">
        <v>7172</v>
      </c>
      <c r="M127" s="1" t="s">
        <v>6185</v>
      </c>
      <c r="N127" t="s">
        <v>6186</v>
      </c>
      <c r="O127" s="1" t="s">
        <v>144</v>
      </c>
      <c r="P127" s="1" t="s">
        <v>4318</v>
      </c>
      <c r="Q127" s="11" t="s">
        <v>7317</v>
      </c>
      <c r="R127" s="1">
        <v>23</v>
      </c>
      <c r="S127" s="1">
        <v>168638</v>
      </c>
      <c r="T127" s="1" t="s">
        <v>3181</v>
      </c>
      <c r="U127" s="1">
        <v>11398937</v>
      </c>
      <c r="V127" t="s">
        <v>6188</v>
      </c>
      <c r="W127" t="s">
        <v>6189</v>
      </c>
      <c r="X127" t="s">
        <v>68</v>
      </c>
      <c r="Y127" t="s">
        <v>6190</v>
      </c>
      <c r="Z127" t="s">
        <v>6191</v>
      </c>
      <c r="AA127" t="s">
        <v>6192</v>
      </c>
      <c r="AB127" t="s">
        <v>6193</v>
      </c>
      <c r="AC127" t="s">
        <v>73</v>
      </c>
      <c r="AD127" t="s">
        <v>6194</v>
      </c>
      <c r="AE127" t="s">
        <v>75</v>
      </c>
      <c r="AF127" t="s">
        <v>76</v>
      </c>
      <c r="AG127" t="s">
        <v>77</v>
      </c>
      <c r="AH127" t="s">
        <v>6195</v>
      </c>
      <c r="AI127" t="s">
        <v>6196</v>
      </c>
      <c r="AJ127" t="s">
        <v>80</v>
      </c>
      <c r="AK127" t="s">
        <v>81</v>
      </c>
      <c r="AL127" t="s">
        <v>82</v>
      </c>
      <c r="AM127" t="s">
        <v>83</v>
      </c>
      <c r="AN127">
        <v>2018</v>
      </c>
      <c r="AO127">
        <v>100415</v>
      </c>
      <c r="AP127">
        <v>4854273</v>
      </c>
      <c r="AQ127">
        <v>113</v>
      </c>
      <c r="AR127" t="s">
        <v>84</v>
      </c>
      <c r="AS127">
        <v>562</v>
      </c>
      <c r="AT127" t="s">
        <v>85</v>
      </c>
      <c r="AU127" t="s">
        <v>86</v>
      </c>
      <c r="AV127">
        <v>562</v>
      </c>
      <c r="AW127" t="s">
        <v>6197</v>
      </c>
      <c r="AX127" t="s">
        <v>88</v>
      </c>
    </row>
    <row r="128" spans="1:54" x14ac:dyDescent="0.2">
      <c r="A128" t="s">
        <v>6212</v>
      </c>
      <c r="B128" t="s">
        <v>6213</v>
      </c>
      <c r="C128" t="s">
        <v>6214</v>
      </c>
      <c r="D128" t="s">
        <v>6215</v>
      </c>
      <c r="E128" t="s">
        <v>6215</v>
      </c>
      <c r="G128" t="s">
        <v>56</v>
      </c>
      <c r="H128" t="s">
        <v>93</v>
      </c>
      <c r="I128" t="s">
        <v>406</v>
      </c>
      <c r="J128" t="s">
        <v>6216</v>
      </c>
      <c r="K128" t="s">
        <v>7165</v>
      </c>
      <c r="L128" t="s">
        <v>7172</v>
      </c>
      <c r="M128" s="1" t="s">
        <v>448</v>
      </c>
      <c r="N128" t="s">
        <v>3166</v>
      </c>
      <c r="O128" s="1" t="s">
        <v>3090</v>
      </c>
      <c r="P128" s="1" t="s">
        <v>434</v>
      </c>
      <c r="Q128" s="11" t="s">
        <v>7310</v>
      </c>
      <c r="R128" s="1">
        <v>25</v>
      </c>
      <c r="S128" s="1">
        <v>38638</v>
      </c>
      <c r="T128" s="1" t="s">
        <v>3196</v>
      </c>
      <c r="U128" s="1">
        <v>11398995</v>
      </c>
      <c r="V128" t="s">
        <v>6218</v>
      </c>
      <c r="W128" t="s">
        <v>6219</v>
      </c>
      <c r="X128" t="s">
        <v>68</v>
      </c>
      <c r="Y128" t="s">
        <v>6220</v>
      </c>
      <c r="Z128" t="s">
        <v>6221</v>
      </c>
      <c r="AA128" t="s">
        <v>6222</v>
      </c>
      <c r="AB128" t="s">
        <v>6193</v>
      </c>
      <c r="AC128" t="s">
        <v>73</v>
      </c>
      <c r="AD128" t="s">
        <v>6223</v>
      </c>
      <c r="AE128" t="s">
        <v>75</v>
      </c>
      <c r="AF128" t="s">
        <v>76</v>
      </c>
      <c r="AG128" t="s">
        <v>77</v>
      </c>
      <c r="AH128" t="s">
        <v>6224</v>
      </c>
      <c r="AI128" t="s">
        <v>546</v>
      </c>
      <c r="AJ128" t="s">
        <v>80</v>
      </c>
      <c r="AK128" t="s">
        <v>81</v>
      </c>
      <c r="AL128" t="s">
        <v>82</v>
      </c>
      <c r="AM128" t="s">
        <v>83</v>
      </c>
      <c r="AN128">
        <v>2018</v>
      </c>
      <c r="AO128">
        <v>55244</v>
      </c>
      <c r="AP128">
        <v>5477826</v>
      </c>
      <c r="AQ128">
        <v>337</v>
      </c>
      <c r="AR128" t="s">
        <v>84</v>
      </c>
      <c r="AS128">
        <v>562</v>
      </c>
      <c r="AT128" t="s">
        <v>85</v>
      </c>
      <c r="AU128" t="s">
        <v>86</v>
      </c>
      <c r="AV128">
        <v>562</v>
      </c>
      <c r="AW128" t="s">
        <v>6225</v>
      </c>
      <c r="AX128" t="s">
        <v>88</v>
      </c>
    </row>
    <row r="129" spans="1:53" x14ac:dyDescent="0.2">
      <c r="A129" t="s">
        <v>6240</v>
      </c>
      <c r="B129" t="s">
        <v>6241</v>
      </c>
      <c r="C129" t="s">
        <v>6242</v>
      </c>
      <c r="D129" t="s">
        <v>6243</v>
      </c>
      <c r="E129" t="s">
        <v>6243</v>
      </c>
      <c r="G129" t="s">
        <v>56</v>
      </c>
      <c r="H129" t="s">
        <v>93</v>
      </c>
      <c r="I129" t="s">
        <v>6244</v>
      </c>
      <c r="J129" t="s">
        <v>6245</v>
      </c>
      <c r="K129" t="s">
        <v>7165</v>
      </c>
      <c r="L129" t="s">
        <v>7165</v>
      </c>
      <c r="M129" s="1" t="s">
        <v>268</v>
      </c>
      <c r="N129" t="s">
        <v>3585</v>
      </c>
      <c r="O129" s="1" t="s">
        <v>144</v>
      </c>
      <c r="P129" s="1" t="s">
        <v>270</v>
      </c>
      <c r="Q129" s="11" t="s">
        <v>7221</v>
      </c>
      <c r="R129" s="1">
        <v>677</v>
      </c>
      <c r="S129" s="1">
        <v>30630</v>
      </c>
      <c r="T129" s="1" t="s">
        <v>6246</v>
      </c>
      <c r="U129" s="1">
        <v>0</v>
      </c>
      <c r="V129" t="s">
        <v>6247</v>
      </c>
      <c r="W129" t="s">
        <v>6248</v>
      </c>
      <c r="X129" t="s">
        <v>68</v>
      </c>
      <c r="Y129" t="s">
        <v>6249</v>
      </c>
      <c r="Z129" t="s">
        <v>6250</v>
      </c>
      <c r="AA129" t="s">
        <v>6251</v>
      </c>
      <c r="AB129" t="s">
        <v>6193</v>
      </c>
      <c r="AC129" t="s">
        <v>73</v>
      </c>
      <c r="AD129" t="s">
        <v>6252</v>
      </c>
      <c r="AE129" t="s">
        <v>154</v>
      </c>
      <c r="AF129" t="s">
        <v>76</v>
      </c>
      <c r="AG129" t="s">
        <v>77</v>
      </c>
      <c r="AH129" t="s">
        <v>6253</v>
      </c>
      <c r="AI129" t="s">
        <v>156</v>
      </c>
      <c r="AJ129" t="s">
        <v>157</v>
      </c>
      <c r="AK129" t="s">
        <v>158</v>
      </c>
      <c r="AL129" t="s">
        <v>159</v>
      </c>
      <c r="AM129" t="s">
        <v>83</v>
      </c>
      <c r="AN129">
        <v>2018</v>
      </c>
      <c r="AO129">
        <v>57122</v>
      </c>
      <c r="AP129">
        <v>5326115</v>
      </c>
      <c r="AQ129">
        <v>203</v>
      </c>
      <c r="AR129" t="s">
        <v>84</v>
      </c>
      <c r="AS129">
        <v>562</v>
      </c>
      <c r="AT129" t="s">
        <v>85</v>
      </c>
      <c r="AU129" t="s">
        <v>86</v>
      </c>
      <c r="AV129">
        <v>562</v>
      </c>
      <c r="AW129" t="s">
        <v>6254</v>
      </c>
      <c r="AX129" t="s">
        <v>88</v>
      </c>
    </row>
    <row r="130" spans="1:53" x14ac:dyDescent="0.2">
      <c r="A130" t="s">
        <v>6255</v>
      </c>
      <c r="B130" t="s">
        <v>6256</v>
      </c>
      <c r="C130" t="s">
        <v>6242</v>
      </c>
      <c r="D130" t="s">
        <v>6257</v>
      </c>
      <c r="E130" t="s">
        <v>6257</v>
      </c>
      <c r="G130" t="s">
        <v>56</v>
      </c>
      <c r="H130" t="s">
        <v>93</v>
      </c>
      <c r="I130" t="s">
        <v>140</v>
      </c>
      <c r="J130" t="s">
        <v>6245</v>
      </c>
      <c r="K130" t="s">
        <v>7165</v>
      </c>
      <c r="L130" t="s">
        <v>7165</v>
      </c>
      <c r="M130" s="1" t="s">
        <v>3647</v>
      </c>
      <c r="N130" t="s">
        <v>6258</v>
      </c>
      <c r="O130" s="1" t="s">
        <v>144</v>
      </c>
      <c r="P130" s="1" t="s">
        <v>4185</v>
      </c>
      <c r="Q130" s="11" t="s">
        <v>7312</v>
      </c>
      <c r="R130" s="1">
        <v>515</v>
      </c>
      <c r="S130" s="1">
        <v>15599</v>
      </c>
      <c r="T130" s="1" t="s">
        <v>3651</v>
      </c>
      <c r="U130" s="1" t="s">
        <v>6259</v>
      </c>
      <c r="V130" t="s">
        <v>6260</v>
      </c>
      <c r="W130" t="s">
        <v>6261</v>
      </c>
      <c r="X130" t="s">
        <v>68</v>
      </c>
      <c r="Y130" t="s">
        <v>6262</v>
      </c>
      <c r="Z130" t="s">
        <v>6263</v>
      </c>
      <c r="AA130" t="s">
        <v>6264</v>
      </c>
      <c r="AB130" t="s">
        <v>6193</v>
      </c>
      <c r="AC130" t="s">
        <v>73</v>
      </c>
      <c r="AD130" t="s">
        <v>6265</v>
      </c>
      <c r="AE130" t="s">
        <v>6266</v>
      </c>
      <c r="AF130" t="s">
        <v>76</v>
      </c>
      <c r="AG130" t="s">
        <v>77</v>
      </c>
      <c r="AH130" t="s">
        <v>6267</v>
      </c>
      <c r="AI130" t="s">
        <v>6268</v>
      </c>
      <c r="AJ130" t="s">
        <v>6269</v>
      </c>
      <c r="AK130" t="s">
        <v>532</v>
      </c>
      <c r="AL130" t="s">
        <v>533</v>
      </c>
      <c r="AM130" t="s">
        <v>83</v>
      </c>
      <c r="AN130">
        <v>2018</v>
      </c>
      <c r="AO130">
        <v>91176</v>
      </c>
      <c r="AP130">
        <v>5020818</v>
      </c>
      <c r="AQ130">
        <v>191</v>
      </c>
      <c r="AR130" t="s">
        <v>84</v>
      </c>
      <c r="AS130">
        <v>562</v>
      </c>
      <c r="AT130" t="s">
        <v>85</v>
      </c>
      <c r="AU130" t="s">
        <v>86</v>
      </c>
      <c r="AV130">
        <v>562</v>
      </c>
      <c r="AW130" t="s">
        <v>6270</v>
      </c>
      <c r="AX130" t="s">
        <v>88</v>
      </c>
    </row>
    <row r="131" spans="1:53" x14ac:dyDescent="0.2">
      <c r="A131" t="s">
        <v>6271</v>
      </c>
      <c r="B131" t="s">
        <v>6272</v>
      </c>
      <c r="C131" t="s">
        <v>6273</v>
      </c>
      <c r="D131" t="s">
        <v>6274</v>
      </c>
      <c r="E131" t="s">
        <v>6274</v>
      </c>
      <c r="G131" t="s">
        <v>56</v>
      </c>
      <c r="H131" t="s">
        <v>93</v>
      </c>
      <c r="I131" t="s">
        <v>447</v>
      </c>
      <c r="J131" t="s">
        <v>6275</v>
      </c>
      <c r="K131" t="s">
        <v>7165</v>
      </c>
      <c r="L131" t="s">
        <v>7172</v>
      </c>
      <c r="M131" s="1" t="s">
        <v>183</v>
      </c>
      <c r="N131" t="s">
        <v>184</v>
      </c>
      <c r="O131" s="1" t="s">
        <v>126</v>
      </c>
      <c r="P131" s="1" t="s">
        <v>185</v>
      </c>
      <c r="Q131" s="11" t="s">
        <v>7338</v>
      </c>
      <c r="R131" s="1">
        <v>33</v>
      </c>
      <c r="S131" s="1">
        <v>1587</v>
      </c>
      <c r="T131" s="1" t="s">
        <v>169</v>
      </c>
      <c r="U131" s="1">
        <v>11355658</v>
      </c>
      <c r="V131" t="s">
        <v>6277</v>
      </c>
      <c r="W131" t="s">
        <v>6278</v>
      </c>
      <c r="X131" t="s">
        <v>68</v>
      </c>
      <c r="Y131" t="s">
        <v>6279</v>
      </c>
      <c r="Z131" t="s">
        <v>6280</v>
      </c>
      <c r="AA131" t="s">
        <v>6281</v>
      </c>
      <c r="AB131" t="s">
        <v>6193</v>
      </c>
      <c r="AC131" t="s">
        <v>73</v>
      </c>
      <c r="AD131" t="s">
        <v>6282</v>
      </c>
      <c r="AE131" t="s">
        <v>75</v>
      </c>
      <c r="AF131" t="s">
        <v>76</v>
      </c>
      <c r="AG131" t="s">
        <v>77</v>
      </c>
      <c r="AH131" t="s">
        <v>6283</v>
      </c>
      <c r="AI131" t="s">
        <v>156</v>
      </c>
      <c r="AJ131" t="s">
        <v>80</v>
      </c>
      <c r="AK131" t="s">
        <v>81</v>
      </c>
      <c r="AL131" t="s">
        <v>82</v>
      </c>
      <c r="AM131" t="s">
        <v>83</v>
      </c>
      <c r="AN131">
        <v>2018</v>
      </c>
      <c r="AO131">
        <v>58347</v>
      </c>
      <c r="AP131">
        <v>5471147</v>
      </c>
      <c r="AQ131">
        <v>383</v>
      </c>
      <c r="AR131" t="s">
        <v>84</v>
      </c>
      <c r="AS131">
        <v>562</v>
      </c>
      <c r="AT131" t="s">
        <v>85</v>
      </c>
      <c r="AU131" t="s">
        <v>86</v>
      </c>
      <c r="AV131">
        <v>562</v>
      </c>
      <c r="AW131" t="s">
        <v>6284</v>
      </c>
      <c r="AX131" t="s">
        <v>88</v>
      </c>
      <c r="AZ131" t="s">
        <v>6285</v>
      </c>
      <c r="BA131">
        <v>2</v>
      </c>
    </row>
    <row r="132" spans="1:53" x14ac:dyDescent="0.2">
      <c r="A132" t="s">
        <v>6286</v>
      </c>
      <c r="B132" t="s">
        <v>6287</v>
      </c>
      <c r="C132" t="s">
        <v>6273</v>
      </c>
      <c r="D132" t="s">
        <v>6288</v>
      </c>
      <c r="E132" t="s">
        <v>6288</v>
      </c>
      <c r="G132" t="s">
        <v>56</v>
      </c>
      <c r="H132" t="s">
        <v>93</v>
      </c>
      <c r="I132" t="s">
        <v>6289</v>
      </c>
      <c r="J132" t="s">
        <v>6275</v>
      </c>
      <c r="K132" t="s">
        <v>7165</v>
      </c>
      <c r="L132" t="s">
        <v>7172</v>
      </c>
      <c r="M132" s="1" t="s">
        <v>183</v>
      </c>
      <c r="N132" t="s">
        <v>6290</v>
      </c>
      <c r="O132" s="1" t="s">
        <v>126</v>
      </c>
      <c r="P132" s="1" t="s">
        <v>185</v>
      </c>
      <c r="Q132" s="11" t="s">
        <v>7338</v>
      </c>
      <c r="R132" s="1">
        <v>33</v>
      </c>
      <c r="S132" s="1">
        <v>1587</v>
      </c>
      <c r="T132" s="1" t="s">
        <v>169</v>
      </c>
      <c r="U132" s="1">
        <v>11355658</v>
      </c>
      <c r="V132" t="s">
        <v>6291</v>
      </c>
      <c r="W132" t="s">
        <v>6292</v>
      </c>
      <c r="X132" t="s">
        <v>68</v>
      </c>
      <c r="Y132" t="s">
        <v>6293</v>
      </c>
      <c r="Z132" t="s">
        <v>6294</v>
      </c>
      <c r="AA132" t="s">
        <v>6295</v>
      </c>
      <c r="AB132" t="s">
        <v>6193</v>
      </c>
      <c r="AC132" t="s">
        <v>73</v>
      </c>
      <c r="AD132" t="s">
        <v>6296</v>
      </c>
      <c r="AE132" t="s">
        <v>75</v>
      </c>
      <c r="AF132" t="s">
        <v>76</v>
      </c>
      <c r="AG132" t="s">
        <v>77</v>
      </c>
      <c r="AH132" t="s">
        <v>6283</v>
      </c>
      <c r="AI132" t="s">
        <v>156</v>
      </c>
      <c r="AJ132" t="s">
        <v>80</v>
      </c>
      <c r="AK132" t="s">
        <v>81</v>
      </c>
      <c r="AL132" t="s">
        <v>82</v>
      </c>
      <c r="AM132" t="s">
        <v>83</v>
      </c>
      <c r="AN132">
        <v>2018</v>
      </c>
      <c r="AO132">
        <v>44107</v>
      </c>
      <c r="AP132">
        <v>5461145</v>
      </c>
      <c r="AQ132">
        <v>416</v>
      </c>
      <c r="AR132" t="s">
        <v>84</v>
      </c>
      <c r="AS132">
        <v>562</v>
      </c>
      <c r="AT132" t="s">
        <v>85</v>
      </c>
      <c r="AU132" t="s">
        <v>86</v>
      </c>
      <c r="AV132">
        <v>562</v>
      </c>
      <c r="AW132" t="s">
        <v>6297</v>
      </c>
      <c r="AX132" t="s">
        <v>88</v>
      </c>
      <c r="AZ132" t="s">
        <v>6285</v>
      </c>
      <c r="BA132">
        <v>2</v>
      </c>
    </row>
    <row r="133" spans="1:53" x14ac:dyDescent="0.2">
      <c r="A133" t="s">
        <v>3049</v>
      </c>
      <c r="B133" t="s">
        <v>3049</v>
      </c>
      <c r="C133" t="s">
        <v>349</v>
      </c>
      <c r="D133" t="s">
        <v>3050</v>
      </c>
      <c r="E133" t="s">
        <v>3050</v>
      </c>
      <c r="G133" t="s">
        <v>56</v>
      </c>
      <c r="H133" t="s">
        <v>58</v>
      </c>
      <c r="I133" t="s">
        <v>352</v>
      </c>
      <c r="J133" t="s">
        <v>352</v>
      </c>
      <c r="K133" t="s">
        <v>7165</v>
      </c>
      <c r="L133" t="s">
        <v>7172</v>
      </c>
      <c r="M133" s="1" t="s">
        <v>353</v>
      </c>
      <c r="N133" t="s">
        <v>354</v>
      </c>
      <c r="O133" s="1" t="s">
        <v>144</v>
      </c>
      <c r="P133" s="1" t="s">
        <v>355</v>
      </c>
      <c r="Q133" s="11" t="s">
        <v>7198</v>
      </c>
      <c r="R133" s="1">
        <v>155</v>
      </c>
      <c r="S133" s="1">
        <v>1607</v>
      </c>
      <c r="T133" s="1" t="e">
        <v>#N/A</v>
      </c>
      <c r="U133" s="1" t="e">
        <v>#N/A</v>
      </c>
      <c r="V133" t="s">
        <v>3051</v>
      </c>
      <c r="W133" t="s">
        <v>3052</v>
      </c>
      <c r="X133" t="s">
        <v>68</v>
      </c>
      <c r="Y133" t="s">
        <v>3053</v>
      </c>
      <c r="Z133" t="s">
        <v>3054</v>
      </c>
      <c r="AA133" t="s">
        <v>3055</v>
      </c>
      <c r="AB133" t="s">
        <v>241</v>
      </c>
      <c r="AC133" t="s">
        <v>73</v>
      </c>
      <c r="AD133" t="s">
        <v>3056</v>
      </c>
      <c r="AE133" t="s">
        <v>75</v>
      </c>
      <c r="AF133" t="s">
        <v>76</v>
      </c>
      <c r="AG133" t="s">
        <v>77</v>
      </c>
      <c r="AH133" t="s">
        <v>363</v>
      </c>
      <c r="AI133" t="s">
        <v>364</v>
      </c>
      <c r="AJ133" t="s">
        <v>80</v>
      </c>
      <c r="AK133" t="s">
        <v>81</v>
      </c>
      <c r="AL133" t="s">
        <v>82</v>
      </c>
      <c r="AM133" t="s">
        <v>83</v>
      </c>
      <c r="AN133">
        <v>2018</v>
      </c>
      <c r="AO133">
        <v>127128</v>
      </c>
      <c r="AP133">
        <v>5180457</v>
      </c>
      <c r="AQ133">
        <v>177</v>
      </c>
      <c r="AR133" t="s">
        <v>84</v>
      </c>
      <c r="AS133">
        <v>562</v>
      </c>
      <c r="AT133" t="s">
        <v>85</v>
      </c>
      <c r="AU133" t="s">
        <v>86</v>
      </c>
      <c r="AV133">
        <v>562</v>
      </c>
      <c r="AW133" t="s">
        <v>3057</v>
      </c>
      <c r="AX133" t="s">
        <v>88</v>
      </c>
      <c r="AZ133" t="s">
        <v>366</v>
      </c>
      <c r="BA133">
        <v>0</v>
      </c>
    </row>
    <row r="134" spans="1:53" x14ac:dyDescent="0.2">
      <c r="A134" t="s">
        <v>230</v>
      </c>
      <c r="B134" t="s">
        <v>230</v>
      </c>
      <c r="C134" t="s">
        <v>231</v>
      </c>
      <c r="D134" t="s">
        <v>232</v>
      </c>
      <c r="E134" t="s">
        <v>232</v>
      </c>
      <c r="G134" t="s">
        <v>56</v>
      </c>
      <c r="H134" t="s">
        <v>93</v>
      </c>
      <c r="I134" t="s">
        <v>140</v>
      </c>
      <c r="J134" t="s">
        <v>233</v>
      </c>
      <c r="K134" t="s">
        <v>7165</v>
      </c>
      <c r="L134" t="s">
        <v>7165</v>
      </c>
      <c r="M134" s="1" t="s">
        <v>208</v>
      </c>
      <c r="N134" t="s">
        <v>209</v>
      </c>
      <c r="O134" s="1" t="s">
        <v>234</v>
      </c>
      <c r="P134" s="1" t="s">
        <v>167</v>
      </c>
      <c r="Q134" s="11" t="s">
        <v>7201</v>
      </c>
      <c r="R134" s="1">
        <v>675</v>
      </c>
      <c r="S134" s="1">
        <v>178072</v>
      </c>
      <c r="T134" s="1" t="s">
        <v>235</v>
      </c>
      <c r="U134" s="1">
        <v>10444301</v>
      </c>
      <c r="V134" t="s">
        <v>236</v>
      </c>
      <c r="W134" t="s">
        <v>237</v>
      </c>
      <c r="X134" t="s">
        <v>68</v>
      </c>
      <c r="Y134" t="s">
        <v>238</v>
      </c>
      <c r="Z134" t="s">
        <v>239</v>
      </c>
      <c r="AA134" t="s">
        <v>240</v>
      </c>
      <c r="AB134" t="s">
        <v>241</v>
      </c>
      <c r="AC134" t="s">
        <v>73</v>
      </c>
      <c r="AD134" t="s">
        <v>242</v>
      </c>
      <c r="AE134" t="s">
        <v>75</v>
      </c>
      <c r="AF134" t="s">
        <v>76</v>
      </c>
      <c r="AG134" t="s">
        <v>77</v>
      </c>
      <c r="AH134" t="s">
        <v>243</v>
      </c>
      <c r="AI134" t="s">
        <v>156</v>
      </c>
      <c r="AJ134" t="s">
        <v>80</v>
      </c>
      <c r="AK134" t="s">
        <v>81</v>
      </c>
      <c r="AL134" t="s">
        <v>82</v>
      </c>
      <c r="AM134" t="s">
        <v>83</v>
      </c>
      <c r="AN134">
        <v>2018</v>
      </c>
      <c r="AO134">
        <v>108217</v>
      </c>
      <c r="AP134">
        <v>5474053</v>
      </c>
      <c r="AQ134">
        <v>167</v>
      </c>
      <c r="AR134" t="s">
        <v>84</v>
      </c>
      <c r="AS134">
        <v>562</v>
      </c>
      <c r="AT134" t="s">
        <v>85</v>
      </c>
      <c r="AU134" t="s">
        <v>86</v>
      </c>
      <c r="AV134">
        <v>562</v>
      </c>
      <c r="AW134" t="s">
        <v>244</v>
      </c>
      <c r="AX134" t="s">
        <v>88</v>
      </c>
    </row>
    <row r="135" spans="1:53" x14ac:dyDescent="0.2">
      <c r="A135" t="s">
        <v>245</v>
      </c>
      <c r="B135" t="s">
        <v>245</v>
      </c>
      <c r="C135" t="s">
        <v>246</v>
      </c>
      <c r="D135" t="s">
        <v>247</v>
      </c>
      <c r="E135" t="s">
        <v>247</v>
      </c>
      <c r="G135" t="s">
        <v>56</v>
      </c>
      <c r="H135" t="s">
        <v>93</v>
      </c>
      <c r="I135" t="s">
        <v>140</v>
      </c>
      <c r="J135" t="s">
        <v>141</v>
      </c>
      <c r="K135" t="s">
        <v>7165</v>
      </c>
      <c r="L135" t="s">
        <v>7165</v>
      </c>
      <c r="M135" s="1" t="s">
        <v>248</v>
      </c>
      <c r="N135" t="s">
        <v>249</v>
      </c>
      <c r="O135" s="1" t="s">
        <v>166</v>
      </c>
      <c r="P135" s="1" t="s">
        <v>250</v>
      </c>
      <c r="Q135" s="11" t="s">
        <v>7208</v>
      </c>
      <c r="R135" s="1">
        <v>3589</v>
      </c>
      <c r="S135" s="1">
        <v>35160</v>
      </c>
      <c r="T135" s="1" t="s">
        <v>252</v>
      </c>
      <c r="U135" s="1">
        <v>11012665</v>
      </c>
      <c r="V135" t="s">
        <v>253</v>
      </c>
      <c r="W135" t="s">
        <v>254</v>
      </c>
      <c r="X135" t="s">
        <v>68</v>
      </c>
      <c r="Y135" t="s">
        <v>255</v>
      </c>
      <c r="Z135" t="s">
        <v>256</v>
      </c>
      <c r="AA135" t="s">
        <v>257</v>
      </c>
      <c r="AB135" t="s">
        <v>241</v>
      </c>
      <c r="AC135" t="s">
        <v>73</v>
      </c>
      <c r="AD135" t="s">
        <v>258</v>
      </c>
      <c r="AE135" t="s">
        <v>259</v>
      </c>
      <c r="AF135" t="s">
        <v>76</v>
      </c>
      <c r="AG135" t="s">
        <v>77</v>
      </c>
      <c r="AH135" t="s">
        <v>260</v>
      </c>
      <c r="AI135" t="s">
        <v>261</v>
      </c>
      <c r="AJ135" t="s">
        <v>262</v>
      </c>
      <c r="AK135" t="s">
        <v>158</v>
      </c>
      <c r="AL135" t="s">
        <v>159</v>
      </c>
      <c r="AM135" t="s">
        <v>83</v>
      </c>
      <c r="AN135">
        <v>2018</v>
      </c>
      <c r="AO135">
        <v>323489</v>
      </c>
      <c r="AP135">
        <v>5308539</v>
      </c>
      <c r="AQ135">
        <v>105</v>
      </c>
      <c r="AR135" t="s">
        <v>84</v>
      </c>
      <c r="AS135">
        <v>562</v>
      </c>
      <c r="AT135" t="s">
        <v>85</v>
      </c>
      <c r="AU135" t="s">
        <v>86</v>
      </c>
      <c r="AV135">
        <v>562</v>
      </c>
      <c r="AW135" t="s">
        <v>263</v>
      </c>
      <c r="AX135" t="s">
        <v>88</v>
      </c>
    </row>
    <row r="136" spans="1:53" x14ac:dyDescent="0.2">
      <c r="A136" t="s">
        <v>264</v>
      </c>
      <c r="B136" t="s">
        <v>264</v>
      </c>
      <c r="C136" t="s">
        <v>265</v>
      </c>
      <c r="D136" t="s">
        <v>266</v>
      </c>
      <c r="E136" t="s">
        <v>266</v>
      </c>
      <c r="G136" t="s">
        <v>56</v>
      </c>
      <c r="H136" t="s">
        <v>93</v>
      </c>
      <c r="I136" t="s">
        <v>140</v>
      </c>
      <c r="J136" t="s">
        <v>267</v>
      </c>
      <c r="K136" t="s">
        <v>7165</v>
      </c>
      <c r="L136" t="s">
        <v>7165</v>
      </c>
      <c r="M136" s="1" t="s">
        <v>268</v>
      </c>
      <c r="N136" t="s">
        <v>269</v>
      </c>
      <c r="O136" s="1" t="s">
        <v>144</v>
      </c>
      <c r="P136" s="1" t="s">
        <v>270</v>
      </c>
      <c r="Q136" s="11" t="s">
        <v>7221</v>
      </c>
      <c r="R136" s="1">
        <v>677</v>
      </c>
      <c r="S136" s="1">
        <v>30630</v>
      </c>
      <c r="T136" s="1" t="s">
        <v>272</v>
      </c>
      <c r="U136" s="1">
        <v>11012665</v>
      </c>
      <c r="V136" t="s">
        <v>273</v>
      </c>
      <c r="W136" t="s">
        <v>274</v>
      </c>
      <c r="X136" t="s">
        <v>68</v>
      </c>
      <c r="Y136" t="s">
        <v>275</v>
      </c>
      <c r="Z136" t="s">
        <v>276</v>
      </c>
      <c r="AA136" t="s">
        <v>277</v>
      </c>
      <c r="AB136" t="s">
        <v>241</v>
      </c>
      <c r="AC136" t="s">
        <v>73</v>
      </c>
      <c r="AD136" t="s">
        <v>278</v>
      </c>
      <c r="AE136" t="s">
        <v>279</v>
      </c>
      <c r="AF136" t="s">
        <v>76</v>
      </c>
      <c r="AG136" t="s">
        <v>77</v>
      </c>
      <c r="AH136" t="s">
        <v>280</v>
      </c>
      <c r="AI136" t="s">
        <v>156</v>
      </c>
      <c r="AJ136" t="s">
        <v>281</v>
      </c>
      <c r="AK136" t="s">
        <v>81</v>
      </c>
      <c r="AL136" t="s">
        <v>82</v>
      </c>
      <c r="AM136" t="s">
        <v>83</v>
      </c>
      <c r="AN136">
        <v>2018</v>
      </c>
      <c r="AO136">
        <v>156667</v>
      </c>
      <c r="AP136">
        <v>5321798</v>
      </c>
      <c r="AQ136">
        <v>171</v>
      </c>
      <c r="AR136" t="s">
        <v>84</v>
      </c>
      <c r="AS136">
        <v>562</v>
      </c>
      <c r="AT136" t="s">
        <v>85</v>
      </c>
      <c r="AU136" t="s">
        <v>86</v>
      </c>
      <c r="AV136">
        <v>562</v>
      </c>
      <c r="AW136" t="s">
        <v>282</v>
      </c>
      <c r="AX136" t="s">
        <v>88</v>
      </c>
      <c r="AZ136" t="s">
        <v>283</v>
      </c>
      <c r="BA136">
        <v>0</v>
      </c>
    </row>
    <row r="137" spans="1:53" x14ac:dyDescent="0.2">
      <c r="A137" t="s">
        <v>284</v>
      </c>
      <c r="B137" t="s">
        <v>284</v>
      </c>
      <c r="C137" t="s">
        <v>285</v>
      </c>
      <c r="D137" t="s">
        <v>286</v>
      </c>
      <c r="E137" t="s">
        <v>286</v>
      </c>
      <c r="G137" t="s">
        <v>56</v>
      </c>
      <c r="H137" t="s">
        <v>93</v>
      </c>
      <c r="I137" t="s">
        <v>140</v>
      </c>
      <c r="J137" t="s">
        <v>287</v>
      </c>
      <c r="K137" t="s">
        <v>7165</v>
      </c>
      <c r="L137" t="s">
        <v>7165</v>
      </c>
      <c r="M137" s="1" t="s">
        <v>268</v>
      </c>
      <c r="N137" t="s">
        <v>269</v>
      </c>
      <c r="O137" s="1" t="s">
        <v>144</v>
      </c>
      <c r="P137" s="1" t="s">
        <v>270</v>
      </c>
      <c r="Q137" s="11" t="s">
        <v>7221</v>
      </c>
      <c r="R137" s="1">
        <v>677</v>
      </c>
      <c r="S137" s="1">
        <v>30630</v>
      </c>
      <c r="T137" s="1" t="s">
        <v>272</v>
      </c>
      <c r="U137" s="1">
        <v>11012665</v>
      </c>
      <c r="V137" t="s">
        <v>288</v>
      </c>
      <c r="W137" t="s">
        <v>289</v>
      </c>
      <c r="X137" t="s">
        <v>68</v>
      </c>
      <c r="Y137" t="s">
        <v>290</v>
      </c>
      <c r="Z137" t="s">
        <v>291</v>
      </c>
      <c r="AA137" t="s">
        <v>292</v>
      </c>
      <c r="AB137" t="s">
        <v>241</v>
      </c>
      <c r="AC137" t="s">
        <v>73</v>
      </c>
      <c r="AD137" t="s">
        <v>293</v>
      </c>
      <c r="AE137" t="s">
        <v>279</v>
      </c>
      <c r="AF137" t="s">
        <v>76</v>
      </c>
      <c r="AG137" t="s">
        <v>77</v>
      </c>
      <c r="AH137" t="s">
        <v>294</v>
      </c>
      <c r="AI137" t="s">
        <v>156</v>
      </c>
      <c r="AJ137" t="s">
        <v>281</v>
      </c>
      <c r="AK137" t="s">
        <v>158</v>
      </c>
      <c r="AL137" t="s">
        <v>159</v>
      </c>
      <c r="AM137" t="s">
        <v>83</v>
      </c>
      <c r="AN137">
        <v>2018</v>
      </c>
      <c r="AO137">
        <v>160080</v>
      </c>
      <c r="AP137">
        <v>5343695</v>
      </c>
      <c r="AQ137">
        <v>148</v>
      </c>
      <c r="AR137" t="s">
        <v>84</v>
      </c>
      <c r="AS137">
        <v>562</v>
      </c>
      <c r="AT137" t="s">
        <v>85</v>
      </c>
      <c r="AU137" t="s">
        <v>86</v>
      </c>
      <c r="AV137">
        <v>562</v>
      </c>
      <c r="AW137" t="s">
        <v>295</v>
      </c>
      <c r="AX137" t="s">
        <v>88</v>
      </c>
      <c r="AZ137" t="s">
        <v>283</v>
      </c>
      <c r="BA137">
        <v>2</v>
      </c>
    </row>
    <row r="138" spans="1:53" x14ac:dyDescent="0.2">
      <c r="A138" t="s">
        <v>296</v>
      </c>
      <c r="B138" t="s">
        <v>296</v>
      </c>
      <c r="C138" t="s">
        <v>297</v>
      </c>
      <c r="D138" t="s">
        <v>298</v>
      </c>
      <c r="E138" t="s">
        <v>298</v>
      </c>
      <c r="G138" t="s">
        <v>56</v>
      </c>
      <c r="H138" t="s">
        <v>93</v>
      </c>
      <c r="I138" t="s">
        <v>140</v>
      </c>
      <c r="J138" t="s">
        <v>182</v>
      </c>
      <c r="K138" t="s">
        <v>7165</v>
      </c>
      <c r="L138" t="s">
        <v>7165</v>
      </c>
      <c r="M138" s="1" t="s">
        <v>268</v>
      </c>
      <c r="N138" t="s">
        <v>269</v>
      </c>
      <c r="O138" s="1" t="s">
        <v>144</v>
      </c>
      <c r="P138" s="1" t="s">
        <v>270</v>
      </c>
      <c r="Q138" s="11" t="s">
        <v>7221</v>
      </c>
      <c r="R138" s="1">
        <v>677</v>
      </c>
      <c r="S138" s="1">
        <v>30630</v>
      </c>
      <c r="T138" s="1" t="s">
        <v>272</v>
      </c>
      <c r="U138" s="1">
        <v>11012665</v>
      </c>
      <c r="V138" t="s">
        <v>299</v>
      </c>
      <c r="W138" t="s">
        <v>300</v>
      </c>
      <c r="X138" t="s">
        <v>68</v>
      </c>
      <c r="Y138" t="s">
        <v>301</v>
      </c>
      <c r="Z138" t="s">
        <v>302</v>
      </c>
      <c r="AA138" t="s">
        <v>303</v>
      </c>
      <c r="AB138" t="s">
        <v>304</v>
      </c>
      <c r="AC138" t="s">
        <v>73</v>
      </c>
      <c r="AD138" t="s">
        <v>305</v>
      </c>
      <c r="AE138" t="s">
        <v>279</v>
      </c>
      <c r="AF138" t="s">
        <v>76</v>
      </c>
      <c r="AG138" t="s">
        <v>77</v>
      </c>
      <c r="AH138" t="s">
        <v>294</v>
      </c>
      <c r="AI138" t="s">
        <v>156</v>
      </c>
      <c r="AJ138" t="s">
        <v>281</v>
      </c>
      <c r="AK138" t="s">
        <v>158</v>
      </c>
      <c r="AL138" t="s">
        <v>159</v>
      </c>
      <c r="AM138" t="s">
        <v>83</v>
      </c>
      <c r="AN138">
        <v>2018</v>
      </c>
      <c r="AO138">
        <v>130181</v>
      </c>
      <c r="AP138">
        <v>5293098</v>
      </c>
      <c r="AQ138">
        <v>245</v>
      </c>
      <c r="AR138" t="s">
        <v>84</v>
      </c>
      <c r="AS138">
        <v>562</v>
      </c>
      <c r="AT138" t="s">
        <v>85</v>
      </c>
      <c r="AU138" t="s">
        <v>86</v>
      </c>
      <c r="AV138">
        <v>562</v>
      </c>
      <c r="AW138" t="s">
        <v>306</v>
      </c>
      <c r="AX138" t="s">
        <v>88</v>
      </c>
      <c r="AZ138" t="s">
        <v>283</v>
      </c>
      <c r="BA138">
        <v>0</v>
      </c>
    </row>
    <row r="139" spans="1:53" x14ac:dyDescent="0.2">
      <c r="A139" t="s">
        <v>307</v>
      </c>
      <c r="B139" t="s">
        <v>307</v>
      </c>
      <c r="C139" t="s">
        <v>308</v>
      </c>
      <c r="D139" t="s">
        <v>309</v>
      </c>
      <c r="E139" t="s">
        <v>309</v>
      </c>
      <c r="G139" t="s">
        <v>56</v>
      </c>
      <c r="H139" t="s">
        <v>93</v>
      </c>
      <c r="I139" t="s">
        <v>310</v>
      </c>
      <c r="J139" t="s">
        <v>310</v>
      </c>
      <c r="K139" t="s">
        <v>7167</v>
      </c>
      <c r="L139" t="s">
        <v>7167</v>
      </c>
      <c r="M139" s="1" t="s">
        <v>311</v>
      </c>
      <c r="N139" t="s">
        <v>312</v>
      </c>
      <c r="O139" s="1" t="s">
        <v>144</v>
      </c>
      <c r="P139" s="1" t="s">
        <v>313</v>
      </c>
      <c r="Q139" s="11" t="s">
        <v>7345</v>
      </c>
      <c r="R139" s="1">
        <v>69</v>
      </c>
      <c r="S139" s="1">
        <v>65499</v>
      </c>
      <c r="T139" s="1" t="s">
        <v>169</v>
      </c>
      <c r="U139" s="1">
        <v>10388132</v>
      </c>
      <c r="V139" t="s">
        <v>315</v>
      </c>
      <c r="W139" t="s">
        <v>316</v>
      </c>
      <c r="X139" t="s">
        <v>68</v>
      </c>
      <c r="Y139" t="s">
        <v>317</v>
      </c>
      <c r="Z139" t="s">
        <v>318</v>
      </c>
      <c r="AA139" t="s">
        <v>319</v>
      </c>
      <c r="AB139" t="s">
        <v>304</v>
      </c>
      <c r="AC139" t="s">
        <v>73</v>
      </c>
      <c r="AD139" t="s">
        <v>320</v>
      </c>
      <c r="AE139" t="s">
        <v>321</v>
      </c>
      <c r="AF139" t="s">
        <v>76</v>
      </c>
      <c r="AG139" t="s">
        <v>77</v>
      </c>
      <c r="AH139" t="s">
        <v>322</v>
      </c>
      <c r="AI139" t="s">
        <v>323</v>
      </c>
      <c r="AJ139" t="s">
        <v>324</v>
      </c>
      <c r="AK139" t="s">
        <v>81</v>
      </c>
      <c r="AL139" t="s">
        <v>82</v>
      </c>
      <c r="AM139" t="s">
        <v>83</v>
      </c>
      <c r="AN139">
        <v>2018</v>
      </c>
      <c r="AO139">
        <v>115643</v>
      </c>
      <c r="AP139">
        <v>5225494</v>
      </c>
      <c r="AQ139">
        <v>142</v>
      </c>
      <c r="AR139" t="s">
        <v>84</v>
      </c>
      <c r="AS139">
        <v>562</v>
      </c>
      <c r="AT139" t="s">
        <v>85</v>
      </c>
      <c r="AU139" t="s">
        <v>86</v>
      </c>
      <c r="AV139">
        <v>562</v>
      </c>
      <c r="AW139" t="s">
        <v>325</v>
      </c>
      <c r="AX139" t="s">
        <v>88</v>
      </c>
      <c r="AZ139" t="s">
        <v>326</v>
      </c>
      <c r="BA139">
        <v>3</v>
      </c>
    </row>
    <row r="140" spans="1:53" x14ac:dyDescent="0.2">
      <c r="A140" t="s">
        <v>327</v>
      </c>
      <c r="B140" t="s">
        <v>327</v>
      </c>
      <c r="C140" t="s">
        <v>308</v>
      </c>
      <c r="D140" t="s">
        <v>328</v>
      </c>
      <c r="E140" t="s">
        <v>328</v>
      </c>
      <c r="G140" t="s">
        <v>56</v>
      </c>
      <c r="H140" t="s">
        <v>93</v>
      </c>
      <c r="I140" t="s">
        <v>310</v>
      </c>
      <c r="J140" t="s">
        <v>310</v>
      </c>
      <c r="K140" t="s">
        <v>7167</v>
      </c>
      <c r="L140" t="s">
        <v>7167</v>
      </c>
      <c r="M140" s="1" t="s">
        <v>311</v>
      </c>
      <c r="N140" t="s">
        <v>312</v>
      </c>
      <c r="O140" s="1" t="s">
        <v>144</v>
      </c>
      <c r="P140" s="1" t="s">
        <v>313</v>
      </c>
      <c r="Q140" s="11" t="s">
        <v>7345</v>
      </c>
      <c r="R140" s="1">
        <v>69</v>
      </c>
      <c r="S140" s="1">
        <v>65499</v>
      </c>
      <c r="T140" s="1" t="s">
        <v>169</v>
      </c>
      <c r="U140" s="1">
        <v>10388132</v>
      </c>
      <c r="V140" t="s">
        <v>329</v>
      </c>
      <c r="W140" t="s">
        <v>330</v>
      </c>
      <c r="X140" t="s">
        <v>68</v>
      </c>
      <c r="Y140" t="s">
        <v>331</v>
      </c>
      <c r="Z140" t="s">
        <v>332</v>
      </c>
      <c r="AA140" t="s">
        <v>333</v>
      </c>
      <c r="AB140" t="s">
        <v>304</v>
      </c>
      <c r="AC140" t="s">
        <v>73</v>
      </c>
      <c r="AD140" t="s">
        <v>334</v>
      </c>
      <c r="AE140" t="s">
        <v>321</v>
      </c>
      <c r="AF140" t="s">
        <v>76</v>
      </c>
      <c r="AG140" t="s">
        <v>77</v>
      </c>
      <c r="AH140" t="s">
        <v>335</v>
      </c>
      <c r="AI140" t="s">
        <v>323</v>
      </c>
      <c r="AJ140" t="s">
        <v>324</v>
      </c>
      <c r="AK140" t="s">
        <v>81</v>
      </c>
      <c r="AL140" t="s">
        <v>82</v>
      </c>
      <c r="AM140" t="s">
        <v>83</v>
      </c>
      <c r="AN140">
        <v>2018</v>
      </c>
      <c r="AO140">
        <v>85956</v>
      </c>
      <c r="AP140">
        <v>5211436</v>
      </c>
      <c r="AQ140">
        <v>200</v>
      </c>
      <c r="AR140" t="s">
        <v>84</v>
      </c>
      <c r="AS140">
        <v>562</v>
      </c>
      <c r="AT140" t="s">
        <v>85</v>
      </c>
      <c r="AU140" t="s">
        <v>86</v>
      </c>
      <c r="AV140">
        <v>562</v>
      </c>
      <c r="AW140" t="s">
        <v>336</v>
      </c>
      <c r="AX140" t="s">
        <v>88</v>
      </c>
      <c r="AZ140" t="s">
        <v>326</v>
      </c>
      <c r="BA140">
        <v>3</v>
      </c>
    </row>
    <row r="141" spans="1:53" x14ac:dyDescent="0.2">
      <c r="A141" t="s">
        <v>520</v>
      </c>
      <c r="B141" t="s">
        <v>520</v>
      </c>
      <c r="C141" t="s">
        <v>521</v>
      </c>
      <c r="D141" t="s">
        <v>522</v>
      </c>
      <c r="E141" t="s">
        <v>522</v>
      </c>
      <c r="G141" t="s">
        <v>56</v>
      </c>
      <c r="H141" t="s">
        <v>93</v>
      </c>
      <c r="I141" t="s">
        <v>523</v>
      </c>
      <c r="J141" t="s">
        <v>287</v>
      </c>
      <c r="K141" t="s">
        <v>7165</v>
      </c>
      <c r="L141" t="s">
        <v>7165</v>
      </c>
      <c r="M141" s="1" t="s">
        <v>183</v>
      </c>
      <c r="N141" t="s">
        <v>184</v>
      </c>
      <c r="O141" s="1" t="s">
        <v>126</v>
      </c>
      <c r="P141" s="1" t="s">
        <v>185</v>
      </c>
      <c r="Q141" s="11" t="s">
        <v>7210</v>
      </c>
      <c r="R141" s="1">
        <v>33</v>
      </c>
      <c r="S141" s="1">
        <v>1587</v>
      </c>
      <c r="T141" s="1" t="s">
        <v>169</v>
      </c>
      <c r="U141" s="1">
        <v>10443820</v>
      </c>
      <c r="V141" t="s">
        <v>524</v>
      </c>
      <c r="W141" t="s">
        <v>525</v>
      </c>
      <c r="X141" t="s">
        <v>68</v>
      </c>
      <c r="Y141" t="s">
        <v>526</v>
      </c>
      <c r="Z141" t="s">
        <v>527</v>
      </c>
      <c r="AA141" t="s">
        <v>528</v>
      </c>
      <c r="AB141" t="s">
        <v>304</v>
      </c>
      <c r="AC141" t="s">
        <v>73</v>
      </c>
      <c r="AD141" t="s">
        <v>529</v>
      </c>
      <c r="AF141" t="s">
        <v>76</v>
      </c>
      <c r="AG141" t="s">
        <v>77</v>
      </c>
      <c r="AH141" t="s">
        <v>530</v>
      </c>
      <c r="AI141" t="s">
        <v>156</v>
      </c>
      <c r="AJ141" t="s">
        <v>531</v>
      </c>
      <c r="AK141" t="s">
        <v>532</v>
      </c>
      <c r="AL141" t="s">
        <v>533</v>
      </c>
      <c r="AM141" t="s">
        <v>83</v>
      </c>
      <c r="AN141">
        <v>2018</v>
      </c>
      <c r="AO141">
        <v>93515</v>
      </c>
      <c r="AP141">
        <v>5526551</v>
      </c>
      <c r="AQ141">
        <v>479</v>
      </c>
      <c r="AR141" t="s">
        <v>84</v>
      </c>
      <c r="AS141">
        <v>562</v>
      </c>
      <c r="AT141" t="s">
        <v>85</v>
      </c>
      <c r="AU141" t="s">
        <v>86</v>
      </c>
      <c r="AV141">
        <v>562</v>
      </c>
      <c r="AW141" t="s">
        <v>534</v>
      </c>
      <c r="AX141" t="s">
        <v>88</v>
      </c>
      <c r="AZ141" t="s">
        <v>535</v>
      </c>
      <c r="BA141">
        <v>2</v>
      </c>
    </row>
    <row r="142" spans="1:53" x14ac:dyDescent="0.2">
      <c r="A142" t="s">
        <v>536</v>
      </c>
      <c r="B142" t="s">
        <v>536</v>
      </c>
      <c r="C142" t="s">
        <v>521</v>
      </c>
      <c r="D142" t="s">
        <v>537</v>
      </c>
      <c r="E142" t="s">
        <v>537</v>
      </c>
      <c r="G142" t="s">
        <v>56</v>
      </c>
      <c r="H142" t="s">
        <v>93</v>
      </c>
      <c r="I142" t="s">
        <v>523</v>
      </c>
      <c r="J142" t="s">
        <v>287</v>
      </c>
      <c r="K142" t="s">
        <v>7165</v>
      </c>
      <c r="L142" t="s">
        <v>7165</v>
      </c>
      <c r="M142" s="1" t="s">
        <v>183</v>
      </c>
      <c r="N142" t="s">
        <v>538</v>
      </c>
      <c r="O142" s="1" t="s">
        <v>126</v>
      </c>
      <c r="P142" s="1" t="s">
        <v>185</v>
      </c>
      <c r="Q142" s="11" t="s">
        <v>7210</v>
      </c>
      <c r="R142" s="1">
        <v>33</v>
      </c>
      <c r="S142" s="1">
        <v>1587</v>
      </c>
      <c r="T142" s="1" t="s">
        <v>169</v>
      </c>
      <c r="U142" s="1">
        <v>10443820</v>
      </c>
      <c r="V142" t="s">
        <v>539</v>
      </c>
      <c r="W142" t="s">
        <v>540</v>
      </c>
      <c r="X142" t="s">
        <v>68</v>
      </c>
      <c r="Y142" t="s">
        <v>541</v>
      </c>
      <c r="Z142" t="s">
        <v>542</v>
      </c>
      <c r="AA142" t="s">
        <v>543</v>
      </c>
      <c r="AB142" t="s">
        <v>304</v>
      </c>
      <c r="AC142" t="s">
        <v>73</v>
      </c>
      <c r="AD142" t="s">
        <v>544</v>
      </c>
      <c r="AF142" t="s">
        <v>76</v>
      </c>
      <c r="AG142" t="s">
        <v>77</v>
      </c>
      <c r="AH142" t="s">
        <v>545</v>
      </c>
      <c r="AI142" t="s">
        <v>546</v>
      </c>
      <c r="AJ142" t="s">
        <v>531</v>
      </c>
      <c r="AK142" t="s">
        <v>532</v>
      </c>
      <c r="AL142" t="s">
        <v>533</v>
      </c>
      <c r="AM142" t="s">
        <v>83</v>
      </c>
      <c r="AN142">
        <v>2018</v>
      </c>
      <c r="AO142">
        <v>78889</v>
      </c>
      <c r="AP142">
        <v>5581297</v>
      </c>
      <c r="AQ142">
        <v>313</v>
      </c>
      <c r="AR142" t="s">
        <v>84</v>
      </c>
      <c r="AS142">
        <v>562</v>
      </c>
      <c r="AT142" t="s">
        <v>85</v>
      </c>
      <c r="AU142" t="s">
        <v>86</v>
      </c>
      <c r="AV142">
        <v>562</v>
      </c>
      <c r="AW142" t="s">
        <v>547</v>
      </c>
      <c r="AX142" t="s">
        <v>88</v>
      </c>
      <c r="AZ142" t="s">
        <v>535</v>
      </c>
      <c r="BA142">
        <v>1</v>
      </c>
    </row>
    <row r="143" spans="1:53" x14ac:dyDescent="0.2">
      <c r="A143" t="s">
        <v>548</v>
      </c>
      <c r="B143" t="s">
        <v>548</v>
      </c>
      <c r="C143" t="s">
        <v>521</v>
      </c>
      <c r="D143" t="s">
        <v>549</v>
      </c>
      <c r="E143" t="s">
        <v>549</v>
      </c>
      <c r="G143" t="s">
        <v>56</v>
      </c>
      <c r="H143" t="s">
        <v>93</v>
      </c>
      <c r="I143" t="s">
        <v>140</v>
      </c>
      <c r="J143" t="s">
        <v>287</v>
      </c>
      <c r="K143" t="s">
        <v>7165</v>
      </c>
      <c r="L143" t="s">
        <v>7165</v>
      </c>
      <c r="M143" s="1" t="s">
        <v>183</v>
      </c>
      <c r="N143" t="s">
        <v>184</v>
      </c>
      <c r="O143" s="1" t="s">
        <v>126</v>
      </c>
      <c r="P143" s="1" t="s">
        <v>185</v>
      </c>
      <c r="Q143" s="11" t="s">
        <v>7210</v>
      </c>
      <c r="R143" s="1">
        <v>33</v>
      </c>
      <c r="S143" s="1">
        <v>1587</v>
      </c>
      <c r="T143" s="1" t="s">
        <v>169</v>
      </c>
      <c r="U143" s="1">
        <v>10443820</v>
      </c>
      <c r="V143" t="s">
        <v>550</v>
      </c>
      <c r="W143" t="s">
        <v>551</v>
      </c>
      <c r="X143" t="s">
        <v>68</v>
      </c>
      <c r="Y143" t="s">
        <v>552</v>
      </c>
      <c r="Z143" t="s">
        <v>553</v>
      </c>
      <c r="AA143" t="s">
        <v>554</v>
      </c>
      <c r="AB143" t="s">
        <v>304</v>
      </c>
      <c r="AC143" t="s">
        <v>73</v>
      </c>
      <c r="AD143" t="s">
        <v>555</v>
      </c>
      <c r="AF143" t="s">
        <v>76</v>
      </c>
      <c r="AG143" t="s">
        <v>77</v>
      </c>
      <c r="AH143" t="s">
        <v>556</v>
      </c>
      <c r="AI143" t="s">
        <v>156</v>
      </c>
      <c r="AJ143" t="s">
        <v>531</v>
      </c>
      <c r="AK143" t="s">
        <v>532</v>
      </c>
      <c r="AL143" t="s">
        <v>533</v>
      </c>
      <c r="AM143" t="s">
        <v>83</v>
      </c>
      <c r="AN143">
        <v>2018</v>
      </c>
      <c r="AO143">
        <v>111584</v>
      </c>
      <c r="AP143">
        <v>5587588</v>
      </c>
      <c r="AQ143">
        <v>319</v>
      </c>
      <c r="AR143" t="s">
        <v>84</v>
      </c>
      <c r="AS143">
        <v>562</v>
      </c>
      <c r="AT143" t="s">
        <v>85</v>
      </c>
      <c r="AU143" t="s">
        <v>86</v>
      </c>
      <c r="AV143">
        <v>562</v>
      </c>
      <c r="AW143" t="s">
        <v>557</v>
      </c>
      <c r="AX143" t="s">
        <v>88</v>
      </c>
      <c r="AZ143" t="s">
        <v>535</v>
      </c>
      <c r="BA143">
        <v>0</v>
      </c>
    </row>
    <row r="144" spans="1:53" x14ac:dyDescent="0.2">
      <c r="A144" t="s">
        <v>5398</v>
      </c>
      <c r="B144" t="s">
        <v>5399</v>
      </c>
      <c r="C144" t="s">
        <v>5400</v>
      </c>
      <c r="D144" t="s">
        <v>5401</v>
      </c>
      <c r="E144" t="s">
        <v>5401</v>
      </c>
      <c r="G144" t="s">
        <v>56</v>
      </c>
      <c r="H144" t="s">
        <v>93</v>
      </c>
      <c r="I144" t="s">
        <v>5350</v>
      </c>
      <c r="J144" t="s">
        <v>5402</v>
      </c>
      <c r="K144" t="s">
        <v>7169</v>
      </c>
      <c r="L144" t="s">
        <v>7169</v>
      </c>
      <c r="M144" s="1" t="s">
        <v>3210</v>
      </c>
      <c r="N144" t="s">
        <v>169</v>
      </c>
      <c r="O144" s="1" t="s">
        <v>4374</v>
      </c>
      <c r="P144" s="1" t="s">
        <v>64</v>
      </c>
      <c r="Q144" s="11" t="s">
        <v>7220</v>
      </c>
      <c r="R144" s="1">
        <v>6118</v>
      </c>
      <c r="S144" s="1">
        <v>35267</v>
      </c>
      <c r="T144" s="1" t="s">
        <v>169</v>
      </c>
      <c r="U144" s="1">
        <v>8209863</v>
      </c>
      <c r="V144" t="s">
        <v>5403</v>
      </c>
      <c r="W144" t="s">
        <v>5404</v>
      </c>
      <c r="X144" t="s">
        <v>68</v>
      </c>
      <c r="Y144" t="s">
        <v>5405</v>
      </c>
      <c r="Z144" t="s">
        <v>5406</v>
      </c>
      <c r="AA144" t="s">
        <v>5407</v>
      </c>
      <c r="AB144" t="s">
        <v>2727</v>
      </c>
      <c r="AC144" t="s">
        <v>73</v>
      </c>
      <c r="AD144" t="s">
        <v>5408</v>
      </c>
      <c r="AE144" t="s">
        <v>75</v>
      </c>
      <c r="AF144" t="s">
        <v>76</v>
      </c>
      <c r="AG144" t="s">
        <v>77</v>
      </c>
      <c r="AH144" t="s">
        <v>5409</v>
      </c>
      <c r="AI144" t="s">
        <v>156</v>
      </c>
      <c r="AJ144" t="s">
        <v>5269</v>
      </c>
      <c r="AK144" t="s">
        <v>81</v>
      </c>
      <c r="AL144" t="s">
        <v>82</v>
      </c>
      <c r="AM144" t="s">
        <v>83</v>
      </c>
      <c r="AN144">
        <v>2016</v>
      </c>
      <c r="AO144">
        <v>159057</v>
      </c>
      <c r="AP144">
        <v>5017176</v>
      </c>
      <c r="AQ144">
        <v>96</v>
      </c>
      <c r="AR144" t="s">
        <v>84</v>
      </c>
      <c r="AS144">
        <v>562</v>
      </c>
      <c r="AT144" t="s">
        <v>85</v>
      </c>
      <c r="AU144" t="s">
        <v>86</v>
      </c>
      <c r="AV144">
        <v>562</v>
      </c>
      <c r="AW144" t="s">
        <v>5410</v>
      </c>
      <c r="AX144" t="s">
        <v>88</v>
      </c>
      <c r="AZ144" t="s">
        <v>5411</v>
      </c>
      <c r="BA144">
        <v>27</v>
      </c>
    </row>
    <row r="145" spans="1:54" x14ac:dyDescent="0.2">
      <c r="A145" t="s">
        <v>2719</v>
      </c>
      <c r="B145" t="s">
        <v>2720</v>
      </c>
      <c r="C145" t="s">
        <v>2697</v>
      </c>
      <c r="D145" t="s">
        <v>2721</v>
      </c>
      <c r="E145" t="s">
        <v>2721</v>
      </c>
      <c r="G145" t="s">
        <v>56</v>
      </c>
      <c r="H145" t="s">
        <v>58</v>
      </c>
      <c r="I145" t="s">
        <v>2022</v>
      </c>
      <c r="J145" t="s">
        <v>2022</v>
      </c>
      <c r="K145" t="s">
        <v>7165</v>
      </c>
      <c r="L145" t="s">
        <v>7165</v>
      </c>
      <c r="M145" s="1" t="s">
        <v>603</v>
      </c>
      <c r="N145" t="s">
        <v>649</v>
      </c>
      <c r="O145" s="1" t="s">
        <v>605</v>
      </c>
      <c r="P145" s="1" t="s">
        <v>820</v>
      </c>
      <c r="Q145" s="11" t="s">
        <v>7340</v>
      </c>
      <c r="R145" s="1">
        <v>11</v>
      </c>
      <c r="S145" s="1">
        <v>2124</v>
      </c>
      <c r="T145" s="1" t="s">
        <v>169</v>
      </c>
      <c r="U145" s="1">
        <v>9439204</v>
      </c>
      <c r="V145" t="s">
        <v>2722</v>
      </c>
      <c r="W145" t="s">
        <v>2723</v>
      </c>
      <c r="X145" t="s">
        <v>68</v>
      </c>
      <c r="Y145" t="s">
        <v>2724</v>
      </c>
      <c r="Z145" t="s">
        <v>2725</v>
      </c>
      <c r="AA145" t="s">
        <v>2726</v>
      </c>
      <c r="AB145" t="s">
        <v>2727</v>
      </c>
      <c r="AC145" t="s">
        <v>73</v>
      </c>
      <c r="AD145" t="s">
        <v>2728</v>
      </c>
      <c r="AE145" t="s">
        <v>75</v>
      </c>
      <c r="AF145" t="s">
        <v>76</v>
      </c>
      <c r="AG145" t="s">
        <v>77</v>
      </c>
      <c r="AH145" t="s">
        <v>2729</v>
      </c>
      <c r="AI145" t="s">
        <v>615</v>
      </c>
      <c r="AJ145" t="s">
        <v>616</v>
      </c>
      <c r="AK145" t="s">
        <v>81</v>
      </c>
      <c r="AL145" t="s">
        <v>82</v>
      </c>
      <c r="AM145" t="s">
        <v>83</v>
      </c>
      <c r="AN145">
        <v>2017</v>
      </c>
      <c r="AO145">
        <v>86275</v>
      </c>
      <c r="AP145">
        <v>5363981</v>
      </c>
      <c r="AQ145">
        <v>237</v>
      </c>
      <c r="AR145" t="s">
        <v>84</v>
      </c>
      <c r="AS145">
        <v>562</v>
      </c>
      <c r="AT145" t="s">
        <v>85</v>
      </c>
      <c r="AU145" t="s">
        <v>86</v>
      </c>
      <c r="AV145">
        <v>562</v>
      </c>
      <c r="AW145" t="s">
        <v>2730</v>
      </c>
      <c r="AX145" t="s">
        <v>88</v>
      </c>
      <c r="AZ145" t="s">
        <v>2707</v>
      </c>
      <c r="BA145">
        <v>3</v>
      </c>
    </row>
    <row r="146" spans="1:54" x14ac:dyDescent="0.2">
      <c r="A146" t="s">
        <v>2731</v>
      </c>
      <c r="B146" t="s">
        <v>2732</v>
      </c>
      <c r="C146" t="s">
        <v>2697</v>
      </c>
      <c r="D146" t="s">
        <v>2733</v>
      </c>
      <c r="E146" t="s">
        <v>2733</v>
      </c>
      <c r="G146" t="s">
        <v>56</v>
      </c>
      <c r="H146" t="s">
        <v>58</v>
      </c>
      <c r="I146" t="s">
        <v>2022</v>
      </c>
      <c r="J146" t="s">
        <v>2022</v>
      </c>
      <c r="K146" t="s">
        <v>7165</v>
      </c>
      <c r="L146" t="s">
        <v>7165</v>
      </c>
      <c r="M146" s="1" t="s">
        <v>603</v>
      </c>
      <c r="N146" t="s">
        <v>649</v>
      </c>
      <c r="O146" s="1" t="s">
        <v>605</v>
      </c>
      <c r="P146" s="1" t="s">
        <v>820</v>
      </c>
      <c r="Q146" s="11" t="s">
        <v>7319</v>
      </c>
      <c r="R146" s="1">
        <v>11</v>
      </c>
      <c r="S146" s="1">
        <v>2124</v>
      </c>
      <c r="T146" s="1" t="s">
        <v>169</v>
      </c>
      <c r="U146" s="1">
        <v>9439204</v>
      </c>
      <c r="V146" t="s">
        <v>2734</v>
      </c>
      <c r="W146" t="s">
        <v>2735</v>
      </c>
      <c r="X146" t="s">
        <v>68</v>
      </c>
      <c r="Y146" t="s">
        <v>2736</v>
      </c>
      <c r="Z146" t="s">
        <v>2737</v>
      </c>
      <c r="AA146" t="s">
        <v>2738</v>
      </c>
      <c r="AB146" t="s">
        <v>2727</v>
      </c>
      <c r="AC146" t="s">
        <v>73</v>
      </c>
      <c r="AD146" t="s">
        <v>2739</v>
      </c>
      <c r="AE146" t="s">
        <v>75</v>
      </c>
      <c r="AF146" t="s">
        <v>76</v>
      </c>
      <c r="AG146" t="s">
        <v>77</v>
      </c>
      <c r="AH146" t="s">
        <v>2740</v>
      </c>
      <c r="AI146" t="s">
        <v>615</v>
      </c>
      <c r="AJ146" t="s">
        <v>616</v>
      </c>
      <c r="AK146" t="s">
        <v>81</v>
      </c>
      <c r="AL146" t="s">
        <v>82</v>
      </c>
      <c r="AM146" t="s">
        <v>83</v>
      </c>
      <c r="AN146">
        <v>2017</v>
      </c>
      <c r="AO146">
        <v>76651</v>
      </c>
      <c r="AP146">
        <v>5360544</v>
      </c>
      <c r="AQ146">
        <v>232</v>
      </c>
      <c r="AR146" t="s">
        <v>84</v>
      </c>
      <c r="AS146">
        <v>562</v>
      </c>
      <c r="AT146" t="s">
        <v>85</v>
      </c>
      <c r="AU146" t="s">
        <v>86</v>
      </c>
      <c r="AV146">
        <v>562</v>
      </c>
      <c r="AW146" t="s">
        <v>2741</v>
      </c>
      <c r="AX146" t="s">
        <v>88</v>
      </c>
      <c r="AZ146" t="s">
        <v>2707</v>
      </c>
      <c r="BA146">
        <v>4</v>
      </c>
    </row>
    <row r="147" spans="1:54" x14ac:dyDescent="0.2">
      <c r="A147" t="s">
        <v>6790</v>
      </c>
      <c r="B147" t="s">
        <v>6791</v>
      </c>
      <c r="C147" t="s">
        <v>6792</v>
      </c>
      <c r="D147" t="s">
        <v>6793</v>
      </c>
      <c r="E147" t="s">
        <v>6793</v>
      </c>
      <c r="G147" t="s">
        <v>56</v>
      </c>
      <c r="H147" t="s">
        <v>93</v>
      </c>
      <c r="I147" t="s">
        <v>140</v>
      </c>
      <c r="J147" t="s">
        <v>6794</v>
      </c>
      <c r="K147" t="s">
        <v>7165</v>
      </c>
      <c r="L147" t="s">
        <v>7165</v>
      </c>
      <c r="M147" s="1" t="s">
        <v>183</v>
      </c>
      <c r="N147" t="s">
        <v>6795</v>
      </c>
      <c r="O147" s="1" t="s">
        <v>6796</v>
      </c>
      <c r="P147" s="1" t="s">
        <v>6797</v>
      </c>
      <c r="Q147" s="11" t="s">
        <v>7210</v>
      </c>
      <c r="R147" s="1">
        <v>33</v>
      </c>
      <c r="S147" s="1">
        <v>1587</v>
      </c>
      <c r="T147" s="1" t="s">
        <v>169</v>
      </c>
      <c r="U147" s="1">
        <v>10838319</v>
      </c>
      <c r="V147" t="s">
        <v>6798</v>
      </c>
      <c r="W147" t="s">
        <v>6799</v>
      </c>
      <c r="X147" t="s">
        <v>68</v>
      </c>
      <c r="Y147" t="s">
        <v>6800</v>
      </c>
      <c r="Z147" t="s">
        <v>6801</v>
      </c>
      <c r="AA147" t="s">
        <v>6802</v>
      </c>
      <c r="AB147" t="s">
        <v>2727</v>
      </c>
      <c r="AC147" t="s">
        <v>73</v>
      </c>
      <c r="AD147" t="s">
        <v>6803</v>
      </c>
      <c r="AE147" t="s">
        <v>75</v>
      </c>
      <c r="AF147" t="s">
        <v>76</v>
      </c>
      <c r="AG147" t="s">
        <v>77</v>
      </c>
      <c r="AH147" t="s">
        <v>6804</v>
      </c>
      <c r="AI147" t="s">
        <v>156</v>
      </c>
      <c r="AJ147" t="s">
        <v>80</v>
      </c>
      <c r="AK147" t="s">
        <v>81</v>
      </c>
      <c r="AL147" t="s">
        <v>82</v>
      </c>
      <c r="AM147" t="s">
        <v>83</v>
      </c>
      <c r="AN147">
        <v>2018</v>
      </c>
      <c r="AO147">
        <v>33784</v>
      </c>
      <c r="AP147">
        <v>5375055</v>
      </c>
      <c r="AQ147">
        <v>415</v>
      </c>
      <c r="AR147" t="s">
        <v>84</v>
      </c>
      <c r="AS147">
        <v>562</v>
      </c>
      <c r="AT147" t="s">
        <v>85</v>
      </c>
      <c r="AU147" t="s">
        <v>86</v>
      </c>
      <c r="AV147">
        <v>562</v>
      </c>
      <c r="AW147" t="s">
        <v>6805</v>
      </c>
      <c r="AX147" t="s">
        <v>88</v>
      </c>
    </row>
    <row r="148" spans="1:54" x14ac:dyDescent="0.2">
      <c r="A148" t="s">
        <v>6806</v>
      </c>
      <c r="B148" t="s">
        <v>6807</v>
      </c>
      <c r="C148" t="s">
        <v>6792</v>
      </c>
      <c r="D148" t="s">
        <v>6808</v>
      </c>
      <c r="E148" t="s">
        <v>6808</v>
      </c>
      <c r="G148" t="s">
        <v>56</v>
      </c>
      <c r="H148" t="s">
        <v>93</v>
      </c>
      <c r="I148" t="s">
        <v>140</v>
      </c>
      <c r="J148" t="s">
        <v>6794</v>
      </c>
      <c r="K148" t="s">
        <v>7165</v>
      </c>
      <c r="L148" t="s">
        <v>7165</v>
      </c>
      <c r="M148" s="1" t="s">
        <v>448</v>
      </c>
      <c r="N148" t="s">
        <v>6809</v>
      </c>
      <c r="O148" s="1" t="s">
        <v>6796</v>
      </c>
      <c r="P148" s="1" t="s">
        <v>3492</v>
      </c>
      <c r="Q148" s="11" t="s">
        <v>7200</v>
      </c>
      <c r="R148" s="1">
        <v>25</v>
      </c>
      <c r="S148" s="1">
        <v>30074</v>
      </c>
      <c r="T148" s="1" t="s">
        <v>169</v>
      </c>
      <c r="U148" s="1">
        <v>10838319</v>
      </c>
      <c r="V148" t="s">
        <v>6810</v>
      </c>
      <c r="W148" t="s">
        <v>6811</v>
      </c>
      <c r="X148" t="s">
        <v>68</v>
      </c>
      <c r="Y148" t="s">
        <v>6812</v>
      </c>
      <c r="Z148" t="s">
        <v>6813</v>
      </c>
      <c r="AA148" t="s">
        <v>6814</v>
      </c>
      <c r="AB148" t="s">
        <v>2727</v>
      </c>
      <c r="AC148" t="s">
        <v>73</v>
      </c>
      <c r="AD148" t="s">
        <v>6815</v>
      </c>
      <c r="AE148" t="s">
        <v>75</v>
      </c>
      <c r="AF148" t="s">
        <v>76</v>
      </c>
      <c r="AG148" t="s">
        <v>77</v>
      </c>
      <c r="AH148" t="s">
        <v>6816</v>
      </c>
      <c r="AI148" t="s">
        <v>156</v>
      </c>
      <c r="AJ148" t="s">
        <v>80</v>
      </c>
      <c r="AK148" t="s">
        <v>81</v>
      </c>
      <c r="AL148" t="s">
        <v>82</v>
      </c>
      <c r="AM148" t="s">
        <v>83</v>
      </c>
      <c r="AN148">
        <v>2018</v>
      </c>
      <c r="AO148">
        <v>42245</v>
      </c>
      <c r="AP148">
        <v>5622159</v>
      </c>
      <c r="AQ148">
        <v>357</v>
      </c>
      <c r="AR148" t="s">
        <v>84</v>
      </c>
      <c r="AS148">
        <v>562</v>
      </c>
      <c r="AT148" t="s">
        <v>85</v>
      </c>
      <c r="AU148" t="s">
        <v>86</v>
      </c>
      <c r="AV148">
        <v>562</v>
      </c>
      <c r="AW148" t="s">
        <v>6817</v>
      </c>
      <c r="AX148" t="s">
        <v>88</v>
      </c>
    </row>
    <row r="149" spans="1:54" x14ac:dyDescent="0.2">
      <c r="A149" t="s">
        <v>573</v>
      </c>
      <c r="B149" t="s">
        <v>573</v>
      </c>
      <c r="C149" t="s">
        <v>559</v>
      </c>
      <c r="D149" t="s">
        <v>574</v>
      </c>
      <c r="E149" t="s">
        <v>574</v>
      </c>
      <c r="G149" t="s">
        <v>56</v>
      </c>
      <c r="H149" t="s">
        <v>93</v>
      </c>
      <c r="I149" t="s">
        <v>406</v>
      </c>
      <c r="J149" t="s">
        <v>561</v>
      </c>
      <c r="K149" t="s">
        <v>7165</v>
      </c>
      <c r="L149" t="s">
        <v>7165</v>
      </c>
      <c r="M149" s="1" t="s">
        <v>448</v>
      </c>
      <c r="N149" t="s">
        <v>562</v>
      </c>
      <c r="O149" s="1" t="s">
        <v>126</v>
      </c>
      <c r="P149" s="1" t="s">
        <v>434</v>
      </c>
      <c r="Q149" s="11" t="s">
        <v>7307</v>
      </c>
      <c r="R149" s="1">
        <v>4748</v>
      </c>
      <c r="S149" s="1">
        <v>29367</v>
      </c>
      <c r="T149" s="1" t="s">
        <v>169</v>
      </c>
      <c r="U149" s="1">
        <v>10691518</v>
      </c>
      <c r="V149" t="s">
        <v>575</v>
      </c>
      <c r="W149" t="s">
        <v>576</v>
      </c>
      <c r="X149" t="s">
        <v>68</v>
      </c>
      <c r="Y149" t="s">
        <v>577</v>
      </c>
      <c r="Z149" t="s">
        <v>578</v>
      </c>
      <c r="AA149" t="s">
        <v>579</v>
      </c>
      <c r="AB149" t="s">
        <v>580</v>
      </c>
      <c r="AC149" t="s">
        <v>73</v>
      </c>
      <c r="AD149" t="s">
        <v>581</v>
      </c>
      <c r="AE149" t="s">
        <v>75</v>
      </c>
      <c r="AF149" t="s">
        <v>76</v>
      </c>
      <c r="AG149" t="s">
        <v>77</v>
      </c>
      <c r="AH149" t="s">
        <v>582</v>
      </c>
      <c r="AI149" t="s">
        <v>156</v>
      </c>
      <c r="AJ149" t="s">
        <v>80</v>
      </c>
      <c r="AK149" t="s">
        <v>81</v>
      </c>
      <c r="AL149" t="s">
        <v>82</v>
      </c>
      <c r="AM149" t="s">
        <v>83</v>
      </c>
      <c r="AN149">
        <v>2018</v>
      </c>
      <c r="AO149">
        <v>133342</v>
      </c>
      <c r="AP149">
        <v>5506710</v>
      </c>
      <c r="AQ149">
        <v>354</v>
      </c>
      <c r="AR149" t="s">
        <v>84</v>
      </c>
      <c r="AS149">
        <v>562</v>
      </c>
      <c r="AT149" t="s">
        <v>85</v>
      </c>
      <c r="AU149" t="s">
        <v>86</v>
      </c>
      <c r="AV149">
        <v>562</v>
      </c>
      <c r="AW149" t="s">
        <v>583</v>
      </c>
      <c r="AX149" t="s">
        <v>88</v>
      </c>
      <c r="AZ149" t="s">
        <v>572</v>
      </c>
      <c r="BA149">
        <v>2</v>
      </c>
    </row>
    <row r="150" spans="1:54" x14ac:dyDescent="0.2">
      <c r="A150" t="s">
        <v>6847</v>
      </c>
      <c r="B150" t="s">
        <v>6848</v>
      </c>
      <c r="C150" t="s">
        <v>6820</v>
      </c>
      <c r="D150" t="s">
        <v>6849</v>
      </c>
      <c r="E150" t="s">
        <v>6849</v>
      </c>
      <c r="G150" t="s">
        <v>56</v>
      </c>
      <c r="H150" t="s">
        <v>93</v>
      </c>
      <c r="I150" t="s">
        <v>447</v>
      </c>
      <c r="J150" t="s">
        <v>6822</v>
      </c>
      <c r="K150" t="s">
        <v>7165</v>
      </c>
      <c r="L150" t="s">
        <v>7172</v>
      </c>
      <c r="M150" s="1" t="s">
        <v>183</v>
      </c>
      <c r="N150" t="s">
        <v>538</v>
      </c>
      <c r="O150" s="1" t="s">
        <v>126</v>
      </c>
      <c r="P150" s="1" t="s">
        <v>185</v>
      </c>
      <c r="Q150" s="11" t="s">
        <v>7210</v>
      </c>
      <c r="R150" s="1">
        <v>33</v>
      </c>
      <c r="S150" s="1">
        <v>1587</v>
      </c>
      <c r="T150" s="1" t="s">
        <v>169</v>
      </c>
      <c r="U150" s="1" t="s">
        <v>6824</v>
      </c>
      <c r="V150" t="s">
        <v>6850</v>
      </c>
      <c r="W150" t="s">
        <v>6851</v>
      </c>
      <c r="X150" t="s">
        <v>68</v>
      </c>
      <c r="Y150" t="s">
        <v>6852</v>
      </c>
      <c r="Z150" t="s">
        <v>6853</v>
      </c>
      <c r="AA150" t="s">
        <v>6854</v>
      </c>
      <c r="AB150" t="s">
        <v>580</v>
      </c>
      <c r="AC150" t="s">
        <v>73</v>
      </c>
      <c r="AD150" t="s">
        <v>6855</v>
      </c>
      <c r="AE150" t="s">
        <v>75</v>
      </c>
      <c r="AF150" t="s">
        <v>76</v>
      </c>
      <c r="AG150" t="s">
        <v>77</v>
      </c>
      <c r="AH150" t="s">
        <v>6856</v>
      </c>
      <c r="AI150" t="s">
        <v>156</v>
      </c>
      <c r="AJ150" t="s">
        <v>80</v>
      </c>
      <c r="AK150" t="s">
        <v>81</v>
      </c>
      <c r="AL150" t="s">
        <v>82</v>
      </c>
      <c r="AM150" t="s">
        <v>83</v>
      </c>
      <c r="AN150">
        <v>2018</v>
      </c>
      <c r="AO150">
        <v>67659</v>
      </c>
      <c r="AP150">
        <v>5525105</v>
      </c>
      <c r="AQ150">
        <v>245</v>
      </c>
      <c r="AR150" t="s">
        <v>84</v>
      </c>
      <c r="AS150">
        <v>562</v>
      </c>
      <c r="AT150" t="s">
        <v>85</v>
      </c>
      <c r="AU150" t="s">
        <v>86</v>
      </c>
      <c r="AV150">
        <v>562</v>
      </c>
      <c r="AW150" t="s">
        <v>6857</v>
      </c>
      <c r="AX150" t="s">
        <v>88</v>
      </c>
      <c r="AZ150" t="s">
        <v>6858</v>
      </c>
      <c r="BA150">
        <v>1</v>
      </c>
    </row>
    <row r="151" spans="1:54" x14ac:dyDescent="0.2">
      <c r="A151" t="s">
        <v>6859</v>
      </c>
      <c r="B151" t="s">
        <v>6860</v>
      </c>
      <c r="C151" t="s">
        <v>6820</v>
      </c>
      <c r="D151" t="s">
        <v>6861</v>
      </c>
      <c r="E151" t="s">
        <v>6861</v>
      </c>
      <c r="G151" t="s">
        <v>56</v>
      </c>
      <c r="H151" t="s">
        <v>93</v>
      </c>
      <c r="I151" t="s">
        <v>447</v>
      </c>
      <c r="J151" t="s">
        <v>6822</v>
      </c>
      <c r="K151" t="s">
        <v>7165</v>
      </c>
      <c r="L151" t="s">
        <v>7172</v>
      </c>
      <c r="M151" s="1" t="s">
        <v>183</v>
      </c>
      <c r="N151" t="s">
        <v>184</v>
      </c>
      <c r="O151" s="1" t="s">
        <v>126</v>
      </c>
      <c r="P151" s="1" t="s">
        <v>185</v>
      </c>
      <c r="Q151" s="11" t="s">
        <v>7210</v>
      </c>
      <c r="R151" s="1">
        <v>33</v>
      </c>
      <c r="S151" s="1">
        <v>1587</v>
      </c>
      <c r="T151" s="1" t="s">
        <v>169</v>
      </c>
      <c r="U151" s="1" t="s">
        <v>6824</v>
      </c>
      <c r="V151" t="s">
        <v>6862</v>
      </c>
      <c r="W151" t="s">
        <v>6863</v>
      </c>
      <c r="X151" t="s">
        <v>68</v>
      </c>
      <c r="Y151" t="s">
        <v>6864</v>
      </c>
      <c r="Z151" t="s">
        <v>6865</v>
      </c>
      <c r="AA151" t="s">
        <v>6866</v>
      </c>
      <c r="AB151" t="s">
        <v>580</v>
      </c>
      <c r="AC151" t="s">
        <v>73</v>
      </c>
      <c r="AD151" t="s">
        <v>6867</v>
      </c>
      <c r="AE151" t="s">
        <v>75</v>
      </c>
      <c r="AF151" t="s">
        <v>76</v>
      </c>
      <c r="AG151" t="s">
        <v>77</v>
      </c>
      <c r="AH151" t="s">
        <v>6868</v>
      </c>
      <c r="AI151" t="s">
        <v>156</v>
      </c>
      <c r="AJ151" t="s">
        <v>80</v>
      </c>
      <c r="AK151" t="s">
        <v>81</v>
      </c>
      <c r="AL151" t="s">
        <v>82</v>
      </c>
      <c r="AM151" t="s">
        <v>83</v>
      </c>
      <c r="AN151">
        <v>2018</v>
      </c>
      <c r="AO151">
        <v>60456</v>
      </c>
      <c r="AP151">
        <v>5528570</v>
      </c>
      <c r="AQ151">
        <v>248</v>
      </c>
      <c r="AR151" t="s">
        <v>84</v>
      </c>
      <c r="AS151">
        <v>562</v>
      </c>
      <c r="AT151" t="s">
        <v>85</v>
      </c>
      <c r="AU151" t="s">
        <v>86</v>
      </c>
      <c r="AV151">
        <v>562</v>
      </c>
      <c r="AW151" t="s">
        <v>6869</v>
      </c>
      <c r="AX151" t="s">
        <v>88</v>
      </c>
      <c r="AZ151" t="s">
        <v>6858</v>
      </c>
      <c r="BA151">
        <v>1</v>
      </c>
    </row>
    <row r="152" spans="1:54" x14ac:dyDescent="0.2">
      <c r="A152" t="s">
        <v>6921</v>
      </c>
      <c r="B152" t="s">
        <v>6922</v>
      </c>
      <c r="C152" t="s">
        <v>6896</v>
      </c>
      <c r="D152" t="s">
        <v>6923</v>
      </c>
      <c r="E152" t="s">
        <v>6923</v>
      </c>
      <c r="G152" t="s">
        <v>56</v>
      </c>
      <c r="H152" t="s">
        <v>58</v>
      </c>
      <c r="I152" t="s">
        <v>3132</v>
      </c>
      <c r="J152" t="s">
        <v>3132</v>
      </c>
      <c r="K152" t="s">
        <v>60</v>
      </c>
      <c r="L152" t="s">
        <v>60</v>
      </c>
      <c r="M152" s="1" t="s">
        <v>6764</v>
      </c>
      <c r="N152" t="s">
        <v>6912</v>
      </c>
      <c r="O152" s="1" t="s">
        <v>4494</v>
      </c>
      <c r="P152" s="1" t="s">
        <v>250</v>
      </c>
      <c r="Q152" s="11" t="s">
        <v>7327</v>
      </c>
      <c r="R152" s="1">
        <v>343</v>
      </c>
      <c r="S152" s="1">
        <v>29633</v>
      </c>
      <c r="T152" s="1" t="s">
        <v>169</v>
      </c>
      <c r="U152" s="1">
        <v>11077768</v>
      </c>
      <c r="V152" t="s">
        <v>6924</v>
      </c>
      <c r="W152" t="s">
        <v>6925</v>
      </c>
      <c r="X152" t="s">
        <v>68</v>
      </c>
      <c r="Y152" t="s">
        <v>6926</v>
      </c>
      <c r="Z152" t="s">
        <v>6927</v>
      </c>
      <c r="AA152" t="s">
        <v>6928</v>
      </c>
      <c r="AB152" t="s">
        <v>580</v>
      </c>
      <c r="AC152" t="s">
        <v>73</v>
      </c>
      <c r="AD152" t="s">
        <v>6929</v>
      </c>
      <c r="AE152" t="s">
        <v>75</v>
      </c>
      <c r="AF152" t="s">
        <v>76</v>
      </c>
      <c r="AG152" t="s">
        <v>77</v>
      </c>
      <c r="AH152" t="s">
        <v>6930</v>
      </c>
      <c r="AI152" t="s">
        <v>364</v>
      </c>
      <c r="AJ152" t="s">
        <v>80</v>
      </c>
      <c r="AK152" t="s">
        <v>81</v>
      </c>
      <c r="AL152" t="s">
        <v>82</v>
      </c>
      <c r="AM152" t="s">
        <v>83</v>
      </c>
      <c r="AN152">
        <v>2018</v>
      </c>
      <c r="AO152">
        <v>87392</v>
      </c>
      <c r="AP152">
        <v>5373048</v>
      </c>
      <c r="AQ152">
        <v>303</v>
      </c>
      <c r="AR152" t="s">
        <v>84</v>
      </c>
      <c r="AS152">
        <v>562</v>
      </c>
      <c r="AT152" t="s">
        <v>85</v>
      </c>
      <c r="AU152" t="s">
        <v>86</v>
      </c>
      <c r="AV152">
        <v>562</v>
      </c>
      <c r="AW152" t="s">
        <v>6931</v>
      </c>
      <c r="AX152" t="s">
        <v>88</v>
      </c>
      <c r="AZ152" t="s">
        <v>6908</v>
      </c>
      <c r="BA152">
        <v>0</v>
      </c>
      <c r="BB152">
        <v>35</v>
      </c>
    </row>
    <row r="153" spans="1:54" x14ac:dyDescent="0.2">
      <c r="A153" t="s">
        <v>4270</v>
      </c>
      <c r="B153" t="s">
        <v>4271</v>
      </c>
      <c r="C153" t="s">
        <v>4272</v>
      </c>
      <c r="D153" t="s">
        <v>4273</v>
      </c>
      <c r="E153" t="s">
        <v>4273</v>
      </c>
      <c r="G153" t="s">
        <v>56</v>
      </c>
      <c r="H153" t="s">
        <v>58</v>
      </c>
      <c r="I153" t="s">
        <v>4274</v>
      </c>
      <c r="J153" t="s">
        <v>4274</v>
      </c>
      <c r="K153" t="s">
        <v>7167</v>
      </c>
      <c r="L153" t="s">
        <v>7167</v>
      </c>
      <c r="M153" s="1" t="s">
        <v>603</v>
      </c>
      <c r="N153" t="s">
        <v>649</v>
      </c>
      <c r="O153" s="1" t="s">
        <v>674</v>
      </c>
      <c r="P153" s="1" t="s">
        <v>64</v>
      </c>
      <c r="Q153" s="11" t="s">
        <v>7220</v>
      </c>
      <c r="R153" s="1">
        <v>11</v>
      </c>
      <c r="S153" s="1">
        <v>2124</v>
      </c>
      <c r="T153" s="1" t="s">
        <v>651</v>
      </c>
      <c r="U153" s="1">
        <v>11213338</v>
      </c>
      <c r="V153" t="s">
        <v>4275</v>
      </c>
      <c r="W153" t="s">
        <v>4276</v>
      </c>
      <c r="X153" t="s">
        <v>68</v>
      </c>
      <c r="Y153" t="s">
        <v>4277</v>
      </c>
      <c r="Z153" t="s">
        <v>4278</v>
      </c>
      <c r="AA153" t="s">
        <v>4279</v>
      </c>
      <c r="AB153" t="s">
        <v>580</v>
      </c>
      <c r="AC153" t="s">
        <v>73</v>
      </c>
      <c r="AD153" t="s">
        <v>4280</v>
      </c>
      <c r="AE153" t="s">
        <v>75</v>
      </c>
      <c r="AF153" t="s">
        <v>76</v>
      </c>
      <c r="AG153" t="s">
        <v>77</v>
      </c>
      <c r="AH153" t="s">
        <v>682</v>
      </c>
      <c r="AI153" t="s">
        <v>615</v>
      </c>
      <c r="AJ153" t="s">
        <v>616</v>
      </c>
      <c r="AK153" t="s">
        <v>81</v>
      </c>
      <c r="AL153" t="s">
        <v>82</v>
      </c>
      <c r="AM153" t="s">
        <v>83</v>
      </c>
      <c r="AN153">
        <v>2018</v>
      </c>
      <c r="AO153">
        <v>87712</v>
      </c>
      <c r="AP153">
        <v>5288057</v>
      </c>
      <c r="AQ153">
        <v>266</v>
      </c>
      <c r="AR153" t="s">
        <v>84</v>
      </c>
      <c r="AS153">
        <v>562</v>
      </c>
      <c r="AT153" t="s">
        <v>85</v>
      </c>
      <c r="AU153" t="s">
        <v>86</v>
      </c>
      <c r="AV153">
        <v>562</v>
      </c>
      <c r="AW153" t="s">
        <v>4281</v>
      </c>
      <c r="AX153" t="s">
        <v>88</v>
      </c>
      <c r="AZ153" t="s">
        <v>841</v>
      </c>
      <c r="BA153">
        <v>1</v>
      </c>
      <c r="BB153">
        <v>1</v>
      </c>
    </row>
    <row r="154" spans="1:54" x14ac:dyDescent="0.2">
      <c r="A154" t="s">
        <v>4291</v>
      </c>
      <c r="B154" t="s">
        <v>4292</v>
      </c>
      <c r="C154" t="s">
        <v>4272</v>
      </c>
      <c r="D154" t="s">
        <v>4293</v>
      </c>
      <c r="E154" t="s">
        <v>4293</v>
      </c>
      <c r="G154" t="s">
        <v>56</v>
      </c>
      <c r="H154" t="s">
        <v>58</v>
      </c>
      <c r="I154" t="s">
        <v>4274</v>
      </c>
      <c r="J154" t="s">
        <v>4274</v>
      </c>
      <c r="K154" t="s">
        <v>7167</v>
      </c>
      <c r="L154" t="s">
        <v>7167</v>
      </c>
      <c r="M154" s="1" t="s">
        <v>603</v>
      </c>
      <c r="N154" t="s">
        <v>649</v>
      </c>
      <c r="O154" s="1" t="s">
        <v>674</v>
      </c>
      <c r="P154" s="1" t="s">
        <v>64</v>
      </c>
      <c r="Q154" s="11" t="s">
        <v>7220</v>
      </c>
      <c r="R154" s="1">
        <v>11</v>
      </c>
      <c r="S154" s="1">
        <v>2124</v>
      </c>
      <c r="T154" s="1" t="s">
        <v>651</v>
      </c>
      <c r="U154" s="1" t="s">
        <v>4294</v>
      </c>
      <c r="V154" t="s">
        <v>4295</v>
      </c>
      <c r="W154" t="s">
        <v>4296</v>
      </c>
      <c r="X154" t="s">
        <v>68</v>
      </c>
      <c r="Y154" t="s">
        <v>4297</v>
      </c>
      <c r="Z154" t="s">
        <v>4298</v>
      </c>
      <c r="AA154" t="s">
        <v>4299</v>
      </c>
      <c r="AB154" t="s">
        <v>4300</v>
      </c>
      <c r="AC154" t="s">
        <v>73</v>
      </c>
      <c r="AD154" t="s">
        <v>4301</v>
      </c>
      <c r="AE154" t="s">
        <v>75</v>
      </c>
      <c r="AF154" t="s">
        <v>76</v>
      </c>
      <c r="AG154" t="s">
        <v>77</v>
      </c>
      <c r="AH154" t="s">
        <v>4302</v>
      </c>
      <c r="AI154" t="s">
        <v>615</v>
      </c>
      <c r="AJ154" t="s">
        <v>616</v>
      </c>
      <c r="AK154" t="s">
        <v>81</v>
      </c>
      <c r="AL154" t="s">
        <v>82</v>
      </c>
      <c r="AM154" t="s">
        <v>83</v>
      </c>
      <c r="AN154">
        <v>2018</v>
      </c>
      <c r="AO154">
        <v>80454</v>
      </c>
      <c r="AP154">
        <v>5287118</v>
      </c>
      <c r="AQ154">
        <v>263</v>
      </c>
      <c r="AR154" t="s">
        <v>84</v>
      </c>
      <c r="AS154">
        <v>562</v>
      </c>
      <c r="AT154" t="s">
        <v>85</v>
      </c>
      <c r="AU154" t="s">
        <v>86</v>
      </c>
      <c r="AV154">
        <v>562</v>
      </c>
      <c r="AW154" t="s">
        <v>4303</v>
      </c>
      <c r="AX154" t="s">
        <v>88</v>
      </c>
      <c r="AZ154" t="s">
        <v>841</v>
      </c>
      <c r="BA154">
        <v>2</v>
      </c>
      <c r="BB154">
        <v>2</v>
      </c>
    </row>
    <row r="155" spans="1:54" x14ac:dyDescent="0.2">
      <c r="A155" t="s">
        <v>5994</v>
      </c>
      <c r="B155" t="s">
        <v>5995</v>
      </c>
      <c r="C155" t="s">
        <v>5996</v>
      </c>
      <c r="D155" t="s">
        <v>5997</v>
      </c>
      <c r="E155" t="s">
        <v>5997</v>
      </c>
      <c r="G155" t="s">
        <v>56</v>
      </c>
      <c r="H155" t="s">
        <v>93</v>
      </c>
      <c r="I155" t="s">
        <v>447</v>
      </c>
      <c r="J155" t="s">
        <v>5998</v>
      </c>
      <c r="K155" t="s">
        <v>7165</v>
      </c>
      <c r="L155" t="s">
        <v>7172</v>
      </c>
      <c r="M155" s="1" t="s">
        <v>448</v>
      </c>
      <c r="N155" t="s">
        <v>449</v>
      </c>
      <c r="O155" s="1" t="s">
        <v>4462</v>
      </c>
      <c r="P155" s="1" t="s">
        <v>434</v>
      </c>
      <c r="Q155" s="11" t="s">
        <v>7200</v>
      </c>
      <c r="R155" s="1">
        <v>25</v>
      </c>
      <c r="S155" s="1">
        <v>30074</v>
      </c>
      <c r="T155" s="1" t="s">
        <v>169</v>
      </c>
      <c r="U155" s="1">
        <v>10762625</v>
      </c>
      <c r="V155" t="s">
        <v>5999</v>
      </c>
      <c r="W155" t="s">
        <v>6000</v>
      </c>
      <c r="X155" t="s">
        <v>68</v>
      </c>
      <c r="Y155" t="s">
        <v>6001</v>
      </c>
      <c r="Z155" t="s">
        <v>6002</v>
      </c>
      <c r="AA155" t="s">
        <v>6003</v>
      </c>
      <c r="AB155" t="s">
        <v>4300</v>
      </c>
      <c r="AC155" t="s">
        <v>73</v>
      </c>
      <c r="AD155" t="s">
        <v>6004</v>
      </c>
      <c r="AF155" t="s">
        <v>76</v>
      </c>
      <c r="AG155" t="s">
        <v>77</v>
      </c>
      <c r="AH155" t="s">
        <v>6005</v>
      </c>
      <c r="AI155" t="s">
        <v>156</v>
      </c>
      <c r="AJ155" t="s">
        <v>531</v>
      </c>
      <c r="AK155" t="s">
        <v>532</v>
      </c>
      <c r="AL155" t="s">
        <v>533</v>
      </c>
      <c r="AM155" t="s">
        <v>83</v>
      </c>
      <c r="AN155">
        <v>2018</v>
      </c>
      <c r="AO155">
        <v>49695</v>
      </c>
      <c r="AP155">
        <v>5624422</v>
      </c>
      <c r="AQ155">
        <v>461</v>
      </c>
      <c r="AR155" t="s">
        <v>84</v>
      </c>
      <c r="AS155">
        <v>562</v>
      </c>
      <c r="AT155" t="s">
        <v>85</v>
      </c>
      <c r="AU155" t="s">
        <v>86</v>
      </c>
      <c r="AV155">
        <v>562</v>
      </c>
      <c r="AW155" t="s">
        <v>6006</v>
      </c>
      <c r="AX155" t="s">
        <v>88</v>
      </c>
    </row>
    <row r="156" spans="1:54" x14ac:dyDescent="0.2">
      <c r="A156" t="s">
        <v>6007</v>
      </c>
      <c r="B156" t="s">
        <v>6008</v>
      </c>
      <c r="C156" t="s">
        <v>6009</v>
      </c>
      <c r="D156" t="s">
        <v>6010</v>
      </c>
      <c r="E156" t="s">
        <v>6010</v>
      </c>
      <c r="G156" t="s">
        <v>56</v>
      </c>
      <c r="H156" t="s">
        <v>93</v>
      </c>
      <c r="I156" t="s">
        <v>447</v>
      </c>
      <c r="J156" t="s">
        <v>6011</v>
      </c>
      <c r="K156" t="s">
        <v>7165</v>
      </c>
      <c r="L156" t="s">
        <v>7172</v>
      </c>
      <c r="M156" s="1" t="s">
        <v>183</v>
      </c>
      <c r="N156" t="s">
        <v>6012</v>
      </c>
      <c r="O156" s="1" t="s">
        <v>3090</v>
      </c>
      <c r="P156" s="1" t="s">
        <v>185</v>
      </c>
      <c r="Q156" s="11" t="s">
        <v>7302</v>
      </c>
      <c r="R156" s="1">
        <v>33</v>
      </c>
      <c r="S156" s="1">
        <v>1587</v>
      </c>
      <c r="T156" s="1" t="s">
        <v>169</v>
      </c>
      <c r="U156" s="1">
        <v>10981249</v>
      </c>
      <c r="V156" t="s">
        <v>6014</v>
      </c>
      <c r="W156" t="s">
        <v>6015</v>
      </c>
      <c r="X156" t="s">
        <v>68</v>
      </c>
      <c r="Y156" t="s">
        <v>6016</v>
      </c>
      <c r="Z156" t="s">
        <v>6017</v>
      </c>
      <c r="AA156" t="s">
        <v>6018</v>
      </c>
      <c r="AB156" t="s">
        <v>4300</v>
      </c>
      <c r="AC156" t="s">
        <v>73</v>
      </c>
      <c r="AD156" t="s">
        <v>6019</v>
      </c>
      <c r="AE156" t="s">
        <v>75</v>
      </c>
      <c r="AF156" t="s">
        <v>76</v>
      </c>
      <c r="AG156" t="s">
        <v>77</v>
      </c>
      <c r="AH156" t="s">
        <v>6020</v>
      </c>
      <c r="AI156" t="s">
        <v>156</v>
      </c>
      <c r="AJ156" t="s">
        <v>80</v>
      </c>
      <c r="AK156" t="s">
        <v>81</v>
      </c>
      <c r="AL156" t="s">
        <v>82</v>
      </c>
      <c r="AM156" t="s">
        <v>83</v>
      </c>
      <c r="AN156">
        <v>2018</v>
      </c>
      <c r="AO156">
        <v>63807</v>
      </c>
      <c r="AP156">
        <v>5455586</v>
      </c>
      <c r="AQ156">
        <v>452</v>
      </c>
      <c r="AR156" t="s">
        <v>84</v>
      </c>
      <c r="AS156">
        <v>562</v>
      </c>
      <c r="AT156" t="s">
        <v>85</v>
      </c>
      <c r="AU156" t="s">
        <v>86</v>
      </c>
      <c r="AV156">
        <v>562</v>
      </c>
      <c r="AW156" t="s">
        <v>6021</v>
      </c>
      <c r="AX156" t="s">
        <v>88</v>
      </c>
      <c r="AZ156" t="s">
        <v>6022</v>
      </c>
      <c r="BA156">
        <v>2</v>
      </c>
    </row>
    <row r="157" spans="1:54" x14ac:dyDescent="0.2">
      <c r="A157" t="s">
        <v>6023</v>
      </c>
      <c r="B157" t="s">
        <v>6024</v>
      </c>
      <c r="C157" t="s">
        <v>6009</v>
      </c>
      <c r="D157" t="s">
        <v>6025</v>
      </c>
      <c r="E157" t="s">
        <v>6025</v>
      </c>
      <c r="G157" t="s">
        <v>56</v>
      </c>
      <c r="H157" t="s">
        <v>93</v>
      </c>
      <c r="I157" t="s">
        <v>447</v>
      </c>
      <c r="J157" t="s">
        <v>6011</v>
      </c>
      <c r="K157" t="s">
        <v>7165</v>
      </c>
      <c r="L157" t="s">
        <v>7172</v>
      </c>
      <c r="M157" s="1" t="s">
        <v>183</v>
      </c>
      <c r="N157" t="s">
        <v>6012</v>
      </c>
      <c r="O157" s="1" t="s">
        <v>3090</v>
      </c>
      <c r="P157" s="1" t="s">
        <v>185</v>
      </c>
      <c r="Q157" s="11" t="s">
        <v>7302</v>
      </c>
      <c r="R157" s="1">
        <v>33</v>
      </c>
      <c r="S157" s="1">
        <v>1587</v>
      </c>
      <c r="T157" s="1" t="s">
        <v>169</v>
      </c>
      <c r="U157" s="1">
        <v>10981249</v>
      </c>
      <c r="V157" t="s">
        <v>6026</v>
      </c>
      <c r="W157" t="s">
        <v>6027</v>
      </c>
      <c r="X157" t="s">
        <v>68</v>
      </c>
      <c r="Y157" t="s">
        <v>6028</v>
      </c>
      <c r="Z157" t="s">
        <v>6029</v>
      </c>
      <c r="AA157" t="s">
        <v>6030</v>
      </c>
      <c r="AB157" t="s">
        <v>4300</v>
      </c>
      <c r="AC157" t="s">
        <v>73</v>
      </c>
      <c r="AD157" t="s">
        <v>6031</v>
      </c>
      <c r="AE157" t="s">
        <v>75</v>
      </c>
      <c r="AF157" t="s">
        <v>76</v>
      </c>
      <c r="AG157" t="s">
        <v>77</v>
      </c>
      <c r="AH157" t="s">
        <v>6032</v>
      </c>
      <c r="AI157" t="s">
        <v>156</v>
      </c>
      <c r="AJ157" t="s">
        <v>80</v>
      </c>
      <c r="AK157" t="s">
        <v>81</v>
      </c>
      <c r="AL157" t="s">
        <v>82</v>
      </c>
      <c r="AM157" t="s">
        <v>83</v>
      </c>
      <c r="AN157">
        <v>2018</v>
      </c>
      <c r="AO157">
        <v>63917</v>
      </c>
      <c r="AP157">
        <v>5493775</v>
      </c>
      <c r="AQ157">
        <v>292</v>
      </c>
      <c r="AR157" t="s">
        <v>84</v>
      </c>
      <c r="AS157">
        <v>562</v>
      </c>
      <c r="AT157" t="s">
        <v>85</v>
      </c>
      <c r="AU157" t="s">
        <v>86</v>
      </c>
      <c r="AV157">
        <v>562</v>
      </c>
      <c r="AW157" t="s">
        <v>6033</v>
      </c>
      <c r="AX157" t="s">
        <v>88</v>
      </c>
      <c r="AZ157" t="s">
        <v>6022</v>
      </c>
      <c r="BA157">
        <v>2</v>
      </c>
    </row>
    <row r="158" spans="1:54" x14ac:dyDescent="0.2">
      <c r="A158" t="s">
        <v>6034</v>
      </c>
      <c r="B158" t="s">
        <v>6035</v>
      </c>
      <c r="C158" t="s">
        <v>6009</v>
      </c>
      <c r="D158" t="s">
        <v>6036</v>
      </c>
      <c r="E158" t="s">
        <v>6036</v>
      </c>
      <c r="G158" t="s">
        <v>56</v>
      </c>
      <c r="H158" t="s">
        <v>93</v>
      </c>
      <c r="I158" t="s">
        <v>406</v>
      </c>
      <c r="J158" t="s">
        <v>406</v>
      </c>
      <c r="K158" t="s">
        <v>7165</v>
      </c>
      <c r="L158" t="s">
        <v>7172</v>
      </c>
      <c r="M158" s="1" t="s">
        <v>3194</v>
      </c>
      <c r="N158" t="s">
        <v>6037</v>
      </c>
      <c r="O158" s="1" t="s">
        <v>166</v>
      </c>
      <c r="P158" s="1" t="s">
        <v>167</v>
      </c>
      <c r="Q158" s="11" t="s">
        <v>7197</v>
      </c>
      <c r="R158" s="1">
        <v>1817</v>
      </c>
      <c r="S158" s="1">
        <v>61940</v>
      </c>
      <c r="T158" s="1" t="s">
        <v>3196</v>
      </c>
      <c r="U158" s="1">
        <v>10981249</v>
      </c>
      <c r="V158" t="s">
        <v>6038</v>
      </c>
      <c r="W158" t="s">
        <v>6039</v>
      </c>
      <c r="X158" t="s">
        <v>68</v>
      </c>
      <c r="Y158" t="s">
        <v>6040</v>
      </c>
      <c r="Z158" t="s">
        <v>6041</v>
      </c>
      <c r="AA158" t="s">
        <v>6042</v>
      </c>
      <c r="AB158" t="s">
        <v>4300</v>
      </c>
      <c r="AC158" t="s">
        <v>73</v>
      </c>
      <c r="AD158" t="s">
        <v>6043</v>
      </c>
      <c r="AE158" t="s">
        <v>75</v>
      </c>
      <c r="AF158" t="s">
        <v>76</v>
      </c>
      <c r="AG158" t="s">
        <v>77</v>
      </c>
      <c r="AH158" t="s">
        <v>6044</v>
      </c>
      <c r="AJ158" t="s">
        <v>80</v>
      </c>
      <c r="AK158" t="s">
        <v>81</v>
      </c>
      <c r="AL158" t="s">
        <v>82</v>
      </c>
      <c r="AM158" t="s">
        <v>83</v>
      </c>
      <c r="AN158">
        <v>2018</v>
      </c>
      <c r="AO158">
        <v>67780</v>
      </c>
      <c r="AP158">
        <v>5068790</v>
      </c>
      <c r="AQ158">
        <v>185</v>
      </c>
      <c r="AR158" t="s">
        <v>84</v>
      </c>
      <c r="AS158">
        <v>562</v>
      </c>
      <c r="AT158" t="s">
        <v>85</v>
      </c>
      <c r="AU158" t="s">
        <v>86</v>
      </c>
      <c r="AV158">
        <v>562</v>
      </c>
      <c r="AW158" t="s">
        <v>6045</v>
      </c>
      <c r="AX158" t="s">
        <v>88</v>
      </c>
      <c r="AZ158" t="s">
        <v>6046</v>
      </c>
      <c r="BA158">
        <v>1</v>
      </c>
    </row>
    <row r="159" spans="1:54" x14ac:dyDescent="0.2">
      <c r="A159" t="s">
        <v>6098</v>
      </c>
      <c r="B159" t="s">
        <v>6099</v>
      </c>
      <c r="C159" t="s">
        <v>6087</v>
      </c>
      <c r="D159" t="s">
        <v>6100</v>
      </c>
      <c r="E159" t="s">
        <v>6100</v>
      </c>
      <c r="G159" t="s">
        <v>56</v>
      </c>
      <c r="H159" t="s">
        <v>93</v>
      </c>
      <c r="I159" t="s">
        <v>6089</v>
      </c>
      <c r="J159" t="s">
        <v>6089</v>
      </c>
      <c r="K159" t="s">
        <v>7165</v>
      </c>
      <c r="L159" t="s">
        <v>7165</v>
      </c>
      <c r="M159" s="1" t="s">
        <v>268</v>
      </c>
      <c r="N159" t="s">
        <v>354</v>
      </c>
      <c r="O159" s="1" t="s">
        <v>144</v>
      </c>
      <c r="P159" s="1" t="s">
        <v>270</v>
      </c>
      <c r="Q159" s="11" t="s">
        <v>7221</v>
      </c>
      <c r="R159" s="1">
        <v>677</v>
      </c>
      <c r="S159" s="1">
        <v>30630</v>
      </c>
      <c r="T159" s="1" t="s">
        <v>6101</v>
      </c>
      <c r="U159" s="1">
        <v>11121965</v>
      </c>
      <c r="V159" t="s">
        <v>6102</v>
      </c>
      <c r="W159" t="s">
        <v>6103</v>
      </c>
      <c r="X159" t="s">
        <v>68</v>
      </c>
      <c r="Y159" t="s">
        <v>6104</v>
      </c>
      <c r="Z159" t="s">
        <v>6105</v>
      </c>
      <c r="AA159" t="s">
        <v>6106</v>
      </c>
      <c r="AB159" t="s">
        <v>4300</v>
      </c>
      <c r="AC159" t="s">
        <v>73</v>
      </c>
      <c r="AD159" t="s">
        <v>6107</v>
      </c>
      <c r="AE159" t="s">
        <v>6108</v>
      </c>
      <c r="AF159" t="s">
        <v>76</v>
      </c>
      <c r="AG159" t="s">
        <v>77</v>
      </c>
      <c r="AH159" t="s">
        <v>6109</v>
      </c>
      <c r="AI159" t="s">
        <v>156</v>
      </c>
      <c r="AJ159" t="s">
        <v>6110</v>
      </c>
      <c r="AK159" t="s">
        <v>81</v>
      </c>
      <c r="AL159" t="s">
        <v>82</v>
      </c>
      <c r="AM159" t="s">
        <v>83</v>
      </c>
      <c r="AN159">
        <v>2018</v>
      </c>
      <c r="AO159">
        <v>67668</v>
      </c>
      <c r="AP159">
        <v>5282118</v>
      </c>
      <c r="AQ159">
        <v>247</v>
      </c>
      <c r="AR159" t="s">
        <v>84</v>
      </c>
      <c r="AS159">
        <v>562</v>
      </c>
      <c r="AT159" t="s">
        <v>85</v>
      </c>
      <c r="AU159" t="s">
        <v>86</v>
      </c>
      <c r="AV159">
        <v>562</v>
      </c>
      <c r="AW159" t="s">
        <v>6111</v>
      </c>
      <c r="AX159" t="s">
        <v>88</v>
      </c>
      <c r="AZ159" t="s">
        <v>283</v>
      </c>
      <c r="BA159">
        <v>3</v>
      </c>
    </row>
    <row r="160" spans="1:54" x14ac:dyDescent="0.2">
      <c r="A160" t="s">
        <v>584</v>
      </c>
      <c r="B160" t="s">
        <v>584</v>
      </c>
      <c r="C160" t="s">
        <v>585</v>
      </c>
      <c r="D160" t="s">
        <v>586</v>
      </c>
      <c r="E160" t="s">
        <v>586</v>
      </c>
      <c r="G160" t="s">
        <v>56</v>
      </c>
      <c r="H160" t="s">
        <v>93</v>
      </c>
      <c r="I160" t="s">
        <v>447</v>
      </c>
      <c r="J160" t="s">
        <v>480</v>
      </c>
      <c r="K160" t="s">
        <v>7165</v>
      </c>
      <c r="L160" t="s">
        <v>7165</v>
      </c>
      <c r="M160" s="1" t="s">
        <v>448</v>
      </c>
      <c r="N160" t="s">
        <v>587</v>
      </c>
      <c r="O160" s="1" t="s">
        <v>126</v>
      </c>
      <c r="P160" s="1" t="s">
        <v>434</v>
      </c>
      <c r="Q160" s="11" t="s">
        <v>7337</v>
      </c>
      <c r="R160" s="1">
        <v>25</v>
      </c>
      <c r="S160" s="1">
        <v>30074</v>
      </c>
      <c r="T160" s="1" t="s">
        <v>169</v>
      </c>
      <c r="U160" s="1">
        <v>10691518</v>
      </c>
      <c r="V160" t="s">
        <v>589</v>
      </c>
      <c r="W160" t="s">
        <v>590</v>
      </c>
      <c r="X160" t="s">
        <v>68</v>
      </c>
      <c r="Y160" t="s">
        <v>591</v>
      </c>
      <c r="Z160" t="s">
        <v>592</v>
      </c>
      <c r="AA160" t="s">
        <v>593</v>
      </c>
      <c r="AB160" t="s">
        <v>344</v>
      </c>
      <c r="AC160" t="s">
        <v>73</v>
      </c>
      <c r="AD160" t="s">
        <v>594</v>
      </c>
      <c r="AE160" t="s">
        <v>75</v>
      </c>
      <c r="AF160" t="s">
        <v>76</v>
      </c>
      <c r="AG160" t="s">
        <v>77</v>
      </c>
      <c r="AH160" t="s">
        <v>595</v>
      </c>
      <c r="AI160" t="s">
        <v>156</v>
      </c>
      <c r="AJ160" t="s">
        <v>596</v>
      </c>
      <c r="AK160" t="s">
        <v>81</v>
      </c>
      <c r="AL160" t="s">
        <v>82</v>
      </c>
      <c r="AM160" t="s">
        <v>83</v>
      </c>
      <c r="AN160">
        <v>2018</v>
      </c>
      <c r="AO160">
        <v>113308</v>
      </c>
      <c r="AP160">
        <v>5552907</v>
      </c>
      <c r="AQ160">
        <v>469</v>
      </c>
      <c r="AR160" t="s">
        <v>84</v>
      </c>
      <c r="AS160">
        <v>562</v>
      </c>
      <c r="AT160" t="s">
        <v>85</v>
      </c>
      <c r="AU160" t="s">
        <v>86</v>
      </c>
      <c r="AV160">
        <v>562</v>
      </c>
      <c r="AW160" t="s">
        <v>597</v>
      </c>
      <c r="AX160" t="s">
        <v>88</v>
      </c>
    </row>
    <row r="161" spans="1:54" x14ac:dyDescent="0.2">
      <c r="A161" t="s">
        <v>6112</v>
      </c>
      <c r="B161" t="s">
        <v>6113</v>
      </c>
      <c r="C161" t="s">
        <v>6087</v>
      </c>
      <c r="D161" t="s">
        <v>6114</v>
      </c>
      <c r="E161" t="s">
        <v>6114</v>
      </c>
      <c r="G161" t="s">
        <v>56</v>
      </c>
      <c r="H161" t="s">
        <v>93</v>
      </c>
      <c r="I161" t="s">
        <v>6089</v>
      </c>
      <c r="J161" t="s">
        <v>6089</v>
      </c>
      <c r="K161" t="s">
        <v>7165</v>
      </c>
      <c r="L161" t="s">
        <v>7165</v>
      </c>
      <c r="M161" s="1" t="s">
        <v>268</v>
      </c>
      <c r="N161" t="s">
        <v>354</v>
      </c>
      <c r="O161" s="1" t="s">
        <v>144</v>
      </c>
      <c r="P161" s="1" t="s">
        <v>270</v>
      </c>
      <c r="Q161" s="11" t="s">
        <v>7221</v>
      </c>
      <c r="R161" s="1">
        <v>677</v>
      </c>
      <c r="S161" s="1">
        <v>30630</v>
      </c>
      <c r="T161" s="1" t="s">
        <v>6101</v>
      </c>
      <c r="U161" s="1">
        <v>11121965</v>
      </c>
      <c r="V161" t="s">
        <v>6115</v>
      </c>
      <c r="W161" t="s">
        <v>6116</v>
      </c>
      <c r="X161" t="s">
        <v>68</v>
      </c>
      <c r="Y161" t="s">
        <v>6117</v>
      </c>
      <c r="Z161" t="s">
        <v>6118</v>
      </c>
      <c r="AA161" t="s">
        <v>6119</v>
      </c>
      <c r="AB161" t="s">
        <v>344</v>
      </c>
      <c r="AC161" t="s">
        <v>73</v>
      </c>
      <c r="AD161" t="s">
        <v>6120</v>
      </c>
      <c r="AE161" t="s">
        <v>279</v>
      </c>
      <c r="AF161" t="s">
        <v>76</v>
      </c>
      <c r="AG161" t="s">
        <v>77</v>
      </c>
      <c r="AH161" t="s">
        <v>6121</v>
      </c>
      <c r="AI161" t="s">
        <v>156</v>
      </c>
      <c r="AJ161" t="s">
        <v>281</v>
      </c>
      <c r="AK161" t="s">
        <v>81</v>
      </c>
      <c r="AL161" t="s">
        <v>82</v>
      </c>
      <c r="AM161" t="s">
        <v>83</v>
      </c>
      <c r="AN161">
        <v>2018</v>
      </c>
      <c r="AO161">
        <v>45455</v>
      </c>
      <c r="AP161">
        <v>5259112</v>
      </c>
      <c r="AQ161">
        <v>322</v>
      </c>
      <c r="AR161" t="s">
        <v>84</v>
      </c>
      <c r="AS161">
        <v>562</v>
      </c>
      <c r="AT161" t="s">
        <v>85</v>
      </c>
      <c r="AU161" t="s">
        <v>86</v>
      </c>
      <c r="AV161">
        <v>562</v>
      </c>
      <c r="AW161" t="s">
        <v>6122</v>
      </c>
      <c r="AX161" t="s">
        <v>88</v>
      </c>
      <c r="AZ161" t="s">
        <v>283</v>
      </c>
      <c r="BA161">
        <v>5</v>
      </c>
    </row>
    <row r="162" spans="1:54" x14ac:dyDescent="0.2">
      <c r="A162" t="s">
        <v>6123</v>
      </c>
      <c r="B162" t="s">
        <v>6124</v>
      </c>
      <c r="C162" t="s">
        <v>6125</v>
      </c>
      <c r="D162" t="s">
        <v>6126</v>
      </c>
      <c r="E162" t="s">
        <v>6126</v>
      </c>
      <c r="G162" t="s">
        <v>56</v>
      </c>
      <c r="H162" t="s">
        <v>93</v>
      </c>
      <c r="I162" t="s">
        <v>406</v>
      </c>
      <c r="J162" t="s">
        <v>6127</v>
      </c>
      <c r="K162" t="s">
        <v>7165</v>
      </c>
      <c r="L162" t="s">
        <v>7172</v>
      </c>
      <c r="M162" s="1" t="s">
        <v>6128</v>
      </c>
      <c r="N162" t="s">
        <v>6129</v>
      </c>
      <c r="O162" s="1" t="s">
        <v>166</v>
      </c>
      <c r="P162" s="1" t="s">
        <v>167</v>
      </c>
      <c r="Q162" s="11" t="s">
        <v>7197</v>
      </c>
      <c r="R162" s="1">
        <v>336</v>
      </c>
      <c r="S162" s="1">
        <v>168720</v>
      </c>
      <c r="T162" s="1" t="s">
        <v>169</v>
      </c>
      <c r="U162" s="1">
        <v>11176125</v>
      </c>
      <c r="V162" t="s">
        <v>6130</v>
      </c>
      <c r="W162" t="s">
        <v>6131</v>
      </c>
      <c r="X162" t="s">
        <v>68</v>
      </c>
      <c r="Y162" t="s">
        <v>6132</v>
      </c>
      <c r="Z162" t="s">
        <v>6133</v>
      </c>
      <c r="AA162" t="s">
        <v>6134</v>
      </c>
      <c r="AB162" t="s">
        <v>344</v>
      </c>
      <c r="AC162" t="s">
        <v>73</v>
      </c>
      <c r="AD162" t="s">
        <v>6135</v>
      </c>
      <c r="AE162" t="s">
        <v>75</v>
      </c>
      <c r="AF162" t="s">
        <v>76</v>
      </c>
      <c r="AG162" t="s">
        <v>77</v>
      </c>
      <c r="AH162" t="s">
        <v>6136</v>
      </c>
      <c r="AI162" t="s">
        <v>107</v>
      </c>
      <c r="AJ162" t="s">
        <v>80</v>
      </c>
      <c r="AK162" t="s">
        <v>81</v>
      </c>
      <c r="AL162" t="s">
        <v>82</v>
      </c>
      <c r="AM162" t="s">
        <v>83</v>
      </c>
      <c r="AN162">
        <v>2018</v>
      </c>
      <c r="AO162">
        <v>70490</v>
      </c>
      <c r="AP162">
        <v>5103209</v>
      </c>
      <c r="AQ162">
        <v>324</v>
      </c>
      <c r="AR162" t="s">
        <v>84</v>
      </c>
      <c r="AS162">
        <v>562</v>
      </c>
      <c r="AT162" t="s">
        <v>85</v>
      </c>
      <c r="AU162" t="s">
        <v>86</v>
      </c>
      <c r="AV162">
        <v>562</v>
      </c>
      <c r="AW162" t="s">
        <v>6137</v>
      </c>
      <c r="AX162" t="s">
        <v>88</v>
      </c>
    </row>
    <row r="163" spans="1:54" x14ac:dyDescent="0.2">
      <c r="A163" t="s">
        <v>337</v>
      </c>
      <c r="B163" t="s">
        <v>337</v>
      </c>
      <c r="C163" t="s">
        <v>308</v>
      </c>
      <c r="D163" t="s">
        <v>338</v>
      </c>
      <c r="E163" t="s">
        <v>338</v>
      </c>
      <c r="G163" t="s">
        <v>56</v>
      </c>
      <c r="H163" t="s">
        <v>93</v>
      </c>
      <c r="I163" t="s">
        <v>310</v>
      </c>
      <c r="J163" t="s">
        <v>310</v>
      </c>
      <c r="K163" t="s">
        <v>7167</v>
      </c>
      <c r="L163" t="s">
        <v>7167</v>
      </c>
      <c r="M163" s="1" t="s">
        <v>311</v>
      </c>
      <c r="N163" t="s">
        <v>312</v>
      </c>
      <c r="O163" s="1" t="s">
        <v>144</v>
      </c>
      <c r="P163" s="1" t="s">
        <v>313</v>
      </c>
      <c r="Q163" s="11" t="s">
        <v>7345</v>
      </c>
      <c r="R163" s="1">
        <v>69</v>
      </c>
      <c r="S163" s="1">
        <v>65499</v>
      </c>
      <c r="T163" s="1" t="s">
        <v>169</v>
      </c>
      <c r="U163" s="1">
        <v>10388132</v>
      </c>
      <c r="V163" t="s">
        <v>339</v>
      </c>
      <c r="W163" t="s">
        <v>340</v>
      </c>
      <c r="X163" t="s">
        <v>68</v>
      </c>
      <c r="Y163" t="s">
        <v>341</v>
      </c>
      <c r="Z163" t="s">
        <v>342</v>
      </c>
      <c r="AA163" t="s">
        <v>343</v>
      </c>
      <c r="AB163" t="s">
        <v>344</v>
      </c>
      <c r="AC163" t="s">
        <v>73</v>
      </c>
      <c r="AD163" t="s">
        <v>345</v>
      </c>
      <c r="AE163" t="s">
        <v>321</v>
      </c>
      <c r="AF163" t="s">
        <v>76</v>
      </c>
      <c r="AG163" t="s">
        <v>77</v>
      </c>
      <c r="AH163" t="s">
        <v>346</v>
      </c>
      <c r="AI163" t="s">
        <v>323</v>
      </c>
      <c r="AJ163" t="s">
        <v>324</v>
      </c>
      <c r="AK163" t="s">
        <v>81</v>
      </c>
      <c r="AL163" t="s">
        <v>82</v>
      </c>
      <c r="AM163" t="s">
        <v>83</v>
      </c>
      <c r="AN163">
        <v>2018</v>
      </c>
      <c r="AO163">
        <v>71717</v>
      </c>
      <c r="AP163">
        <v>5252627</v>
      </c>
      <c r="AQ163">
        <v>176</v>
      </c>
      <c r="AR163" t="s">
        <v>84</v>
      </c>
      <c r="AS163">
        <v>562</v>
      </c>
      <c r="AT163" t="s">
        <v>85</v>
      </c>
      <c r="AU163" t="s">
        <v>86</v>
      </c>
      <c r="AV163">
        <v>562</v>
      </c>
      <c r="AW163" t="s">
        <v>347</v>
      </c>
      <c r="AX163" t="s">
        <v>88</v>
      </c>
      <c r="AZ163" t="s">
        <v>326</v>
      </c>
      <c r="BA163">
        <v>5</v>
      </c>
    </row>
    <row r="164" spans="1:54" x14ac:dyDescent="0.2">
      <c r="A164" t="s">
        <v>348</v>
      </c>
      <c r="B164" t="s">
        <v>348</v>
      </c>
      <c r="C164" t="s">
        <v>349</v>
      </c>
      <c r="D164" t="s">
        <v>350</v>
      </c>
      <c r="E164" s="2" t="s">
        <v>348</v>
      </c>
      <c r="G164" t="s">
        <v>56</v>
      </c>
      <c r="H164" t="s">
        <v>58</v>
      </c>
      <c r="I164" t="s">
        <v>352</v>
      </c>
      <c r="J164" t="s">
        <v>352</v>
      </c>
      <c r="K164" t="s">
        <v>7165</v>
      </c>
      <c r="L164" t="s">
        <v>7172</v>
      </c>
      <c r="M164" s="1" t="s">
        <v>353</v>
      </c>
      <c r="N164" t="s">
        <v>354</v>
      </c>
      <c r="O164" s="1" t="s">
        <v>144</v>
      </c>
      <c r="P164" s="1" t="s">
        <v>355</v>
      </c>
      <c r="Q164" s="11" t="s">
        <v>7198</v>
      </c>
      <c r="R164" s="1">
        <v>155</v>
      </c>
      <c r="S164" s="1">
        <v>1607</v>
      </c>
      <c r="T164" s="1" t="s">
        <v>169</v>
      </c>
      <c r="U164" s="1">
        <v>11774050</v>
      </c>
      <c r="V164" t="s">
        <v>357</v>
      </c>
      <c r="W164" t="s">
        <v>358</v>
      </c>
      <c r="X164" t="s">
        <v>68</v>
      </c>
      <c r="Y164" t="s">
        <v>359</v>
      </c>
      <c r="Z164" t="s">
        <v>360</v>
      </c>
      <c r="AA164" t="s">
        <v>361</v>
      </c>
      <c r="AB164" t="s">
        <v>344</v>
      </c>
      <c r="AC164" t="s">
        <v>73</v>
      </c>
      <c r="AD164" t="s">
        <v>362</v>
      </c>
      <c r="AE164" t="s">
        <v>75</v>
      </c>
      <c r="AF164" t="s">
        <v>76</v>
      </c>
      <c r="AG164" t="s">
        <v>77</v>
      </c>
      <c r="AH164" t="s">
        <v>363</v>
      </c>
      <c r="AI164" t="s">
        <v>364</v>
      </c>
      <c r="AJ164" t="s">
        <v>80</v>
      </c>
      <c r="AK164" t="s">
        <v>81</v>
      </c>
      <c r="AL164" t="s">
        <v>82</v>
      </c>
      <c r="AM164" t="s">
        <v>83</v>
      </c>
      <c r="AN164">
        <v>2018</v>
      </c>
      <c r="AO164">
        <v>158500</v>
      </c>
      <c r="AP164">
        <v>5193919</v>
      </c>
      <c r="AQ164">
        <v>135</v>
      </c>
      <c r="AR164" t="s">
        <v>84</v>
      </c>
      <c r="AS164">
        <v>562</v>
      </c>
      <c r="AT164" t="s">
        <v>85</v>
      </c>
      <c r="AU164" t="s">
        <v>86</v>
      </c>
      <c r="AV164">
        <v>562</v>
      </c>
      <c r="AW164" t="s">
        <v>365</v>
      </c>
      <c r="AX164" t="s">
        <v>88</v>
      </c>
      <c r="AZ164" t="s">
        <v>366</v>
      </c>
      <c r="BA164">
        <v>1</v>
      </c>
    </row>
    <row r="165" spans="1:54" x14ac:dyDescent="0.2">
      <c r="A165" t="s">
        <v>367</v>
      </c>
      <c r="B165" t="s">
        <v>367</v>
      </c>
      <c r="C165" t="s">
        <v>368</v>
      </c>
      <c r="D165" t="s">
        <v>369</v>
      </c>
      <c r="E165" t="s">
        <v>369</v>
      </c>
      <c r="G165" t="s">
        <v>56</v>
      </c>
      <c r="H165" t="s">
        <v>93</v>
      </c>
      <c r="I165" t="s">
        <v>370</v>
      </c>
      <c r="J165" t="s">
        <v>371</v>
      </c>
      <c r="K165" t="s">
        <v>7165</v>
      </c>
      <c r="L165" t="s">
        <v>7165</v>
      </c>
      <c r="M165" s="1" t="s">
        <v>372</v>
      </c>
      <c r="N165" t="s">
        <v>354</v>
      </c>
      <c r="O165" s="1" t="s">
        <v>373</v>
      </c>
      <c r="P165" s="1" t="s">
        <v>167</v>
      </c>
      <c r="Q165" s="11" t="s">
        <v>7197</v>
      </c>
      <c r="R165" s="1">
        <v>40</v>
      </c>
      <c r="S165" s="1">
        <v>1624</v>
      </c>
      <c r="T165" s="1" t="s">
        <v>374</v>
      </c>
      <c r="U165" s="1">
        <v>10762614</v>
      </c>
      <c r="V165" t="s">
        <v>375</v>
      </c>
      <c r="W165" t="s">
        <v>376</v>
      </c>
      <c r="X165" t="s">
        <v>68</v>
      </c>
      <c r="Y165" t="s">
        <v>377</v>
      </c>
      <c r="Z165" t="s">
        <v>378</v>
      </c>
      <c r="AA165" t="s">
        <v>379</v>
      </c>
      <c r="AB165" t="s">
        <v>344</v>
      </c>
      <c r="AC165" t="s">
        <v>73</v>
      </c>
      <c r="AD165" t="s">
        <v>380</v>
      </c>
      <c r="AE165" t="s">
        <v>381</v>
      </c>
      <c r="AF165" t="s">
        <v>76</v>
      </c>
      <c r="AG165" t="s">
        <v>77</v>
      </c>
      <c r="AH165" t="s">
        <v>382</v>
      </c>
      <c r="AI165" t="s">
        <v>156</v>
      </c>
      <c r="AJ165" t="s">
        <v>383</v>
      </c>
      <c r="AK165" t="s">
        <v>81</v>
      </c>
      <c r="AL165" t="s">
        <v>82</v>
      </c>
      <c r="AM165" t="s">
        <v>83</v>
      </c>
      <c r="AN165">
        <v>2018</v>
      </c>
      <c r="AO165">
        <v>64785</v>
      </c>
      <c r="AP165">
        <v>5218831</v>
      </c>
      <c r="AQ165">
        <v>263</v>
      </c>
      <c r="AR165" t="s">
        <v>84</v>
      </c>
      <c r="AS165">
        <v>562</v>
      </c>
      <c r="AT165" t="s">
        <v>85</v>
      </c>
      <c r="AU165" t="s">
        <v>86</v>
      </c>
      <c r="AV165">
        <v>562</v>
      </c>
      <c r="AW165" t="s">
        <v>384</v>
      </c>
      <c r="AX165" t="s">
        <v>88</v>
      </c>
      <c r="AZ165" t="s">
        <v>385</v>
      </c>
      <c r="BA165">
        <v>8</v>
      </c>
      <c r="BB165">
        <v>34</v>
      </c>
    </row>
    <row r="166" spans="1:54" x14ac:dyDescent="0.2">
      <c r="A166" t="s">
        <v>3058</v>
      </c>
      <c r="B166" t="s">
        <v>3058</v>
      </c>
      <c r="C166" t="s">
        <v>349</v>
      </c>
      <c r="D166" t="s">
        <v>3059</v>
      </c>
      <c r="E166" t="s">
        <v>3059</v>
      </c>
      <c r="G166" t="s">
        <v>56</v>
      </c>
      <c r="H166" t="s">
        <v>58</v>
      </c>
      <c r="I166" t="s">
        <v>352</v>
      </c>
      <c r="J166" t="s">
        <v>352</v>
      </c>
      <c r="K166" t="s">
        <v>7165</v>
      </c>
      <c r="L166" t="s">
        <v>7172</v>
      </c>
      <c r="M166" s="1" t="s">
        <v>353</v>
      </c>
      <c r="N166" t="s">
        <v>354</v>
      </c>
      <c r="O166" s="1" t="s">
        <v>144</v>
      </c>
      <c r="P166" s="1" t="s">
        <v>355</v>
      </c>
      <c r="Q166" s="11" t="s">
        <v>7198</v>
      </c>
      <c r="R166" s="1">
        <v>155</v>
      </c>
      <c r="S166" s="1">
        <v>1607</v>
      </c>
      <c r="T166" s="1" t="s">
        <v>169</v>
      </c>
      <c r="U166" s="1">
        <v>11774050</v>
      </c>
      <c r="V166" t="s">
        <v>3060</v>
      </c>
      <c r="W166" t="s">
        <v>3061</v>
      </c>
      <c r="X166" t="s">
        <v>68</v>
      </c>
      <c r="Y166" t="s">
        <v>3062</v>
      </c>
      <c r="Z166" t="s">
        <v>3063</v>
      </c>
      <c r="AA166" t="s">
        <v>3064</v>
      </c>
      <c r="AB166" t="s">
        <v>398</v>
      </c>
      <c r="AC166" t="s">
        <v>73</v>
      </c>
      <c r="AD166" t="s">
        <v>3065</v>
      </c>
      <c r="AE166" t="s">
        <v>75</v>
      </c>
      <c r="AF166" t="s">
        <v>76</v>
      </c>
      <c r="AG166" t="s">
        <v>77</v>
      </c>
      <c r="AH166" t="s">
        <v>363</v>
      </c>
      <c r="AI166" t="s">
        <v>364</v>
      </c>
      <c r="AJ166" t="s">
        <v>80</v>
      </c>
      <c r="AK166" t="s">
        <v>81</v>
      </c>
      <c r="AL166" t="s">
        <v>82</v>
      </c>
      <c r="AM166" t="s">
        <v>83</v>
      </c>
      <c r="AN166">
        <v>2018</v>
      </c>
      <c r="AO166">
        <v>99387</v>
      </c>
      <c r="AP166">
        <v>5178989</v>
      </c>
      <c r="AQ166">
        <v>166</v>
      </c>
      <c r="AR166" t="s">
        <v>84</v>
      </c>
      <c r="AS166">
        <v>562</v>
      </c>
      <c r="AT166" t="s">
        <v>85</v>
      </c>
      <c r="AU166" t="s">
        <v>86</v>
      </c>
      <c r="AV166">
        <v>562</v>
      </c>
      <c r="AW166" t="s">
        <v>3066</v>
      </c>
      <c r="AX166" t="s">
        <v>88</v>
      </c>
      <c r="AZ166" t="s">
        <v>366</v>
      </c>
      <c r="BA166">
        <v>1</v>
      </c>
    </row>
    <row r="167" spans="1:54" x14ac:dyDescent="0.2">
      <c r="A167" t="s">
        <v>386</v>
      </c>
      <c r="B167" t="s">
        <v>386</v>
      </c>
      <c r="C167" t="s">
        <v>387</v>
      </c>
      <c r="D167" t="s">
        <v>388</v>
      </c>
      <c r="E167" t="s">
        <v>388</v>
      </c>
      <c r="G167" t="s">
        <v>56</v>
      </c>
      <c r="H167" t="s">
        <v>93</v>
      </c>
      <c r="I167" t="s">
        <v>389</v>
      </c>
      <c r="J167" t="s">
        <v>389</v>
      </c>
      <c r="K167" t="s">
        <v>7165</v>
      </c>
      <c r="L167" t="s">
        <v>7165</v>
      </c>
      <c r="M167" s="1" t="s">
        <v>390</v>
      </c>
      <c r="N167" t="s">
        <v>391</v>
      </c>
      <c r="O167" s="1" t="s">
        <v>392</v>
      </c>
      <c r="P167" s="1" t="s">
        <v>167</v>
      </c>
      <c r="Q167" s="11" t="s">
        <v>7197</v>
      </c>
      <c r="R167" s="1">
        <v>8356</v>
      </c>
      <c r="S167" s="1">
        <v>84725</v>
      </c>
      <c r="T167" s="1" t="s">
        <v>169</v>
      </c>
      <c r="U167" s="1" t="s">
        <v>170</v>
      </c>
      <c r="V167" t="s">
        <v>393</v>
      </c>
      <c r="W167" t="s">
        <v>394</v>
      </c>
      <c r="X167" t="s">
        <v>68</v>
      </c>
      <c r="Y167" t="s">
        <v>395</v>
      </c>
      <c r="Z167" t="s">
        <v>396</v>
      </c>
      <c r="AA167" t="s">
        <v>397</v>
      </c>
      <c r="AB167" t="s">
        <v>398</v>
      </c>
      <c r="AC167" t="s">
        <v>73</v>
      </c>
      <c r="AD167" t="s">
        <v>399</v>
      </c>
      <c r="AE167" t="s">
        <v>75</v>
      </c>
      <c r="AF167" t="s">
        <v>76</v>
      </c>
      <c r="AG167" t="s">
        <v>77</v>
      </c>
      <c r="AH167" t="s">
        <v>400</v>
      </c>
      <c r="AI167" t="s">
        <v>107</v>
      </c>
      <c r="AJ167" t="s">
        <v>401</v>
      </c>
      <c r="AK167" t="s">
        <v>81</v>
      </c>
      <c r="AL167" t="s">
        <v>82</v>
      </c>
      <c r="AM167" t="s">
        <v>83</v>
      </c>
      <c r="AN167">
        <v>2018</v>
      </c>
      <c r="AO167">
        <v>116065</v>
      </c>
      <c r="AP167">
        <v>5144753</v>
      </c>
      <c r="AQ167">
        <v>156</v>
      </c>
      <c r="AR167" t="s">
        <v>84</v>
      </c>
      <c r="AS167">
        <v>562</v>
      </c>
      <c r="AT167" t="s">
        <v>85</v>
      </c>
      <c r="AU167" t="s">
        <v>86</v>
      </c>
      <c r="AV167">
        <v>562</v>
      </c>
      <c r="AW167" t="s">
        <v>402</v>
      </c>
      <c r="AX167" t="s">
        <v>88</v>
      </c>
      <c r="AZ167" t="s">
        <v>403</v>
      </c>
      <c r="BA167">
        <v>1</v>
      </c>
    </row>
    <row r="168" spans="1:54" x14ac:dyDescent="0.2">
      <c r="A168" t="s">
        <v>404</v>
      </c>
      <c r="B168" t="s">
        <v>404</v>
      </c>
      <c r="C168" t="s">
        <v>387</v>
      </c>
      <c r="D168" t="s">
        <v>405</v>
      </c>
      <c r="E168" t="s">
        <v>405</v>
      </c>
      <c r="G168" t="s">
        <v>56</v>
      </c>
      <c r="H168" t="s">
        <v>93</v>
      </c>
      <c r="I168" t="s">
        <v>406</v>
      </c>
      <c r="J168" t="s">
        <v>389</v>
      </c>
      <c r="K168" t="s">
        <v>7165</v>
      </c>
      <c r="L168" t="s">
        <v>7165</v>
      </c>
      <c r="M168" s="1" t="s">
        <v>390</v>
      </c>
      <c r="N168" t="s">
        <v>407</v>
      </c>
      <c r="O168" s="1" t="s">
        <v>166</v>
      </c>
      <c r="P168" s="1" t="s">
        <v>167</v>
      </c>
      <c r="Q168" s="11" t="s">
        <v>7197</v>
      </c>
      <c r="R168" s="1">
        <v>8356</v>
      </c>
      <c r="S168" s="1">
        <v>84725</v>
      </c>
      <c r="T168" s="1" t="s">
        <v>169</v>
      </c>
      <c r="U168" s="1">
        <v>10864975</v>
      </c>
      <c r="V168" t="s">
        <v>408</v>
      </c>
      <c r="W168" t="s">
        <v>409</v>
      </c>
      <c r="X168" t="s">
        <v>68</v>
      </c>
      <c r="Y168" t="s">
        <v>410</v>
      </c>
      <c r="Z168" t="s">
        <v>411</v>
      </c>
      <c r="AA168" t="s">
        <v>412</v>
      </c>
      <c r="AB168" t="s">
        <v>398</v>
      </c>
      <c r="AC168" t="s">
        <v>73</v>
      </c>
      <c r="AD168" t="s">
        <v>413</v>
      </c>
      <c r="AE168" t="s">
        <v>75</v>
      </c>
      <c r="AF168" t="s">
        <v>76</v>
      </c>
      <c r="AG168" t="s">
        <v>77</v>
      </c>
      <c r="AH168" t="s">
        <v>414</v>
      </c>
      <c r="AI168" t="s">
        <v>107</v>
      </c>
      <c r="AJ168" t="s">
        <v>401</v>
      </c>
      <c r="AK168" t="s">
        <v>81</v>
      </c>
      <c r="AL168" t="s">
        <v>82</v>
      </c>
      <c r="AM168" t="s">
        <v>83</v>
      </c>
      <c r="AN168">
        <v>2018</v>
      </c>
      <c r="AO168">
        <v>129413</v>
      </c>
      <c r="AP168">
        <v>5152873</v>
      </c>
      <c r="AQ168">
        <v>138</v>
      </c>
      <c r="AR168" t="s">
        <v>84</v>
      </c>
      <c r="AS168">
        <v>562</v>
      </c>
      <c r="AT168" t="s">
        <v>85</v>
      </c>
      <c r="AU168" t="s">
        <v>86</v>
      </c>
      <c r="AV168">
        <v>562</v>
      </c>
      <c r="AW168" t="s">
        <v>415</v>
      </c>
      <c r="AX168" t="s">
        <v>88</v>
      </c>
      <c r="AZ168" t="s">
        <v>403</v>
      </c>
      <c r="BA168">
        <v>1</v>
      </c>
    </row>
    <row r="169" spans="1:54" x14ac:dyDescent="0.2">
      <c r="A169" t="s">
        <v>416</v>
      </c>
      <c r="B169" t="s">
        <v>416</v>
      </c>
      <c r="C169" t="s">
        <v>417</v>
      </c>
      <c r="D169" t="s">
        <v>418</v>
      </c>
      <c r="E169" t="s">
        <v>418</v>
      </c>
      <c r="G169" t="s">
        <v>56</v>
      </c>
      <c r="H169" t="s">
        <v>93</v>
      </c>
      <c r="I169" t="s">
        <v>406</v>
      </c>
      <c r="J169" t="s">
        <v>389</v>
      </c>
      <c r="K169" t="s">
        <v>7165</v>
      </c>
      <c r="L169" t="s">
        <v>7165</v>
      </c>
      <c r="M169" s="1" t="s">
        <v>390</v>
      </c>
      <c r="N169" t="s">
        <v>407</v>
      </c>
      <c r="O169" s="1" t="s">
        <v>166</v>
      </c>
      <c r="P169" s="1" t="s">
        <v>167</v>
      </c>
      <c r="Q169" s="11" t="s">
        <v>7197</v>
      </c>
      <c r="R169" s="1">
        <v>8356</v>
      </c>
      <c r="S169" s="1">
        <v>168636</v>
      </c>
      <c r="T169" s="1" t="s">
        <v>169</v>
      </c>
      <c r="U169" s="1">
        <v>10864975</v>
      </c>
      <c r="V169" t="s">
        <v>419</v>
      </c>
      <c r="W169" t="s">
        <v>420</v>
      </c>
      <c r="X169" t="s">
        <v>68</v>
      </c>
      <c r="Y169" t="s">
        <v>421</v>
      </c>
      <c r="Z169" t="s">
        <v>422</v>
      </c>
      <c r="AA169" t="s">
        <v>423</v>
      </c>
      <c r="AB169" t="s">
        <v>398</v>
      </c>
      <c r="AC169" t="s">
        <v>73</v>
      </c>
      <c r="AD169" t="s">
        <v>424</v>
      </c>
      <c r="AE169" t="s">
        <v>75</v>
      </c>
      <c r="AF169" t="s">
        <v>76</v>
      </c>
      <c r="AG169" t="s">
        <v>77</v>
      </c>
      <c r="AH169" t="s">
        <v>425</v>
      </c>
      <c r="AI169" t="s">
        <v>107</v>
      </c>
      <c r="AJ169" t="s">
        <v>401</v>
      </c>
      <c r="AK169" t="s">
        <v>81</v>
      </c>
      <c r="AL169" t="s">
        <v>82</v>
      </c>
      <c r="AM169" t="s">
        <v>83</v>
      </c>
      <c r="AN169">
        <v>2018</v>
      </c>
      <c r="AO169">
        <v>100213</v>
      </c>
      <c r="AP169">
        <v>5024412</v>
      </c>
      <c r="AQ169">
        <v>181</v>
      </c>
      <c r="AR169" t="s">
        <v>84</v>
      </c>
      <c r="AS169">
        <v>562</v>
      </c>
      <c r="AT169" t="s">
        <v>85</v>
      </c>
      <c r="AU169" t="s">
        <v>86</v>
      </c>
      <c r="AV169">
        <v>562</v>
      </c>
      <c r="AW169" t="s">
        <v>426</v>
      </c>
      <c r="AX169" t="s">
        <v>88</v>
      </c>
      <c r="AZ169" t="s">
        <v>427</v>
      </c>
      <c r="BA169">
        <v>39</v>
      </c>
    </row>
    <row r="170" spans="1:54" x14ac:dyDescent="0.2">
      <c r="A170" t="s">
        <v>428</v>
      </c>
      <c r="B170" t="s">
        <v>428</v>
      </c>
      <c r="C170" t="s">
        <v>429</v>
      </c>
      <c r="D170" t="s">
        <v>430</v>
      </c>
      <c r="E170" t="s">
        <v>430</v>
      </c>
      <c r="G170" t="s">
        <v>56</v>
      </c>
      <c r="H170" t="s">
        <v>93</v>
      </c>
      <c r="I170" t="s">
        <v>406</v>
      </c>
      <c r="J170" t="s">
        <v>389</v>
      </c>
      <c r="K170" t="s">
        <v>7165</v>
      </c>
      <c r="L170" t="s">
        <v>7165</v>
      </c>
      <c r="M170" s="1" t="s">
        <v>431</v>
      </c>
      <c r="N170" t="s">
        <v>432</v>
      </c>
      <c r="O170" s="1" t="s">
        <v>433</v>
      </c>
      <c r="P170" s="1" t="s">
        <v>434</v>
      </c>
      <c r="Q170" s="11" t="s">
        <v>7303</v>
      </c>
      <c r="R170" s="1">
        <v>3695</v>
      </c>
      <c r="S170" s="1">
        <v>48393</v>
      </c>
      <c r="T170" s="1" t="s">
        <v>169</v>
      </c>
      <c r="U170" s="1">
        <v>11021340</v>
      </c>
      <c r="V170" t="s">
        <v>436</v>
      </c>
      <c r="W170" t="s">
        <v>437</v>
      </c>
      <c r="X170" t="s">
        <v>68</v>
      </c>
      <c r="Y170" t="s">
        <v>438</v>
      </c>
      <c r="Z170" t="s">
        <v>439</v>
      </c>
      <c r="AA170" t="s">
        <v>440</v>
      </c>
      <c r="AB170" t="s">
        <v>398</v>
      </c>
      <c r="AC170" t="s">
        <v>73</v>
      </c>
      <c r="AD170" t="s">
        <v>441</v>
      </c>
      <c r="AE170" t="s">
        <v>75</v>
      </c>
      <c r="AF170" t="s">
        <v>76</v>
      </c>
      <c r="AG170" t="s">
        <v>77</v>
      </c>
      <c r="AH170" t="s">
        <v>442</v>
      </c>
      <c r="AI170" t="s">
        <v>107</v>
      </c>
      <c r="AJ170" t="s">
        <v>80</v>
      </c>
      <c r="AK170" t="s">
        <v>81</v>
      </c>
      <c r="AL170" t="s">
        <v>82</v>
      </c>
      <c r="AM170" t="s">
        <v>83</v>
      </c>
      <c r="AN170">
        <v>2018</v>
      </c>
      <c r="AO170">
        <v>78665</v>
      </c>
      <c r="AP170">
        <v>5479871</v>
      </c>
      <c r="AQ170">
        <v>252</v>
      </c>
      <c r="AR170" t="s">
        <v>84</v>
      </c>
      <c r="AS170">
        <v>562</v>
      </c>
      <c r="AT170" t="s">
        <v>85</v>
      </c>
      <c r="AU170" t="s">
        <v>86</v>
      </c>
      <c r="AV170">
        <v>562</v>
      </c>
      <c r="AW170" t="s">
        <v>443</v>
      </c>
      <c r="AX170" t="s">
        <v>88</v>
      </c>
    </row>
    <row r="171" spans="1:54" x14ac:dyDescent="0.2">
      <c r="A171" t="s">
        <v>444</v>
      </c>
      <c r="B171" t="s">
        <v>444</v>
      </c>
      <c r="C171" t="s">
        <v>445</v>
      </c>
      <c r="D171" t="s">
        <v>446</v>
      </c>
      <c r="E171" t="s">
        <v>446</v>
      </c>
      <c r="G171" t="s">
        <v>56</v>
      </c>
      <c r="H171" t="s">
        <v>93</v>
      </c>
      <c r="I171" t="s">
        <v>447</v>
      </c>
      <c r="J171" t="s">
        <v>389</v>
      </c>
      <c r="K171" t="s">
        <v>7165</v>
      </c>
      <c r="L171" t="s">
        <v>7165</v>
      </c>
      <c r="M171" s="1" t="s">
        <v>448</v>
      </c>
      <c r="N171" t="s">
        <v>449</v>
      </c>
      <c r="O171" s="1" t="s">
        <v>450</v>
      </c>
      <c r="P171" s="1" t="s">
        <v>434</v>
      </c>
      <c r="Q171" s="11" t="s">
        <v>7214</v>
      </c>
      <c r="R171" s="1">
        <v>25</v>
      </c>
      <c r="S171" s="1">
        <v>30074</v>
      </c>
      <c r="T171" s="1" t="s">
        <v>169</v>
      </c>
      <c r="U171" s="1">
        <v>11010061</v>
      </c>
      <c r="V171" t="s">
        <v>452</v>
      </c>
      <c r="W171" t="s">
        <v>453</v>
      </c>
      <c r="X171" t="s">
        <v>68</v>
      </c>
      <c r="Y171" t="s">
        <v>454</v>
      </c>
      <c r="Z171" t="s">
        <v>455</v>
      </c>
      <c r="AA171" t="s">
        <v>456</v>
      </c>
      <c r="AB171" t="s">
        <v>457</v>
      </c>
      <c r="AC171" t="s">
        <v>73</v>
      </c>
      <c r="AD171" t="s">
        <v>458</v>
      </c>
      <c r="AE171" t="s">
        <v>75</v>
      </c>
      <c r="AF171" t="s">
        <v>76</v>
      </c>
      <c r="AG171" t="s">
        <v>77</v>
      </c>
      <c r="AH171" t="s">
        <v>459</v>
      </c>
      <c r="AI171" t="s">
        <v>156</v>
      </c>
      <c r="AJ171" t="s">
        <v>80</v>
      </c>
      <c r="AK171" t="s">
        <v>81</v>
      </c>
      <c r="AL171" t="s">
        <v>82</v>
      </c>
      <c r="AM171" t="s">
        <v>83</v>
      </c>
      <c r="AN171">
        <v>2018</v>
      </c>
      <c r="AO171">
        <v>96930</v>
      </c>
      <c r="AP171">
        <v>5556093</v>
      </c>
      <c r="AQ171">
        <v>232</v>
      </c>
      <c r="AR171" t="s">
        <v>84</v>
      </c>
      <c r="AS171">
        <v>562</v>
      </c>
      <c r="AT171" t="s">
        <v>85</v>
      </c>
      <c r="AU171" t="s">
        <v>86</v>
      </c>
      <c r="AV171">
        <v>562</v>
      </c>
      <c r="AW171" t="s">
        <v>460</v>
      </c>
      <c r="AX171" t="s">
        <v>88</v>
      </c>
      <c r="AZ171" t="s">
        <v>461</v>
      </c>
      <c r="BA171">
        <v>34</v>
      </c>
    </row>
    <row r="172" spans="1:54" x14ac:dyDescent="0.2">
      <c r="A172" t="s">
        <v>462</v>
      </c>
      <c r="B172" t="s">
        <v>462</v>
      </c>
      <c r="C172" t="s">
        <v>463</v>
      </c>
      <c r="D172" t="s">
        <v>464</v>
      </c>
      <c r="E172" t="s">
        <v>464</v>
      </c>
      <c r="G172" t="s">
        <v>56</v>
      </c>
      <c r="H172" t="s">
        <v>93</v>
      </c>
      <c r="I172" t="s">
        <v>406</v>
      </c>
      <c r="J172" t="s">
        <v>389</v>
      </c>
      <c r="K172" t="s">
        <v>7165</v>
      </c>
      <c r="L172" t="s">
        <v>7165</v>
      </c>
      <c r="M172" s="1" t="s">
        <v>465</v>
      </c>
      <c r="N172" t="s">
        <v>466</v>
      </c>
      <c r="O172" s="1" t="s">
        <v>467</v>
      </c>
      <c r="P172" s="1" t="s">
        <v>434</v>
      </c>
      <c r="Q172" s="11" t="s">
        <v>7215</v>
      </c>
      <c r="R172" s="1">
        <v>13</v>
      </c>
      <c r="S172" s="1">
        <v>168722</v>
      </c>
      <c r="T172" s="1" t="s">
        <v>169</v>
      </c>
      <c r="U172" s="1">
        <v>11021340</v>
      </c>
      <c r="V172" t="s">
        <v>469</v>
      </c>
      <c r="W172" t="s">
        <v>470</v>
      </c>
      <c r="X172" t="s">
        <v>68</v>
      </c>
      <c r="Y172" t="s">
        <v>471</v>
      </c>
      <c r="Z172" t="s">
        <v>472</v>
      </c>
      <c r="AA172" t="s">
        <v>473</v>
      </c>
      <c r="AB172" t="s">
        <v>457</v>
      </c>
      <c r="AC172" t="s">
        <v>73</v>
      </c>
      <c r="AD172" t="s">
        <v>474</v>
      </c>
      <c r="AE172" t="s">
        <v>75</v>
      </c>
      <c r="AF172" t="s">
        <v>76</v>
      </c>
      <c r="AG172" t="s">
        <v>77</v>
      </c>
      <c r="AH172" t="s">
        <v>475</v>
      </c>
      <c r="AI172" t="s">
        <v>156</v>
      </c>
      <c r="AJ172" t="s">
        <v>80</v>
      </c>
      <c r="AK172" t="s">
        <v>81</v>
      </c>
      <c r="AL172" t="s">
        <v>82</v>
      </c>
      <c r="AM172" t="s">
        <v>83</v>
      </c>
      <c r="AN172">
        <v>2018</v>
      </c>
      <c r="AO172">
        <v>67247</v>
      </c>
      <c r="AP172">
        <v>5265688</v>
      </c>
      <c r="AQ172">
        <v>238</v>
      </c>
      <c r="AR172" t="s">
        <v>84</v>
      </c>
      <c r="AS172">
        <v>562</v>
      </c>
      <c r="AT172" t="s">
        <v>85</v>
      </c>
      <c r="AU172" t="s">
        <v>86</v>
      </c>
      <c r="AV172">
        <v>562</v>
      </c>
      <c r="AW172" t="s">
        <v>476</v>
      </c>
      <c r="AX172" t="s">
        <v>88</v>
      </c>
    </row>
    <row r="173" spans="1:54" x14ac:dyDescent="0.2">
      <c r="A173" t="s">
        <v>477</v>
      </c>
      <c r="B173" t="s">
        <v>477</v>
      </c>
      <c r="C173" t="s">
        <v>478</v>
      </c>
      <c r="D173" t="s">
        <v>479</v>
      </c>
      <c r="E173" t="s">
        <v>479</v>
      </c>
      <c r="G173" t="s">
        <v>56</v>
      </c>
      <c r="H173" t="s">
        <v>93</v>
      </c>
      <c r="I173" t="s">
        <v>480</v>
      </c>
      <c r="J173" t="s">
        <v>480</v>
      </c>
      <c r="K173" t="s">
        <v>7165</v>
      </c>
      <c r="L173" t="s">
        <v>7165</v>
      </c>
      <c r="M173" s="1" t="s">
        <v>481</v>
      </c>
      <c r="N173" t="s">
        <v>482</v>
      </c>
      <c r="O173" s="1" t="s">
        <v>166</v>
      </c>
      <c r="P173" s="1" t="s">
        <v>167</v>
      </c>
      <c r="Q173" s="11" t="s">
        <v>7201</v>
      </c>
      <c r="R173" s="1">
        <v>278</v>
      </c>
      <c r="S173" s="1">
        <v>1602</v>
      </c>
      <c r="T173" s="1" t="s">
        <v>169</v>
      </c>
      <c r="U173" s="1">
        <v>11075314</v>
      </c>
      <c r="V173" t="s">
        <v>484</v>
      </c>
      <c r="W173" t="s">
        <v>485</v>
      </c>
      <c r="X173" t="s">
        <v>68</v>
      </c>
      <c r="Y173" t="s">
        <v>486</v>
      </c>
      <c r="Z173" t="s">
        <v>487</v>
      </c>
      <c r="AA173" t="s">
        <v>488</v>
      </c>
      <c r="AB173" t="s">
        <v>457</v>
      </c>
      <c r="AC173" t="s">
        <v>73</v>
      </c>
      <c r="AD173" t="s">
        <v>489</v>
      </c>
      <c r="AE173" t="s">
        <v>75</v>
      </c>
      <c r="AF173" t="s">
        <v>76</v>
      </c>
      <c r="AG173" t="s">
        <v>77</v>
      </c>
      <c r="AH173" t="s">
        <v>490</v>
      </c>
      <c r="AI173" t="s">
        <v>107</v>
      </c>
      <c r="AJ173" t="s">
        <v>80</v>
      </c>
      <c r="AK173" t="s">
        <v>81</v>
      </c>
      <c r="AL173" t="s">
        <v>82</v>
      </c>
      <c r="AM173" t="s">
        <v>83</v>
      </c>
      <c r="AN173">
        <v>2018</v>
      </c>
      <c r="AO173">
        <v>111482</v>
      </c>
      <c r="AP173">
        <v>5068310</v>
      </c>
      <c r="AQ173">
        <v>143</v>
      </c>
      <c r="AR173" t="s">
        <v>84</v>
      </c>
      <c r="AS173">
        <v>562</v>
      </c>
      <c r="AT173" t="s">
        <v>85</v>
      </c>
      <c r="AU173" t="s">
        <v>86</v>
      </c>
      <c r="AV173">
        <v>562</v>
      </c>
      <c r="AW173" t="s">
        <v>491</v>
      </c>
      <c r="AX173" t="s">
        <v>88</v>
      </c>
      <c r="AZ173" t="s">
        <v>492</v>
      </c>
      <c r="BA173">
        <v>1</v>
      </c>
    </row>
    <row r="174" spans="1:54" x14ac:dyDescent="0.2">
      <c r="A174" t="s">
        <v>493</v>
      </c>
      <c r="B174" t="s">
        <v>493</v>
      </c>
      <c r="C174" t="s">
        <v>478</v>
      </c>
      <c r="D174" t="s">
        <v>494</v>
      </c>
      <c r="E174" t="s">
        <v>494</v>
      </c>
      <c r="G174" t="s">
        <v>56</v>
      </c>
      <c r="H174" t="s">
        <v>93</v>
      </c>
      <c r="I174" t="s">
        <v>406</v>
      </c>
      <c r="J174" t="s">
        <v>480</v>
      </c>
      <c r="K174" t="s">
        <v>7165</v>
      </c>
      <c r="L174" t="s">
        <v>7165</v>
      </c>
      <c r="M174" s="1" t="s">
        <v>481</v>
      </c>
      <c r="N174" t="s">
        <v>482</v>
      </c>
      <c r="O174" s="1" t="s">
        <v>166</v>
      </c>
      <c r="P174" s="1" t="s">
        <v>167</v>
      </c>
      <c r="Q174" s="11" t="s">
        <v>7326</v>
      </c>
      <c r="R174" s="1">
        <v>278</v>
      </c>
      <c r="S174" s="1">
        <v>1602</v>
      </c>
      <c r="T174" s="1" t="s">
        <v>169</v>
      </c>
      <c r="U174" s="1">
        <v>11075314</v>
      </c>
      <c r="V174" t="s">
        <v>495</v>
      </c>
      <c r="W174" t="s">
        <v>496</v>
      </c>
      <c r="X174" t="s">
        <v>68</v>
      </c>
      <c r="Y174" t="s">
        <v>497</v>
      </c>
      <c r="Z174" t="s">
        <v>498</v>
      </c>
      <c r="AA174" t="s">
        <v>499</v>
      </c>
      <c r="AB174" t="s">
        <v>457</v>
      </c>
      <c r="AC174" t="s">
        <v>73</v>
      </c>
      <c r="AD174" t="s">
        <v>500</v>
      </c>
      <c r="AE174" t="s">
        <v>75</v>
      </c>
      <c r="AF174" t="s">
        <v>76</v>
      </c>
      <c r="AG174" t="s">
        <v>77</v>
      </c>
      <c r="AH174" t="s">
        <v>490</v>
      </c>
      <c r="AI174" t="s">
        <v>107</v>
      </c>
      <c r="AJ174" t="s">
        <v>80</v>
      </c>
      <c r="AK174" t="s">
        <v>81</v>
      </c>
      <c r="AL174" t="s">
        <v>82</v>
      </c>
      <c r="AM174" t="s">
        <v>83</v>
      </c>
      <c r="AN174">
        <v>2018</v>
      </c>
      <c r="AO174">
        <v>137783</v>
      </c>
      <c r="AP174">
        <v>5061678</v>
      </c>
      <c r="AQ174">
        <v>106</v>
      </c>
      <c r="AR174" t="s">
        <v>84</v>
      </c>
      <c r="AS174">
        <v>562</v>
      </c>
      <c r="AT174" t="s">
        <v>85</v>
      </c>
      <c r="AU174" t="s">
        <v>86</v>
      </c>
      <c r="AV174">
        <v>562</v>
      </c>
      <c r="AW174" t="s">
        <v>501</v>
      </c>
      <c r="AX174" t="s">
        <v>88</v>
      </c>
      <c r="AZ174" t="s">
        <v>492</v>
      </c>
      <c r="BA174">
        <v>0</v>
      </c>
    </row>
    <row r="175" spans="1:54" x14ac:dyDescent="0.2">
      <c r="A175" t="s">
        <v>502</v>
      </c>
      <c r="B175" t="s">
        <v>502</v>
      </c>
      <c r="C175" t="s">
        <v>478</v>
      </c>
      <c r="D175" t="s">
        <v>503</v>
      </c>
      <c r="E175" t="s">
        <v>503</v>
      </c>
      <c r="G175" t="s">
        <v>56</v>
      </c>
      <c r="H175" t="s">
        <v>93</v>
      </c>
      <c r="I175" t="s">
        <v>480</v>
      </c>
      <c r="J175" t="s">
        <v>480</v>
      </c>
      <c r="K175" t="s">
        <v>7165</v>
      </c>
      <c r="L175" t="s">
        <v>7165</v>
      </c>
      <c r="M175" s="1" t="s">
        <v>481</v>
      </c>
      <c r="N175" t="s">
        <v>482</v>
      </c>
      <c r="O175" s="1" t="s">
        <v>166</v>
      </c>
      <c r="P175" s="1" t="s">
        <v>167</v>
      </c>
      <c r="Q175" s="11" t="s">
        <v>7326</v>
      </c>
      <c r="R175" s="1">
        <v>278</v>
      </c>
      <c r="S175" s="1">
        <v>1602</v>
      </c>
      <c r="T175" s="1" t="s">
        <v>169</v>
      </c>
      <c r="U175" s="1">
        <v>11075314</v>
      </c>
      <c r="V175" t="s">
        <v>504</v>
      </c>
      <c r="W175" t="s">
        <v>505</v>
      </c>
      <c r="X175" t="s">
        <v>68</v>
      </c>
      <c r="Y175" t="s">
        <v>506</v>
      </c>
      <c r="Z175" t="s">
        <v>507</v>
      </c>
      <c r="AA175" t="s">
        <v>508</v>
      </c>
      <c r="AB175" t="s">
        <v>457</v>
      </c>
      <c r="AC175" t="s">
        <v>73</v>
      </c>
      <c r="AD175" t="s">
        <v>509</v>
      </c>
      <c r="AE175" t="s">
        <v>75</v>
      </c>
      <c r="AF175" t="s">
        <v>76</v>
      </c>
      <c r="AG175" t="s">
        <v>77</v>
      </c>
      <c r="AH175" t="s">
        <v>490</v>
      </c>
      <c r="AI175" t="s">
        <v>107</v>
      </c>
      <c r="AJ175" t="s">
        <v>80</v>
      </c>
      <c r="AK175" t="s">
        <v>81</v>
      </c>
      <c r="AL175" t="s">
        <v>82</v>
      </c>
      <c r="AM175" t="s">
        <v>83</v>
      </c>
      <c r="AN175">
        <v>2018</v>
      </c>
      <c r="AO175">
        <v>122868</v>
      </c>
      <c r="AP175">
        <v>5063139</v>
      </c>
      <c r="AQ175">
        <v>121</v>
      </c>
      <c r="AR175" t="s">
        <v>84</v>
      </c>
      <c r="AS175">
        <v>562</v>
      </c>
      <c r="AT175" t="s">
        <v>85</v>
      </c>
      <c r="AU175" t="s">
        <v>86</v>
      </c>
      <c r="AV175">
        <v>562</v>
      </c>
      <c r="AW175" t="s">
        <v>510</v>
      </c>
      <c r="AX175" t="s">
        <v>88</v>
      </c>
      <c r="AZ175" t="s">
        <v>492</v>
      </c>
      <c r="BA175">
        <v>0</v>
      </c>
    </row>
    <row r="176" spans="1:54" x14ac:dyDescent="0.2">
      <c r="A176" t="s">
        <v>511</v>
      </c>
      <c r="B176" t="s">
        <v>511</v>
      </c>
      <c r="C176" t="s">
        <v>478</v>
      </c>
      <c r="D176" t="s">
        <v>512</v>
      </c>
      <c r="E176" t="s">
        <v>512</v>
      </c>
      <c r="G176" t="s">
        <v>56</v>
      </c>
      <c r="H176" t="s">
        <v>93</v>
      </c>
      <c r="I176" t="s">
        <v>480</v>
      </c>
      <c r="J176" t="s">
        <v>480</v>
      </c>
      <c r="K176" t="s">
        <v>7165</v>
      </c>
      <c r="L176" t="s">
        <v>7165</v>
      </c>
      <c r="M176" s="1" t="s">
        <v>481</v>
      </c>
      <c r="N176" t="s">
        <v>482</v>
      </c>
      <c r="O176" s="1" t="s">
        <v>166</v>
      </c>
      <c r="P176" s="1" t="s">
        <v>167</v>
      </c>
      <c r="Q176" s="11" t="s">
        <v>7326</v>
      </c>
      <c r="R176" s="1">
        <v>278</v>
      </c>
      <c r="S176" s="1">
        <v>1602</v>
      </c>
      <c r="T176" s="1" t="s">
        <v>169</v>
      </c>
      <c r="U176" s="1">
        <v>11075314</v>
      </c>
      <c r="V176" t="s">
        <v>513</v>
      </c>
      <c r="W176" t="s">
        <v>514</v>
      </c>
      <c r="X176" t="s">
        <v>68</v>
      </c>
      <c r="Y176" t="s">
        <v>515</v>
      </c>
      <c r="Z176" t="s">
        <v>516</v>
      </c>
      <c r="AA176" t="s">
        <v>517</v>
      </c>
      <c r="AB176" t="s">
        <v>457</v>
      </c>
      <c r="AC176" t="s">
        <v>73</v>
      </c>
      <c r="AD176" t="s">
        <v>518</v>
      </c>
      <c r="AE176" t="s">
        <v>75</v>
      </c>
      <c r="AF176" t="s">
        <v>76</v>
      </c>
      <c r="AG176" t="s">
        <v>77</v>
      </c>
      <c r="AH176" t="s">
        <v>490</v>
      </c>
      <c r="AI176" t="s">
        <v>107</v>
      </c>
      <c r="AJ176" t="s">
        <v>80</v>
      </c>
      <c r="AK176" t="s">
        <v>81</v>
      </c>
      <c r="AL176" t="s">
        <v>82</v>
      </c>
      <c r="AM176" t="s">
        <v>83</v>
      </c>
      <c r="AN176">
        <v>2018</v>
      </c>
      <c r="AO176">
        <v>137783</v>
      </c>
      <c r="AP176">
        <v>5063107</v>
      </c>
      <c r="AQ176">
        <v>123</v>
      </c>
      <c r="AR176" t="s">
        <v>84</v>
      </c>
      <c r="AS176">
        <v>562</v>
      </c>
      <c r="AT176" t="s">
        <v>85</v>
      </c>
      <c r="AU176" t="s">
        <v>86</v>
      </c>
      <c r="AV176">
        <v>562</v>
      </c>
      <c r="AW176" t="s">
        <v>519</v>
      </c>
      <c r="AX176" t="s">
        <v>88</v>
      </c>
      <c r="AZ176" t="s">
        <v>492</v>
      </c>
      <c r="BA176">
        <v>0</v>
      </c>
    </row>
    <row r="177" spans="1:54" x14ac:dyDescent="0.2">
      <c r="A177" t="s">
        <v>3067</v>
      </c>
      <c r="B177" t="s">
        <v>3067</v>
      </c>
      <c r="C177" t="s">
        <v>349</v>
      </c>
      <c r="D177" t="s">
        <v>3068</v>
      </c>
      <c r="E177" t="s">
        <v>3068</v>
      </c>
      <c r="G177" t="s">
        <v>56</v>
      </c>
      <c r="H177" t="s">
        <v>58</v>
      </c>
      <c r="I177" t="s">
        <v>352</v>
      </c>
      <c r="J177" t="s">
        <v>352</v>
      </c>
      <c r="K177" t="s">
        <v>7165</v>
      </c>
      <c r="L177" t="s">
        <v>7172</v>
      </c>
      <c r="M177" s="1" t="s">
        <v>353</v>
      </c>
      <c r="N177" t="s">
        <v>354</v>
      </c>
      <c r="O177" s="1" t="s">
        <v>144</v>
      </c>
      <c r="P177" s="1" t="s">
        <v>355</v>
      </c>
      <c r="Q177" s="11" t="s">
        <v>7198</v>
      </c>
      <c r="R177" s="1">
        <v>155</v>
      </c>
      <c r="S177" s="1">
        <v>1607</v>
      </c>
      <c r="T177" s="1" t="s">
        <v>169</v>
      </c>
      <c r="U177" s="1">
        <v>11774050</v>
      </c>
      <c r="V177" t="s">
        <v>3069</v>
      </c>
      <c r="W177" t="s">
        <v>3070</v>
      </c>
      <c r="X177" t="s">
        <v>68</v>
      </c>
      <c r="Y177" t="s">
        <v>3071</v>
      </c>
      <c r="Z177" t="s">
        <v>3072</v>
      </c>
      <c r="AA177" t="s">
        <v>3073</v>
      </c>
      <c r="AB177" t="s">
        <v>2042</v>
      </c>
      <c r="AC177" t="s">
        <v>73</v>
      </c>
      <c r="AD177" t="s">
        <v>3074</v>
      </c>
      <c r="AE177" t="s">
        <v>75</v>
      </c>
      <c r="AF177" t="s">
        <v>76</v>
      </c>
      <c r="AG177" t="s">
        <v>77</v>
      </c>
      <c r="AH177" t="s">
        <v>3075</v>
      </c>
      <c r="AI177" t="s">
        <v>364</v>
      </c>
      <c r="AJ177" t="s">
        <v>80</v>
      </c>
      <c r="AK177" t="s">
        <v>81</v>
      </c>
      <c r="AL177" t="s">
        <v>82</v>
      </c>
      <c r="AM177" t="s">
        <v>83</v>
      </c>
      <c r="AN177">
        <v>2018</v>
      </c>
      <c r="AO177">
        <v>87465</v>
      </c>
      <c r="AP177">
        <v>5168955</v>
      </c>
      <c r="AQ177">
        <v>164</v>
      </c>
      <c r="AR177" t="s">
        <v>84</v>
      </c>
      <c r="AS177">
        <v>562</v>
      </c>
      <c r="AT177" t="s">
        <v>85</v>
      </c>
      <c r="AU177" t="s">
        <v>86</v>
      </c>
      <c r="AV177">
        <v>562</v>
      </c>
      <c r="AW177" t="s">
        <v>3076</v>
      </c>
      <c r="AX177" t="s">
        <v>88</v>
      </c>
      <c r="AZ177" t="s">
        <v>366</v>
      </c>
      <c r="BA177">
        <v>0</v>
      </c>
    </row>
    <row r="178" spans="1:54" x14ac:dyDescent="0.2">
      <c r="A178" t="s">
        <v>3077</v>
      </c>
      <c r="B178" t="s">
        <v>3077</v>
      </c>
      <c r="C178" t="s">
        <v>368</v>
      </c>
      <c r="D178" t="s">
        <v>3078</v>
      </c>
      <c r="E178" t="s">
        <v>3078</v>
      </c>
      <c r="G178" t="s">
        <v>56</v>
      </c>
      <c r="H178" t="s">
        <v>93</v>
      </c>
      <c r="I178" t="s">
        <v>370</v>
      </c>
      <c r="J178" t="s">
        <v>371</v>
      </c>
      <c r="K178" t="s">
        <v>7165</v>
      </c>
      <c r="L178" t="s">
        <v>7165</v>
      </c>
      <c r="M178" s="1" t="s">
        <v>372</v>
      </c>
      <c r="N178" t="s">
        <v>354</v>
      </c>
      <c r="O178" s="1" t="s">
        <v>373</v>
      </c>
      <c r="P178" s="1" t="s">
        <v>167</v>
      </c>
      <c r="Q178" s="11" t="s">
        <v>7197</v>
      </c>
      <c r="R178" s="1">
        <v>40</v>
      </c>
      <c r="S178" s="1">
        <v>1624</v>
      </c>
      <c r="T178" s="1" t="s">
        <v>374</v>
      </c>
      <c r="U178" s="1">
        <v>10762614</v>
      </c>
      <c r="V178" t="s">
        <v>3079</v>
      </c>
      <c r="W178" t="s">
        <v>3080</v>
      </c>
      <c r="X178" t="s">
        <v>68</v>
      </c>
      <c r="Y178" t="s">
        <v>3081</v>
      </c>
      <c r="Z178" t="s">
        <v>3082</v>
      </c>
      <c r="AA178" t="s">
        <v>3083</v>
      </c>
      <c r="AB178" t="s">
        <v>2042</v>
      </c>
      <c r="AC178" t="s">
        <v>73</v>
      </c>
      <c r="AD178" t="s">
        <v>3084</v>
      </c>
      <c r="AE178" t="s">
        <v>381</v>
      </c>
      <c r="AF178" t="s">
        <v>76</v>
      </c>
      <c r="AG178" t="s">
        <v>77</v>
      </c>
      <c r="AH178" t="s">
        <v>3085</v>
      </c>
      <c r="AI178" t="s">
        <v>156</v>
      </c>
      <c r="AJ178" t="s">
        <v>383</v>
      </c>
      <c r="AK178" t="s">
        <v>158</v>
      </c>
      <c r="AL178" t="s">
        <v>159</v>
      </c>
      <c r="AM178" t="s">
        <v>83</v>
      </c>
      <c r="AN178">
        <v>2018</v>
      </c>
      <c r="AO178">
        <v>30433</v>
      </c>
      <c r="AP178">
        <v>5179423</v>
      </c>
      <c r="AQ178">
        <v>407</v>
      </c>
      <c r="AR178" t="s">
        <v>84</v>
      </c>
      <c r="AS178">
        <v>562</v>
      </c>
      <c r="AT178" t="s">
        <v>85</v>
      </c>
      <c r="AU178" t="s">
        <v>86</v>
      </c>
      <c r="AV178">
        <v>562</v>
      </c>
      <c r="AW178" t="s">
        <v>3086</v>
      </c>
      <c r="AX178" t="s">
        <v>88</v>
      </c>
      <c r="AZ178" t="s">
        <v>385</v>
      </c>
      <c r="BA178">
        <v>8</v>
      </c>
      <c r="BB178">
        <v>36</v>
      </c>
    </row>
    <row r="179" spans="1:54" x14ac:dyDescent="0.2">
      <c r="A179" t="s">
        <v>2031</v>
      </c>
      <c r="B179" t="s">
        <v>2032</v>
      </c>
      <c r="C179" t="s">
        <v>2033</v>
      </c>
      <c r="D179" t="s">
        <v>2034</v>
      </c>
      <c r="E179" t="s">
        <v>2034</v>
      </c>
      <c r="F179" t="s">
        <v>2035</v>
      </c>
      <c r="G179" t="s">
        <v>56</v>
      </c>
      <c r="H179" t="s">
        <v>58</v>
      </c>
      <c r="I179" t="s">
        <v>2036</v>
      </c>
      <c r="J179" t="s">
        <v>2036</v>
      </c>
      <c r="K179" t="s">
        <v>7165</v>
      </c>
      <c r="L179" t="s">
        <v>7165</v>
      </c>
      <c r="M179" s="1" t="s">
        <v>603</v>
      </c>
      <c r="N179" t="s">
        <v>649</v>
      </c>
      <c r="O179" s="1" t="s">
        <v>605</v>
      </c>
      <c r="P179" s="1" t="s">
        <v>820</v>
      </c>
      <c r="Q179" s="11" t="s">
        <v>7323</v>
      </c>
      <c r="R179" s="1">
        <v>11</v>
      </c>
      <c r="S179" s="1">
        <v>2124</v>
      </c>
      <c r="T179" s="1" t="s">
        <v>169</v>
      </c>
      <c r="U179" s="1" t="s">
        <v>170</v>
      </c>
      <c r="V179" t="s">
        <v>2037</v>
      </c>
      <c r="W179" t="s">
        <v>2038</v>
      </c>
      <c r="X179" t="s">
        <v>68</v>
      </c>
      <c r="Y179" t="s">
        <v>2039</v>
      </c>
      <c r="Z179" t="s">
        <v>2040</v>
      </c>
      <c r="AA179" t="s">
        <v>2041</v>
      </c>
      <c r="AB179" t="s">
        <v>2042</v>
      </c>
      <c r="AC179" t="s">
        <v>73</v>
      </c>
      <c r="AD179" t="s">
        <v>2043</v>
      </c>
      <c r="AE179" t="s">
        <v>75</v>
      </c>
      <c r="AF179" t="s">
        <v>76</v>
      </c>
      <c r="AG179" t="s">
        <v>77</v>
      </c>
      <c r="AH179" t="s">
        <v>2044</v>
      </c>
      <c r="AI179" t="s">
        <v>615</v>
      </c>
      <c r="AJ179" t="s">
        <v>616</v>
      </c>
      <c r="AK179" t="s">
        <v>81</v>
      </c>
      <c r="AL179" t="s">
        <v>82</v>
      </c>
      <c r="AM179" t="s">
        <v>83</v>
      </c>
      <c r="AN179">
        <v>2013</v>
      </c>
      <c r="AO179">
        <v>188463</v>
      </c>
      <c r="AP179">
        <v>5419310</v>
      </c>
      <c r="AQ179">
        <v>220</v>
      </c>
      <c r="AR179" t="s">
        <v>84</v>
      </c>
      <c r="AS179">
        <v>562</v>
      </c>
      <c r="AT179" t="s">
        <v>85</v>
      </c>
      <c r="AU179" t="s">
        <v>86</v>
      </c>
      <c r="AV179">
        <v>562</v>
      </c>
      <c r="AW179" t="s">
        <v>2045</v>
      </c>
      <c r="AX179" t="s">
        <v>88</v>
      </c>
      <c r="AZ179" t="s">
        <v>2046</v>
      </c>
      <c r="BA179">
        <v>0</v>
      </c>
      <c r="BB179">
        <v>33</v>
      </c>
    </row>
    <row r="180" spans="1:54" x14ac:dyDescent="0.2">
      <c r="A180" t="s">
        <v>2047</v>
      </c>
      <c r="B180" t="s">
        <v>2048</v>
      </c>
      <c r="C180" t="s">
        <v>2049</v>
      </c>
      <c r="D180" t="s">
        <v>2050</v>
      </c>
      <c r="E180" t="s">
        <v>2050</v>
      </c>
      <c r="F180" t="s">
        <v>2035</v>
      </c>
      <c r="G180" t="s">
        <v>56</v>
      </c>
      <c r="H180" t="s">
        <v>58</v>
      </c>
      <c r="I180" t="s">
        <v>2036</v>
      </c>
      <c r="J180" t="s">
        <v>2036</v>
      </c>
      <c r="K180" t="s">
        <v>7165</v>
      </c>
      <c r="L180" t="s">
        <v>7165</v>
      </c>
      <c r="M180" s="1" t="s">
        <v>603</v>
      </c>
      <c r="N180" t="s">
        <v>649</v>
      </c>
      <c r="O180" s="1" t="s">
        <v>650</v>
      </c>
      <c r="P180" s="1" t="s">
        <v>820</v>
      </c>
      <c r="Q180" s="11" t="s">
        <v>7323</v>
      </c>
      <c r="R180" s="1">
        <v>11</v>
      </c>
      <c r="S180" s="1">
        <v>2124</v>
      </c>
      <c r="T180" s="1" t="s">
        <v>651</v>
      </c>
      <c r="U180" s="1">
        <v>0</v>
      </c>
      <c r="V180" t="s">
        <v>2051</v>
      </c>
      <c r="W180" t="s">
        <v>2052</v>
      </c>
      <c r="X180" t="s">
        <v>68</v>
      </c>
      <c r="Y180" t="s">
        <v>2053</v>
      </c>
      <c r="Z180" t="s">
        <v>2054</v>
      </c>
      <c r="AA180" t="s">
        <v>2055</v>
      </c>
      <c r="AB180" t="s">
        <v>2042</v>
      </c>
      <c r="AC180" t="s">
        <v>73</v>
      </c>
      <c r="AD180" t="s">
        <v>2056</v>
      </c>
      <c r="AE180" t="s">
        <v>75</v>
      </c>
      <c r="AF180" t="s">
        <v>76</v>
      </c>
      <c r="AG180" t="s">
        <v>77</v>
      </c>
      <c r="AH180" t="s">
        <v>2057</v>
      </c>
      <c r="AI180" t="s">
        <v>615</v>
      </c>
      <c r="AJ180" t="s">
        <v>616</v>
      </c>
      <c r="AK180" t="s">
        <v>81</v>
      </c>
      <c r="AL180" t="s">
        <v>82</v>
      </c>
      <c r="AM180" t="s">
        <v>83</v>
      </c>
      <c r="AN180">
        <v>2013</v>
      </c>
      <c r="AO180">
        <v>157599</v>
      </c>
      <c r="AP180">
        <v>5433439</v>
      </c>
      <c r="AQ180">
        <v>216</v>
      </c>
      <c r="AR180" t="s">
        <v>84</v>
      </c>
      <c r="AS180">
        <v>562</v>
      </c>
      <c r="AT180" t="s">
        <v>85</v>
      </c>
      <c r="AU180" t="s">
        <v>86</v>
      </c>
      <c r="AV180">
        <v>562</v>
      </c>
      <c r="AW180" t="s">
        <v>2058</v>
      </c>
      <c r="AX180" t="s">
        <v>88</v>
      </c>
      <c r="AZ180" t="s">
        <v>2046</v>
      </c>
      <c r="BA180">
        <v>0</v>
      </c>
      <c r="BB180">
        <v>33</v>
      </c>
    </row>
    <row r="181" spans="1:54" x14ac:dyDescent="0.2">
      <c r="A181" t="s">
        <v>2059</v>
      </c>
      <c r="B181" t="s">
        <v>2060</v>
      </c>
      <c r="C181" t="s">
        <v>2061</v>
      </c>
      <c r="D181" t="s">
        <v>2062</v>
      </c>
      <c r="E181" t="s">
        <v>2062</v>
      </c>
      <c r="G181" t="s">
        <v>56</v>
      </c>
      <c r="H181" t="s">
        <v>58</v>
      </c>
      <c r="I181" t="s">
        <v>1327</v>
      </c>
      <c r="J181" t="s">
        <v>1327</v>
      </c>
      <c r="K181" t="s">
        <v>7165</v>
      </c>
      <c r="L181" t="s">
        <v>7165</v>
      </c>
      <c r="M181" s="1" t="s">
        <v>603</v>
      </c>
      <c r="N181" t="s">
        <v>649</v>
      </c>
      <c r="O181" s="1" t="s">
        <v>875</v>
      </c>
      <c r="P181" s="1" t="s">
        <v>270</v>
      </c>
      <c r="Q181" s="11" t="s">
        <v>7339</v>
      </c>
      <c r="R181" s="1">
        <v>11</v>
      </c>
      <c r="S181" s="1">
        <v>2124</v>
      </c>
      <c r="T181" s="1" t="s">
        <v>169</v>
      </c>
      <c r="U181" s="1" t="s">
        <v>170</v>
      </c>
      <c r="V181" t="s">
        <v>2063</v>
      </c>
      <c r="W181" t="s">
        <v>2064</v>
      </c>
      <c r="X181" t="s">
        <v>68</v>
      </c>
      <c r="Y181" t="s">
        <v>2065</v>
      </c>
      <c r="Z181" t="s">
        <v>2066</v>
      </c>
      <c r="AA181" t="s">
        <v>2067</v>
      </c>
      <c r="AB181" t="s">
        <v>2042</v>
      </c>
      <c r="AC181" t="s">
        <v>73</v>
      </c>
      <c r="AD181" t="s">
        <v>2068</v>
      </c>
      <c r="AE181" t="s">
        <v>75</v>
      </c>
      <c r="AF181" t="s">
        <v>76</v>
      </c>
      <c r="AG181" t="s">
        <v>77</v>
      </c>
      <c r="AH181" t="s">
        <v>1265</v>
      </c>
      <c r="AI181" t="s">
        <v>615</v>
      </c>
      <c r="AJ181" t="s">
        <v>616</v>
      </c>
      <c r="AK181" t="s">
        <v>81</v>
      </c>
      <c r="AL181" t="s">
        <v>82</v>
      </c>
      <c r="AM181" t="s">
        <v>83</v>
      </c>
      <c r="AN181">
        <v>2013</v>
      </c>
      <c r="AO181">
        <v>160334</v>
      </c>
      <c r="AP181">
        <v>5412944</v>
      </c>
      <c r="AQ181">
        <v>188</v>
      </c>
      <c r="AR181" t="s">
        <v>84</v>
      </c>
      <c r="AS181">
        <v>562</v>
      </c>
      <c r="AT181" t="s">
        <v>85</v>
      </c>
      <c r="AU181" t="s">
        <v>86</v>
      </c>
      <c r="AV181">
        <v>562</v>
      </c>
      <c r="AW181" t="s">
        <v>2069</v>
      </c>
      <c r="AX181" t="s">
        <v>88</v>
      </c>
    </row>
    <row r="182" spans="1:54" x14ac:dyDescent="0.2">
      <c r="A182" t="s">
        <v>4868</v>
      </c>
      <c r="B182" t="s">
        <v>4869</v>
      </c>
      <c r="C182" t="s">
        <v>4870</v>
      </c>
      <c r="D182" t="s">
        <v>4871</v>
      </c>
      <c r="E182" t="s">
        <v>4871</v>
      </c>
      <c r="G182" t="s">
        <v>56</v>
      </c>
      <c r="H182" t="s">
        <v>93</v>
      </c>
      <c r="I182" t="s">
        <v>648</v>
      </c>
      <c r="J182" t="s">
        <v>648</v>
      </c>
      <c r="K182" t="s">
        <v>7165</v>
      </c>
      <c r="L182" t="s">
        <v>7165</v>
      </c>
      <c r="M182" s="1" t="s">
        <v>4872</v>
      </c>
      <c r="N182" t="s">
        <v>4873</v>
      </c>
      <c r="O182" s="1" t="s">
        <v>144</v>
      </c>
      <c r="P182" s="1" t="s">
        <v>313</v>
      </c>
      <c r="Q182" s="11" t="s">
        <v>7344</v>
      </c>
      <c r="R182" s="1">
        <v>56</v>
      </c>
      <c r="S182" s="1">
        <v>14734</v>
      </c>
      <c r="T182" s="1" t="s">
        <v>169</v>
      </c>
      <c r="U182" s="1" t="s">
        <v>170</v>
      </c>
      <c r="V182" t="s">
        <v>4875</v>
      </c>
      <c r="W182" t="s">
        <v>4876</v>
      </c>
      <c r="X182" t="s">
        <v>68</v>
      </c>
      <c r="Y182" t="s">
        <v>4877</v>
      </c>
      <c r="Z182" t="s">
        <v>4878</v>
      </c>
      <c r="AA182" t="s">
        <v>4879</v>
      </c>
      <c r="AB182" t="s">
        <v>2079</v>
      </c>
      <c r="AC182" t="s">
        <v>73</v>
      </c>
      <c r="AD182" t="s">
        <v>4880</v>
      </c>
      <c r="AE182" t="s">
        <v>75</v>
      </c>
      <c r="AF182" t="s">
        <v>76</v>
      </c>
      <c r="AG182" t="s">
        <v>77</v>
      </c>
      <c r="AH182" t="s">
        <v>4881</v>
      </c>
      <c r="AI182" t="s">
        <v>107</v>
      </c>
      <c r="AJ182" t="s">
        <v>80</v>
      </c>
      <c r="AK182" t="s">
        <v>81</v>
      </c>
      <c r="AL182" t="s">
        <v>82</v>
      </c>
      <c r="AM182" t="s">
        <v>83</v>
      </c>
      <c r="AN182">
        <v>2013</v>
      </c>
      <c r="AO182">
        <v>127158</v>
      </c>
      <c r="AP182">
        <v>5067843</v>
      </c>
      <c r="AQ182">
        <v>112</v>
      </c>
      <c r="AR182" t="s">
        <v>84</v>
      </c>
      <c r="AS182">
        <v>562</v>
      </c>
      <c r="AT182" t="s">
        <v>85</v>
      </c>
      <c r="AU182" t="s">
        <v>86</v>
      </c>
      <c r="AV182">
        <v>562</v>
      </c>
      <c r="AW182" t="s">
        <v>4882</v>
      </c>
      <c r="AX182" t="s">
        <v>88</v>
      </c>
      <c r="AZ182" t="s">
        <v>4883</v>
      </c>
      <c r="BA182">
        <v>0</v>
      </c>
    </row>
    <row r="183" spans="1:54" x14ac:dyDescent="0.2">
      <c r="A183" t="s">
        <v>4884</v>
      </c>
      <c r="B183" t="s">
        <v>4885</v>
      </c>
      <c r="C183" t="s">
        <v>4886</v>
      </c>
      <c r="D183" t="s">
        <v>4887</v>
      </c>
      <c r="E183" t="s">
        <v>4887</v>
      </c>
      <c r="G183" t="s">
        <v>56</v>
      </c>
      <c r="H183" t="s">
        <v>93</v>
      </c>
      <c r="I183" t="s">
        <v>648</v>
      </c>
      <c r="J183" t="s">
        <v>648</v>
      </c>
      <c r="K183" t="s">
        <v>7165</v>
      </c>
      <c r="L183" t="s">
        <v>7165</v>
      </c>
      <c r="M183" s="1" t="s">
        <v>4872</v>
      </c>
      <c r="N183" t="s">
        <v>4873</v>
      </c>
      <c r="O183" s="1" t="s">
        <v>144</v>
      </c>
      <c r="P183" s="1" t="s">
        <v>313</v>
      </c>
      <c r="Q183" s="11" t="s">
        <v>7344</v>
      </c>
      <c r="R183" s="1">
        <v>56</v>
      </c>
      <c r="S183" s="1">
        <v>14734</v>
      </c>
      <c r="T183" s="1" t="s">
        <v>169</v>
      </c>
      <c r="U183" s="1" t="s">
        <v>170</v>
      </c>
      <c r="V183" t="s">
        <v>4888</v>
      </c>
      <c r="W183" t="s">
        <v>4889</v>
      </c>
      <c r="X183" t="s">
        <v>68</v>
      </c>
      <c r="Y183" t="s">
        <v>4890</v>
      </c>
      <c r="Z183" t="s">
        <v>4891</v>
      </c>
      <c r="AA183" t="s">
        <v>4892</v>
      </c>
      <c r="AB183" t="s">
        <v>2079</v>
      </c>
      <c r="AC183" t="s">
        <v>73</v>
      </c>
      <c r="AD183" t="s">
        <v>4893</v>
      </c>
      <c r="AE183" t="s">
        <v>75</v>
      </c>
      <c r="AF183" t="s">
        <v>76</v>
      </c>
      <c r="AG183" t="s">
        <v>77</v>
      </c>
      <c r="AH183" t="s">
        <v>4881</v>
      </c>
      <c r="AI183" t="s">
        <v>107</v>
      </c>
      <c r="AJ183" t="s">
        <v>80</v>
      </c>
      <c r="AK183" t="s">
        <v>81</v>
      </c>
      <c r="AL183" t="s">
        <v>82</v>
      </c>
      <c r="AM183" t="s">
        <v>83</v>
      </c>
      <c r="AN183">
        <v>2013</v>
      </c>
      <c r="AO183">
        <v>114185</v>
      </c>
      <c r="AP183">
        <v>5034019</v>
      </c>
      <c r="AQ183">
        <v>122</v>
      </c>
      <c r="AR183" t="s">
        <v>84</v>
      </c>
      <c r="AS183">
        <v>562</v>
      </c>
      <c r="AT183" t="s">
        <v>85</v>
      </c>
      <c r="AU183" t="s">
        <v>86</v>
      </c>
      <c r="AV183">
        <v>562</v>
      </c>
      <c r="AW183" t="s">
        <v>4894</v>
      </c>
      <c r="AX183" t="s">
        <v>88</v>
      </c>
      <c r="AZ183" t="s">
        <v>4883</v>
      </c>
      <c r="BA183">
        <v>0</v>
      </c>
    </row>
    <row r="184" spans="1:54" x14ac:dyDescent="0.2">
      <c r="A184" t="s">
        <v>4595</v>
      </c>
      <c r="B184" t="s">
        <v>4596</v>
      </c>
      <c r="C184" t="s">
        <v>4597</v>
      </c>
      <c r="D184" t="s">
        <v>4598</v>
      </c>
      <c r="E184" t="s">
        <v>4598</v>
      </c>
      <c r="G184" t="s">
        <v>56</v>
      </c>
      <c r="H184" t="s">
        <v>93</v>
      </c>
      <c r="I184" t="s">
        <v>4599</v>
      </c>
      <c r="J184" t="s">
        <v>4599</v>
      </c>
      <c r="K184" t="s">
        <v>7169</v>
      </c>
      <c r="L184" t="s">
        <v>7169</v>
      </c>
      <c r="M184" s="1" t="s">
        <v>4600</v>
      </c>
      <c r="N184" t="s">
        <v>169</v>
      </c>
      <c r="O184" s="1" t="s">
        <v>126</v>
      </c>
      <c r="P184" s="1" t="s">
        <v>127</v>
      </c>
      <c r="Q184" s="11" t="s">
        <v>7296</v>
      </c>
      <c r="R184" s="1">
        <v>657</v>
      </c>
      <c r="S184" s="1">
        <v>30109</v>
      </c>
      <c r="T184" s="1" t="s">
        <v>169</v>
      </c>
      <c r="U184" s="1" t="s">
        <v>170</v>
      </c>
      <c r="V184" t="s">
        <v>4602</v>
      </c>
      <c r="W184" t="s">
        <v>4603</v>
      </c>
      <c r="X184" t="s">
        <v>68</v>
      </c>
      <c r="Y184" t="s">
        <v>4604</v>
      </c>
      <c r="Z184" t="s">
        <v>4605</v>
      </c>
      <c r="AA184" t="s">
        <v>4606</v>
      </c>
      <c r="AB184" t="s">
        <v>2079</v>
      </c>
      <c r="AC184" t="s">
        <v>73</v>
      </c>
      <c r="AD184" t="s">
        <v>4607</v>
      </c>
      <c r="AE184" t="s">
        <v>3341</v>
      </c>
      <c r="AF184" t="s">
        <v>76</v>
      </c>
      <c r="AG184" t="s">
        <v>77</v>
      </c>
      <c r="AH184" t="s">
        <v>4608</v>
      </c>
      <c r="AI184" t="s">
        <v>107</v>
      </c>
      <c r="AJ184" t="s">
        <v>3343</v>
      </c>
      <c r="AK184" t="s">
        <v>81</v>
      </c>
      <c r="AL184" t="s">
        <v>82</v>
      </c>
      <c r="AM184" t="s">
        <v>83</v>
      </c>
      <c r="AN184">
        <v>2013</v>
      </c>
      <c r="AO184">
        <v>105767</v>
      </c>
      <c r="AP184">
        <v>5048913</v>
      </c>
      <c r="AQ184">
        <v>107</v>
      </c>
      <c r="AR184" t="s">
        <v>84</v>
      </c>
      <c r="AS184">
        <v>562</v>
      </c>
      <c r="AT184" t="s">
        <v>85</v>
      </c>
      <c r="AU184" t="s">
        <v>86</v>
      </c>
      <c r="AV184">
        <v>562</v>
      </c>
      <c r="AW184" t="s">
        <v>4609</v>
      </c>
      <c r="AX184" t="s">
        <v>88</v>
      </c>
      <c r="AZ184" t="s">
        <v>4610</v>
      </c>
      <c r="BA184">
        <v>2</v>
      </c>
    </row>
    <row r="185" spans="1:54" x14ac:dyDescent="0.2">
      <c r="A185" t="s">
        <v>2070</v>
      </c>
      <c r="B185" t="s">
        <v>2071</v>
      </c>
      <c r="C185" t="s">
        <v>2072</v>
      </c>
      <c r="D185" t="s">
        <v>2073</v>
      </c>
      <c r="E185" t="s">
        <v>2073</v>
      </c>
      <c r="G185" t="s">
        <v>56</v>
      </c>
      <c r="H185" t="s">
        <v>58</v>
      </c>
      <c r="I185" t="s">
        <v>1094</v>
      </c>
      <c r="J185" t="s">
        <v>1094</v>
      </c>
      <c r="K185" t="s">
        <v>7165</v>
      </c>
      <c r="L185" t="s">
        <v>7165</v>
      </c>
      <c r="M185" s="1" t="s">
        <v>603</v>
      </c>
      <c r="N185" t="s">
        <v>649</v>
      </c>
      <c r="O185" s="1" t="s">
        <v>605</v>
      </c>
      <c r="P185" s="1" t="s">
        <v>127</v>
      </c>
      <c r="Q185" s="11" t="s">
        <v>7194</v>
      </c>
      <c r="R185" s="1">
        <v>11</v>
      </c>
      <c r="S185" s="1">
        <v>2124</v>
      </c>
      <c r="T185" s="1" t="s">
        <v>169</v>
      </c>
      <c r="U185" s="1" t="s">
        <v>170</v>
      </c>
      <c r="V185" t="s">
        <v>2074</v>
      </c>
      <c r="W185" t="s">
        <v>2075</v>
      </c>
      <c r="X185" t="s">
        <v>68</v>
      </c>
      <c r="Y185" t="s">
        <v>2076</v>
      </c>
      <c r="Z185" t="s">
        <v>2077</v>
      </c>
      <c r="AA185" t="s">
        <v>2078</v>
      </c>
      <c r="AB185" t="s">
        <v>2079</v>
      </c>
      <c r="AC185" t="s">
        <v>73</v>
      </c>
      <c r="AD185" t="s">
        <v>2080</v>
      </c>
      <c r="AE185" t="s">
        <v>75</v>
      </c>
      <c r="AF185" t="s">
        <v>76</v>
      </c>
      <c r="AG185" t="s">
        <v>77</v>
      </c>
      <c r="AH185" t="s">
        <v>669</v>
      </c>
      <c r="AI185" t="s">
        <v>615</v>
      </c>
      <c r="AJ185" t="s">
        <v>616</v>
      </c>
      <c r="AK185" t="s">
        <v>81</v>
      </c>
      <c r="AL185" t="s">
        <v>82</v>
      </c>
      <c r="AM185" t="s">
        <v>83</v>
      </c>
      <c r="AN185">
        <v>2014</v>
      </c>
      <c r="AO185">
        <v>100440</v>
      </c>
      <c r="AP185">
        <v>5414963</v>
      </c>
      <c r="AQ185">
        <v>199</v>
      </c>
      <c r="AR185" t="s">
        <v>84</v>
      </c>
      <c r="AS185">
        <v>562</v>
      </c>
      <c r="AT185" t="s">
        <v>85</v>
      </c>
      <c r="AU185" t="s">
        <v>86</v>
      </c>
      <c r="AV185">
        <v>562</v>
      </c>
      <c r="AW185" t="s">
        <v>2081</v>
      </c>
      <c r="AX185" t="s">
        <v>88</v>
      </c>
      <c r="AZ185" t="s">
        <v>2082</v>
      </c>
      <c r="BB185">
        <v>43</v>
      </c>
    </row>
    <row r="186" spans="1:54" x14ac:dyDescent="0.2">
      <c r="A186" t="s">
        <v>2083</v>
      </c>
      <c r="B186" t="s">
        <v>2084</v>
      </c>
      <c r="C186" t="s">
        <v>2085</v>
      </c>
      <c r="D186" t="s">
        <v>2086</v>
      </c>
      <c r="E186" t="s">
        <v>2086</v>
      </c>
      <c r="G186" t="s">
        <v>56</v>
      </c>
      <c r="H186" t="s">
        <v>58</v>
      </c>
      <c r="I186" t="s">
        <v>2087</v>
      </c>
      <c r="J186" t="s">
        <v>2087</v>
      </c>
      <c r="K186" t="s">
        <v>7165</v>
      </c>
      <c r="L186" t="s">
        <v>7165</v>
      </c>
      <c r="M186" s="1" t="s">
        <v>603</v>
      </c>
      <c r="N186" t="s">
        <v>649</v>
      </c>
      <c r="O186" s="1" t="s">
        <v>875</v>
      </c>
      <c r="P186" s="1" t="s">
        <v>270</v>
      </c>
      <c r="Q186" s="11" t="s">
        <v>7339</v>
      </c>
      <c r="R186" s="1">
        <v>11</v>
      </c>
      <c r="S186" s="1">
        <v>2124</v>
      </c>
      <c r="T186" s="1" t="s">
        <v>2088</v>
      </c>
      <c r="U186" s="1" t="s">
        <v>170</v>
      </c>
      <c r="V186" t="s">
        <v>2089</v>
      </c>
      <c r="W186" t="s">
        <v>2090</v>
      </c>
      <c r="X186" t="s">
        <v>68</v>
      </c>
      <c r="Y186" t="s">
        <v>2091</v>
      </c>
      <c r="Z186" t="s">
        <v>2092</v>
      </c>
      <c r="AA186" t="s">
        <v>2093</v>
      </c>
      <c r="AB186" t="s">
        <v>2079</v>
      </c>
      <c r="AC186" t="s">
        <v>73</v>
      </c>
      <c r="AD186" t="s">
        <v>2094</v>
      </c>
      <c r="AE186" t="s">
        <v>2095</v>
      </c>
      <c r="AF186" t="s">
        <v>76</v>
      </c>
      <c r="AG186" t="s">
        <v>77</v>
      </c>
      <c r="AH186" t="s">
        <v>2096</v>
      </c>
      <c r="AI186" t="s">
        <v>1531</v>
      </c>
      <c r="AJ186" t="s">
        <v>2097</v>
      </c>
      <c r="AK186" t="s">
        <v>81</v>
      </c>
      <c r="AL186" t="s">
        <v>82</v>
      </c>
      <c r="AM186" t="s">
        <v>83</v>
      </c>
      <c r="AN186">
        <v>2014</v>
      </c>
      <c r="AO186">
        <v>142384</v>
      </c>
      <c r="AP186">
        <v>5526979</v>
      </c>
      <c r="AQ186">
        <v>191</v>
      </c>
      <c r="AR186" t="s">
        <v>84</v>
      </c>
      <c r="AS186">
        <v>562</v>
      </c>
      <c r="AT186" t="s">
        <v>85</v>
      </c>
      <c r="AU186" t="s">
        <v>86</v>
      </c>
      <c r="AV186">
        <v>562</v>
      </c>
      <c r="AW186" t="s">
        <v>2098</v>
      </c>
      <c r="AX186" t="s">
        <v>88</v>
      </c>
      <c r="AZ186" t="s">
        <v>1533</v>
      </c>
      <c r="BA186">
        <v>11</v>
      </c>
    </row>
    <row r="187" spans="1:54" x14ac:dyDescent="0.2">
      <c r="A187" t="s">
        <v>2099</v>
      </c>
      <c r="B187" t="s">
        <v>2100</v>
      </c>
      <c r="C187" t="s">
        <v>2101</v>
      </c>
      <c r="D187" t="s">
        <v>2102</v>
      </c>
      <c r="E187" t="s">
        <v>2102</v>
      </c>
      <c r="G187" t="s">
        <v>56</v>
      </c>
      <c r="H187" t="s">
        <v>58</v>
      </c>
      <c r="I187" t="s">
        <v>2103</v>
      </c>
      <c r="J187" t="s">
        <v>2103</v>
      </c>
      <c r="K187" t="s">
        <v>7165</v>
      </c>
      <c r="L187" t="s">
        <v>7165</v>
      </c>
      <c r="M187" s="1" t="s">
        <v>603</v>
      </c>
      <c r="N187" t="s">
        <v>649</v>
      </c>
      <c r="O187" s="1" t="s">
        <v>605</v>
      </c>
      <c r="P187" s="1" t="s">
        <v>127</v>
      </c>
      <c r="Q187" s="11" t="s">
        <v>7194</v>
      </c>
      <c r="R187" s="1">
        <v>11</v>
      </c>
      <c r="S187" s="1">
        <v>2124</v>
      </c>
      <c r="T187" s="1" t="s">
        <v>2104</v>
      </c>
      <c r="U187" s="1" t="s">
        <v>170</v>
      </c>
      <c r="V187" t="s">
        <v>2105</v>
      </c>
      <c r="W187" t="s">
        <v>2106</v>
      </c>
      <c r="X187" t="s">
        <v>68</v>
      </c>
      <c r="Y187" t="s">
        <v>2107</v>
      </c>
      <c r="Z187" t="s">
        <v>2108</v>
      </c>
      <c r="AA187" t="s">
        <v>2109</v>
      </c>
      <c r="AB187" t="s">
        <v>2079</v>
      </c>
      <c r="AC187" t="s">
        <v>73</v>
      </c>
      <c r="AD187" t="s">
        <v>2110</v>
      </c>
      <c r="AE187" t="s">
        <v>2111</v>
      </c>
      <c r="AF187" t="s">
        <v>76</v>
      </c>
      <c r="AG187" t="s">
        <v>77</v>
      </c>
      <c r="AH187" t="s">
        <v>630</v>
      </c>
      <c r="AI187" t="s">
        <v>1104</v>
      </c>
      <c r="AJ187" t="s">
        <v>2112</v>
      </c>
      <c r="AK187" t="s">
        <v>81</v>
      </c>
      <c r="AL187" t="s">
        <v>82</v>
      </c>
      <c r="AM187" t="s">
        <v>83</v>
      </c>
      <c r="AN187">
        <v>2014</v>
      </c>
      <c r="AO187">
        <v>160336</v>
      </c>
      <c r="AP187">
        <v>5415372</v>
      </c>
      <c r="AQ187">
        <v>144</v>
      </c>
      <c r="AR187" t="s">
        <v>84</v>
      </c>
      <c r="AS187">
        <v>562</v>
      </c>
      <c r="AT187" t="s">
        <v>85</v>
      </c>
      <c r="AU187" t="s">
        <v>86</v>
      </c>
      <c r="AV187">
        <v>562</v>
      </c>
      <c r="AW187" t="s">
        <v>2113</v>
      </c>
      <c r="AX187" t="s">
        <v>88</v>
      </c>
      <c r="AZ187" t="s">
        <v>2114</v>
      </c>
      <c r="BA187">
        <v>1</v>
      </c>
      <c r="BB187">
        <v>1</v>
      </c>
    </row>
    <row r="188" spans="1:54" x14ac:dyDescent="0.2">
      <c r="A188" t="s">
        <v>2615</v>
      </c>
      <c r="B188" t="s">
        <v>2616</v>
      </c>
      <c r="C188" t="s">
        <v>2605</v>
      </c>
      <c r="D188" t="s">
        <v>2617</v>
      </c>
      <c r="E188" t="s">
        <v>2617</v>
      </c>
      <c r="G188" t="s">
        <v>56</v>
      </c>
      <c r="H188" t="s">
        <v>58</v>
      </c>
      <c r="I188" t="s">
        <v>2607</v>
      </c>
      <c r="J188" t="s">
        <v>2607</v>
      </c>
      <c r="K188" t="s">
        <v>7165</v>
      </c>
      <c r="L188" t="s">
        <v>7165</v>
      </c>
      <c r="M188" s="1" t="s">
        <v>603</v>
      </c>
      <c r="N188" t="s">
        <v>649</v>
      </c>
      <c r="O188" s="1" t="s">
        <v>605</v>
      </c>
      <c r="P188" s="1" t="s">
        <v>127</v>
      </c>
      <c r="Q188" s="11" t="s">
        <v>7194</v>
      </c>
      <c r="R188" s="1">
        <v>11</v>
      </c>
      <c r="S188" s="1">
        <v>2124</v>
      </c>
      <c r="T188" s="1" t="s">
        <v>169</v>
      </c>
      <c r="U188" s="1">
        <v>7979703</v>
      </c>
      <c r="V188" t="s">
        <v>2618</v>
      </c>
      <c r="W188" t="s">
        <v>2619</v>
      </c>
      <c r="X188" t="s">
        <v>68</v>
      </c>
      <c r="Y188" t="s">
        <v>2620</v>
      </c>
      <c r="Z188" t="s">
        <v>2621</v>
      </c>
      <c r="AA188" t="s">
        <v>2622</v>
      </c>
      <c r="AB188" t="s">
        <v>2079</v>
      </c>
      <c r="AC188" t="s">
        <v>73</v>
      </c>
      <c r="AD188" t="s">
        <v>2623</v>
      </c>
      <c r="AE188" t="s">
        <v>75</v>
      </c>
      <c r="AF188" t="s">
        <v>76</v>
      </c>
      <c r="AG188" t="s">
        <v>77</v>
      </c>
      <c r="AH188" t="s">
        <v>669</v>
      </c>
      <c r="AI188" t="s">
        <v>615</v>
      </c>
      <c r="AJ188" t="s">
        <v>616</v>
      </c>
      <c r="AK188" t="s">
        <v>81</v>
      </c>
      <c r="AL188" t="s">
        <v>82</v>
      </c>
      <c r="AM188" t="s">
        <v>83</v>
      </c>
      <c r="AN188">
        <v>2016</v>
      </c>
      <c r="AO188">
        <v>188435</v>
      </c>
      <c r="AP188">
        <v>5343257</v>
      </c>
      <c r="AQ188">
        <v>147</v>
      </c>
      <c r="AR188" t="s">
        <v>84</v>
      </c>
      <c r="AS188">
        <v>562</v>
      </c>
      <c r="AT188" t="s">
        <v>85</v>
      </c>
      <c r="AU188" t="s">
        <v>86</v>
      </c>
      <c r="AV188">
        <v>562</v>
      </c>
      <c r="AW188" t="s">
        <v>2624</v>
      </c>
      <c r="AX188" t="s">
        <v>88</v>
      </c>
      <c r="AZ188" t="s">
        <v>841</v>
      </c>
      <c r="BA188">
        <v>4</v>
      </c>
      <c r="BB188">
        <v>4</v>
      </c>
    </row>
    <row r="189" spans="1:54" x14ac:dyDescent="0.2">
      <c r="A189" t="s">
        <v>2115</v>
      </c>
      <c r="B189" t="s">
        <v>2116</v>
      </c>
      <c r="C189" t="s">
        <v>2101</v>
      </c>
      <c r="D189" t="s">
        <v>2117</v>
      </c>
      <c r="E189" t="s">
        <v>2117</v>
      </c>
      <c r="G189" t="s">
        <v>56</v>
      </c>
      <c r="H189" t="s">
        <v>58</v>
      </c>
      <c r="I189" t="s">
        <v>2103</v>
      </c>
      <c r="J189" t="s">
        <v>2103</v>
      </c>
      <c r="K189" t="s">
        <v>7165</v>
      </c>
      <c r="L189" t="s">
        <v>7165</v>
      </c>
      <c r="M189" s="1" t="s">
        <v>603</v>
      </c>
      <c r="N189" t="s">
        <v>649</v>
      </c>
      <c r="O189" s="1" t="s">
        <v>650</v>
      </c>
      <c r="P189" s="1" t="s">
        <v>127</v>
      </c>
      <c r="Q189" s="11" t="s">
        <v>7194</v>
      </c>
      <c r="R189" s="1">
        <v>11</v>
      </c>
      <c r="S189" s="1">
        <v>2124</v>
      </c>
      <c r="T189" s="1" t="s">
        <v>2118</v>
      </c>
      <c r="U189" s="1" t="s">
        <v>170</v>
      </c>
      <c r="V189" t="s">
        <v>2119</v>
      </c>
      <c r="W189" t="s">
        <v>2120</v>
      </c>
      <c r="X189" t="s">
        <v>68</v>
      </c>
      <c r="Y189" t="s">
        <v>2121</v>
      </c>
      <c r="Z189" t="s">
        <v>2122</v>
      </c>
      <c r="AA189" t="s">
        <v>2123</v>
      </c>
      <c r="AB189" t="s">
        <v>2124</v>
      </c>
      <c r="AC189" t="s">
        <v>73</v>
      </c>
      <c r="AD189" t="s">
        <v>2125</v>
      </c>
      <c r="AE189" t="s">
        <v>2126</v>
      </c>
      <c r="AF189" t="s">
        <v>76</v>
      </c>
      <c r="AG189" t="s">
        <v>77</v>
      </c>
      <c r="AH189" t="s">
        <v>733</v>
      </c>
      <c r="AI189" t="s">
        <v>1104</v>
      </c>
      <c r="AJ189" t="s">
        <v>2127</v>
      </c>
      <c r="AK189" t="s">
        <v>81</v>
      </c>
      <c r="AL189" t="s">
        <v>82</v>
      </c>
      <c r="AM189" t="s">
        <v>83</v>
      </c>
      <c r="AN189">
        <v>2014</v>
      </c>
      <c r="AO189">
        <v>160336</v>
      </c>
      <c r="AP189">
        <v>5412369</v>
      </c>
      <c r="AQ189">
        <v>158</v>
      </c>
      <c r="AR189" t="s">
        <v>84</v>
      </c>
      <c r="AS189">
        <v>562</v>
      </c>
      <c r="AT189" t="s">
        <v>85</v>
      </c>
      <c r="AU189" t="s">
        <v>86</v>
      </c>
      <c r="AV189">
        <v>562</v>
      </c>
      <c r="AW189" t="s">
        <v>2128</v>
      </c>
      <c r="AX189" t="s">
        <v>88</v>
      </c>
      <c r="AZ189" t="s">
        <v>2114</v>
      </c>
      <c r="BA189">
        <v>1</v>
      </c>
      <c r="BB189">
        <v>1</v>
      </c>
    </row>
    <row r="190" spans="1:54" x14ac:dyDescent="0.2">
      <c r="A190" t="s">
        <v>2129</v>
      </c>
      <c r="B190" t="s">
        <v>2130</v>
      </c>
      <c r="C190" t="s">
        <v>2101</v>
      </c>
      <c r="D190" t="s">
        <v>2131</v>
      </c>
      <c r="E190" t="s">
        <v>2131</v>
      </c>
      <c r="G190" t="s">
        <v>56</v>
      </c>
      <c r="H190" t="s">
        <v>58</v>
      </c>
      <c r="I190" t="s">
        <v>2103</v>
      </c>
      <c r="J190" t="s">
        <v>2103</v>
      </c>
      <c r="K190" t="s">
        <v>7165</v>
      </c>
      <c r="L190" t="s">
        <v>7165</v>
      </c>
      <c r="M190" s="1" t="s">
        <v>603</v>
      </c>
      <c r="N190" t="s">
        <v>649</v>
      </c>
      <c r="O190" s="1" t="s">
        <v>650</v>
      </c>
      <c r="P190" s="1" t="s">
        <v>127</v>
      </c>
      <c r="Q190" s="11" t="s">
        <v>7194</v>
      </c>
      <c r="R190" s="1">
        <v>11</v>
      </c>
      <c r="S190" s="1">
        <v>2124</v>
      </c>
      <c r="T190" s="1" t="s">
        <v>2118</v>
      </c>
      <c r="U190" s="1" t="s">
        <v>170</v>
      </c>
      <c r="V190" t="s">
        <v>2132</v>
      </c>
      <c r="W190" t="s">
        <v>2133</v>
      </c>
      <c r="X190" t="s">
        <v>68</v>
      </c>
      <c r="Y190" t="s">
        <v>2134</v>
      </c>
      <c r="Z190" t="s">
        <v>2135</v>
      </c>
      <c r="AA190" t="s">
        <v>2136</v>
      </c>
      <c r="AB190" t="s">
        <v>2124</v>
      </c>
      <c r="AC190" t="s">
        <v>73</v>
      </c>
      <c r="AD190" t="s">
        <v>2137</v>
      </c>
      <c r="AE190" t="s">
        <v>2126</v>
      </c>
      <c r="AF190" t="s">
        <v>76</v>
      </c>
      <c r="AG190" t="s">
        <v>77</v>
      </c>
      <c r="AH190" t="s">
        <v>733</v>
      </c>
      <c r="AI190" t="s">
        <v>1104</v>
      </c>
      <c r="AJ190" t="s">
        <v>2127</v>
      </c>
      <c r="AK190" t="s">
        <v>81</v>
      </c>
      <c r="AL190" t="s">
        <v>82</v>
      </c>
      <c r="AM190" t="s">
        <v>83</v>
      </c>
      <c r="AN190">
        <v>2014</v>
      </c>
      <c r="AO190">
        <v>159795</v>
      </c>
      <c r="AP190">
        <v>5407846</v>
      </c>
      <c r="AQ190">
        <v>161</v>
      </c>
      <c r="AR190" t="s">
        <v>84</v>
      </c>
      <c r="AS190">
        <v>562</v>
      </c>
      <c r="AT190" t="s">
        <v>85</v>
      </c>
      <c r="AU190" t="s">
        <v>86</v>
      </c>
      <c r="AV190">
        <v>562</v>
      </c>
      <c r="AW190" t="s">
        <v>2138</v>
      </c>
      <c r="AX190" t="s">
        <v>88</v>
      </c>
      <c r="AZ190" t="s">
        <v>2114</v>
      </c>
      <c r="BA190">
        <v>0</v>
      </c>
      <c r="BB190">
        <v>0</v>
      </c>
    </row>
    <row r="191" spans="1:54" x14ac:dyDescent="0.2">
      <c r="A191" t="s">
        <v>2139</v>
      </c>
      <c r="B191" t="s">
        <v>2140</v>
      </c>
      <c r="C191" t="s">
        <v>2101</v>
      </c>
      <c r="D191" t="s">
        <v>2141</v>
      </c>
      <c r="E191" t="s">
        <v>2141</v>
      </c>
      <c r="G191" t="s">
        <v>56</v>
      </c>
      <c r="H191" t="s">
        <v>58</v>
      </c>
      <c r="I191" t="s">
        <v>2103</v>
      </c>
      <c r="J191" t="s">
        <v>2103</v>
      </c>
      <c r="K191" t="s">
        <v>7165</v>
      </c>
      <c r="L191" t="s">
        <v>7165</v>
      </c>
      <c r="M191" s="1" t="s">
        <v>603</v>
      </c>
      <c r="N191" t="s">
        <v>649</v>
      </c>
      <c r="O191" s="1" t="s">
        <v>650</v>
      </c>
      <c r="P191" s="1" t="s">
        <v>127</v>
      </c>
      <c r="Q191" s="11" t="s">
        <v>7194</v>
      </c>
      <c r="R191" s="1">
        <v>11</v>
      </c>
      <c r="S191" s="1">
        <v>2124</v>
      </c>
      <c r="T191" s="1" t="s">
        <v>2142</v>
      </c>
      <c r="U191" s="1" t="s">
        <v>170</v>
      </c>
      <c r="V191" t="s">
        <v>2143</v>
      </c>
      <c r="W191" t="s">
        <v>2144</v>
      </c>
      <c r="X191" t="s">
        <v>68</v>
      </c>
      <c r="Y191" t="s">
        <v>2145</v>
      </c>
      <c r="Z191" t="s">
        <v>2146</v>
      </c>
      <c r="AA191" t="s">
        <v>2147</v>
      </c>
      <c r="AB191" t="s">
        <v>2124</v>
      </c>
      <c r="AC191" t="s">
        <v>73</v>
      </c>
      <c r="AD191" t="s">
        <v>2148</v>
      </c>
      <c r="AE191" t="s">
        <v>2126</v>
      </c>
      <c r="AF191" t="s">
        <v>76</v>
      </c>
      <c r="AG191" t="s">
        <v>77</v>
      </c>
      <c r="AH191" t="s">
        <v>669</v>
      </c>
      <c r="AI191" t="s">
        <v>1104</v>
      </c>
      <c r="AJ191" t="s">
        <v>2127</v>
      </c>
      <c r="AK191" t="s">
        <v>81</v>
      </c>
      <c r="AL191" t="s">
        <v>82</v>
      </c>
      <c r="AM191" t="s">
        <v>83</v>
      </c>
      <c r="AN191">
        <v>2014</v>
      </c>
      <c r="AO191">
        <v>160336</v>
      </c>
      <c r="AP191">
        <v>5415727</v>
      </c>
      <c r="AQ191">
        <v>150</v>
      </c>
      <c r="AR191" t="s">
        <v>84</v>
      </c>
      <c r="AS191">
        <v>562</v>
      </c>
      <c r="AT191" t="s">
        <v>85</v>
      </c>
      <c r="AU191" t="s">
        <v>86</v>
      </c>
      <c r="AV191">
        <v>562</v>
      </c>
      <c r="AW191" t="s">
        <v>2149</v>
      </c>
      <c r="AX191" t="s">
        <v>88</v>
      </c>
      <c r="AZ191" t="s">
        <v>2114</v>
      </c>
      <c r="BA191">
        <v>0</v>
      </c>
      <c r="BB191">
        <v>0</v>
      </c>
    </row>
    <row r="192" spans="1:54" x14ac:dyDescent="0.2">
      <c r="A192" t="s">
        <v>2150</v>
      </c>
      <c r="B192" t="s">
        <v>2151</v>
      </c>
      <c r="C192" t="s">
        <v>2101</v>
      </c>
      <c r="D192" t="s">
        <v>2152</v>
      </c>
      <c r="E192" t="s">
        <v>2152</v>
      </c>
      <c r="G192" t="s">
        <v>56</v>
      </c>
      <c r="H192" t="s">
        <v>58</v>
      </c>
      <c r="I192" t="s">
        <v>2103</v>
      </c>
      <c r="J192" t="s">
        <v>2103</v>
      </c>
      <c r="K192" t="s">
        <v>7165</v>
      </c>
      <c r="L192" t="s">
        <v>7165</v>
      </c>
      <c r="M192" s="1" t="s">
        <v>603</v>
      </c>
      <c r="N192" t="s">
        <v>649</v>
      </c>
      <c r="O192" s="1" t="s">
        <v>650</v>
      </c>
      <c r="P192" s="1" t="s">
        <v>127</v>
      </c>
      <c r="Q192" s="11" t="s">
        <v>7194</v>
      </c>
      <c r="R192" s="1">
        <v>11</v>
      </c>
      <c r="S192" s="1">
        <v>2124</v>
      </c>
      <c r="T192" s="1" t="s">
        <v>2118</v>
      </c>
      <c r="U192" s="1" t="s">
        <v>170</v>
      </c>
      <c r="V192" t="s">
        <v>2153</v>
      </c>
      <c r="W192" t="s">
        <v>2154</v>
      </c>
      <c r="X192" t="s">
        <v>68</v>
      </c>
      <c r="Y192" t="s">
        <v>2155</v>
      </c>
      <c r="Z192" t="s">
        <v>2156</v>
      </c>
      <c r="AA192" t="s">
        <v>2157</v>
      </c>
      <c r="AB192" t="s">
        <v>2124</v>
      </c>
      <c r="AC192" t="s">
        <v>73</v>
      </c>
      <c r="AD192" t="s">
        <v>2158</v>
      </c>
      <c r="AE192" t="s">
        <v>2126</v>
      </c>
      <c r="AF192" t="s">
        <v>76</v>
      </c>
      <c r="AG192" t="s">
        <v>77</v>
      </c>
      <c r="AH192" t="s">
        <v>2159</v>
      </c>
      <c r="AI192" t="s">
        <v>1104</v>
      </c>
      <c r="AJ192" t="s">
        <v>2127</v>
      </c>
      <c r="AK192" t="s">
        <v>158</v>
      </c>
      <c r="AL192" t="s">
        <v>159</v>
      </c>
      <c r="AM192" t="s">
        <v>83</v>
      </c>
      <c r="AN192">
        <v>2014</v>
      </c>
      <c r="AO192">
        <v>188435</v>
      </c>
      <c r="AP192">
        <v>5413054</v>
      </c>
      <c r="AQ192">
        <v>157</v>
      </c>
      <c r="AR192" t="s">
        <v>84</v>
      </c>
      <c r="AS192">
        <v>562</v>
      </c>
      <c r="AT192" t="s">
        <v>85</v>
      </c>
      <c r="AU192" t="s">
        <v>86</v>
      </c>
      <c r="AV192">
        <v>562</v>
      </c>
      <c r="AW192" t="s">
        <v>2160</v>
      </c>
      <c r="AX192" t="s">
        <v>88</v>
      </c>
      <c r="AZ192" t="s">
        <v>2114</v>
      </c>
      <c r="BA192">
        <v>0</v>
      </c>
      <c r="BB192">
        <v>0</v>
      </c>
    </row>
    <row r="193" spans="1:54" x14ac:dyDescent="0.2">
      <c r="A193" t="s">
        <v>2161</v>
      </c>
      <c r="B193" t="s">
        <v>2162</v>
      </c>
      <c r="C193" t="s">
        <v>2163</v>
      </c>
      <c r="D193" t="s">
        <v>2164</v>
      </c>
      <c r="E193" t="s">
        <v>2164</v>
      </c>
      <c r="G193" t="s">
        <v>56</v>
      </c>
      <c r="H193" t="s">
        <v>58</v>
      </c>
      <c r="I193" t="s">
        <v>2165</v>
      </c>
      <c r="J193" t="s">
        <v>2165</v>
      </c>
      <c r="K193" t="s">
        <v>7165</v>
      </c>
      <c r="L193" t="s">
        <v>7165</v>
      </c>
      <c r="M193" s="1" t="s">
        <v>603</v>
      </c>
      <c r="N193" t="s">
        <v>649</v>
      </c>
      <c r="O193" s="1" t="s">
        <v>875</v>
      </c>
      <c r="P193" s="1" t="s">
        <v>270</v>
      </c>
      <c r="Q193" s="11" t="s">
        <v>7339</v>
      </c>
      <c r="R193" s="1">
        <v>11</v>
      </c>
      <c r="S193" s="1">
        <v>2105</v>
      </c>
      <c r="T193" s="1" t="s">
        <v>2166</v>
      </c>
      <c r="U193" s="1" t="s">
        <v>170</v>
      </c>
      <c r="V193" t="s">
        <v>2167</v>
      </c>
      <c r="W193" t="s">
        <v>2168</v>
      </c>
      <c r="X193" t="s">
        <v>68</v>
      </c>
      <c r="Y193" t="s">
        <v>2169</v>
      </c>
      <c r="Z193" t="s">
        <v>2170</v>
      </c>
      <c r="AA193" t="s">
        <v>2171</v>
      </c>
      <c r="AB193" t="s">
        <v>2124</v>
      </c>
      <c r="AC193" t="s">
        <v>73</v>
      </c>
      <c r="AD193" t="s">
        <v>2172</v>
      </c>
      <c r="AE193" t="s">
        <v>2173</v>
      </c>
      <c r="AF193" t="s">
        <v>76</v>
      </c>
      <c r="AG193" t="s">
        <v>77</v>
      </c>
      <c r="AH193" t="s">
        <v>2174</v>
      </c>
      <c r="AI193" t="s">
        <v>615</v>
      </c>
      <c r="AJ193" t="s">
        <v>2175</v>
      </c>
      <c r="AK193" t="s">
        <v>81</v>
      </c>
      <c r="AL193" t="s">
        <v>82</v>
      </c>
      <c r="AM193" t="s">
        <v>83</v>
      </c>
      <c r="AN193">
        <v>2014</v>
      </c>
      <c r="AO193">
        <v>121906</v>
      </c>
      <c r="AP193">
        <v>5463540</v>
      </c>
      <c r="AQ193">
        <v>174</v>
      </c>
      <c r="AR193" t="s">
        <v>84</v>
      </c>
      <c r="AS193">
        <v>562</v>
      </c>
      <c r="AT193" t="s">
        <v>85</v>
      </c>
      <c r="AU193" t="s">
        <v>86</v>
      </c>
      <c r="AV193">
        <v>562</v>
      </c>
      <c r="AW193" t="s">
        <v>2176</v>
      </c>
      <c r="AX193" t="s">
        <v>88</v>
      </c>
      <c r="AZ193" t="s">
        <v>2177</v>
      </c>
      <c r="BA193">
        <v>0</v>
      </c>
      <c r="BB193">
        <v>3</v>
      </c>
    </row>
    <row r="194" spans="1:54" x14ac:dyDescent="0.2">
      <c r="A194" t="s">
        <v>2178</v>
      </c>
      <c r="B194" t="s">
        <v>2179</v>
      </c>
      <c r="C194" t="s">
        <v>2163</v>
      </c>
      <c r="D194" t="s">
        <v>2180</v>
      </c>
      <c r="E194" t="s">
        <v>2180</v>
      </c>
      <c r="G194" t="s">
        <v>56</v>
      </c>
      <c r="H194" t="s">
        <v>58</v>
      </c>
      <c r="I194" t="s">
        <v>2165</v>
      </c>
      <c r="J194" t="s">
        <v>2165</v>
      </c>
      <c r="K194" t="s">
        <v>7165</v>
      </c>
      <c r="L194" t="s">
        <v>7165</v>
      </c>
      <c r="M194" s="1" t="s">
        <v>603</v>
      </c>
      <c r="N194" t="s">
        <v>649</v>
      </c>
      <c r="O194" s="1" t="s">
        <v>674</v>
      </c>
      <c r="P194" s="1" t="s">
        <v>270</v>
      </c>
      <c r="Q194" s="11" t="s">
        <v>7339</v>
      </c>
      <c r="R194" s="1">
        <v>11</v>
      </c>
      <c r="S194" s="1">
        <v>2105</v>
      </c>
      <c r="T194" s="1" t="s">
        <v>2181</v>
      </c>
      <c r="U194" s="1" t="s">
        <v>170</v>
      </c>
      <c r="V194" t="s">
        <v>2182</v>
      </c>
      <c r="W194" t="s">
        <v>2183</v>
      </c>
      <c r="X194" t="s">
        <v>68</v>
      </c>
      <c r="Y194" t="s">
        <v>2184</v>
      </c>
      <c r="Z194" t="s">
        <v>2185</v>
      </c>
      <c r="AA194" t="s">
        <v>2186</v>
      </c>
      <c r="AB194" t="s">
        <v>2124</v>
      </c>
      <c r="AC194" t="s">
        <v>73</v>
      </c>
      <c r="AD194" t="s">
        <v>2187</v>
      </c>
      <c r="AE194" t="s">
        <v>2173</v>
      </c>
      <c r="AF194" t="s">
        <v>76</v>
      </c>
      <c r="AG194" t="s">
        <v>77</v>
      </c>
      <c r="AH194" t="s">
        <v>2188</v>
      </c>
      <c r="AI194" t="s">
        <v>615</v>
      </c>
      <c r="AJ194" t="s">
        <v>2175</v>
      </c>
      <c r="AK194" t="s">
        <v>158</v>
      </c>
      <c r="AL194" t="s">
        <v>159</v>
      </c>
      <c r="AM194" t="s">
        <v>83</v>
      </c>
      <c r="AN194">
        <v>2014</v>
      </c>
      <c r="AO194">
        <v>145284</v>
      </c>
      <c r="AP194">
        <v>5449700</v>
      </c>
      <c r="AQ194">
        <v>186</v>
      </c>
      <c r="AR194" t="s">
        <v>84</v>
      </c>
      <c r="AS194">
        <v>562</v>
      </c>
      <c r="AT194" t="s">
        <v>85</v>
      </c>
      <c r="AU194" t="s">
        <v>86</v>
      </c>
      <c r="AV194">
        <v>562</v>
      </c>
      <c r="AW194" t="s">
        <v>2189</v>
      </c>
      <c r="AX194" t="s">
        <v>88</v>
      </c>
      <c r="AZ194" t="s">
        <v>2177</v>
      </c>
      <c r="BA194">
        <v>0</v>
      </c>
      <c r="BB194">
        <v>1</v>
      </c>
    </row>
    <row r="195" spans="1:54" x14ac:dyDescent="0.2">
      <c r="A195" t="s">
        <v>2190</v>
      </c>
      <c r="B195" t="s">
        <v>2191</v>
      </c>
      <c r="C195" t="s">
        <v>2192</v>
      </c>
      <c r="D195" t="s">
        <v>2193</v>
      </c>
      <c r="E195" t="s">
        <v>2193</v>
      </c>
      <c r="G195" t="s">
        <v>56</v>
      </c>
      <c r="H195" t="s">
        <v>58</v>
      </c>
      <c r="I195" t="s">
        <v>2194</v>
      </c>
      <c r="J195" t="s">
        <v>2194</v>
      </c>
      <c r="K195" t="s">
        <v>7165</v>
      </c>
      <c r="L195" t="s">
        <v>7165</v>
      </c>
      <c r="M195" s="1" t="s">
        <v>603</v>
      </c>
      <c r="N195" t="s">
        <v>649</v>
      </c>
      <c r="O195" s="1" t="s">
        <v>875</v>
      </c>
      <c r="P195" s="1" t="s">
        <v>270</v>
      </c>
      <c r="Q195" s="11" t="s">
        <v>7339</v>
      </c>
      <c r="R195" s="1">
        <v>11</v>
      </c>
      <c r="S195" s="1">
        <v>2105</v>
      </c>
      <c r="T195" s="1" t="s">
        <v>2166</v>
      </c>
      <c r="U195" s="1" t="s">
        <v>170</v>
      </c>
      <c r="V195" t="s">
        <v>2195</v>
      </c>
      <c r="W195" t="s">
        <v>2196</v>
      </c>
      <c r="X195" t="s">
        <v>68</v>
      </c>
      <c r="Y195" t="s">
        <v>2197</v>
      </c>
      <c r="Z195" t="s">
        <v>2198</v>
      </c>
      <c r="AA195" t="s">
        <v>2199</v>
      </c>
      <c r="AB195" t="s">
        <v>2200</v>
      </c>
      <c r="AC195" t="s">
        <v>73</v>
      </c>
      <c r="AD195" t="s">
        <v>2201</v>
      </c>
      <c r="AE195" t="s">
        <v>2173</v>
      </c>
      <c r="AF195" t="s">
        <v>76</v>
      </c>
      <c r="AG195" t="s">
        <v>77</v>
      </c>
      <c r="AH195" t="s">
        <v>2188</v>
      </c>
      <c r="AI195" t="s">
        <v>615</v>
      </c>
      <c r="AJ195" t="s">
        <v>2175</v>
      </c>
      <c r="AK195" t="s">
        <v>158</v>
      </c>
      <c r="AL195" t="s">
        <v>159</v>
      </c>
      <c r="AM195" t="s">
        <v>83</v>
      </c>
      <c r="AN195">
        <v>2014</v>
      </c>
      <c r="AO195">
        <v>121906</v>
      </c>
      <c r="AP195">
        <v>5444142</v>
      </c>
      <c r="AQ195">
        <v>196</v>
      </c>
      <c r="AR195" t="s">
        <v>84</v>
      </c>
      <c r="AS195">
        <v>562</v>
      </c>
      <c r="AT195" t="s">
        <v>85</v>
      </c>
      <c r="AU195" t="s">
        <v>86</v>
      </c>
      <c r="AV195">
        <v>562</v>
      </c>
      <c r="AW195" t="s">
        <v>2202</v>
      </c>
      <c r="AX195" t="s">
        <v>88</v>
      </c>
      <c r="AZ195" t="s">
        <v>2177</v>
      </c>
      <c r="BA195">
        <v>0</v>
      </c>
      <c r="BB195">
        <v>1</v>
      </c>
    </row>
    <row r="196" spans="1:54" x14ac:dyDescent="0.2">
      <c r="A196" t="s">
        <v>2203</v>
      </c>
      <c r="B196" t="s">
        <v>2204</v>
      </c>
      <c r="C196" t="s">
        <v>2192</v>
      </c>
      <c r="D196" t="s">
        <v>2205</v>
      </c>
      <c r="E196" t="s">
        <v>2205</v>
      </c>
      <c r="G196" t="s">
        <v>56</v>
      </c>
      <c r="H196" t="s">
        <v>58</v>
      </c>
      <c r="I196" t="s">
        <v>2194</v>
      </c>
      <c r="J196" t="s">
        <v>2194</v>
      </c>
      <c r="K196" t="s">
        <v>7165</v>
      </c>
      <c r="L196" t="s">
        <v>7165</v>
      </c>
      <c r="M196" s="1" t="s">
        <v>603</v>
      </c>
      <c r="N196" t="s">
        <v>649</v>
      </c>
      <c r="O196" s="1" t="s">
        <v>674</v>
      </c>
      <c r="P196" s="1" t="s">
        <v>270</v>
      </c>
      <c r="Q196" s="11" t="s">
        <v>7339</v>
      </c>
      <c r="R196" s="1">
        <v>11</v>
      </c>
      <c r="S196" s="1">
        <v>2105</v>
      </c>
      <c r="T196" s="1" t="s">
        <v>2181</v>
      </c>
      <c r="U196" s="1" t="s">
        <v>170</v>
      </c>
      <c r="V196" t="s">
        <v>2206</v>
      </c>
      <c r="W196" t="s">
        <v>2207</v>
      </c>
      <c r="X196" t="s">
        <v>68</v>
      </c>
      <c r="Y196" t="s">
        <v>2208</v>
      </c>
      <c r="Z196" t="s">
        <v>2209</v>
      </c>
      <c r="AA196" t="s">
        <v>2210</v>
      </c>
      <c r="AB196" t="s">
        <v>2200</v>
      </c>
      <c r="AC196" t="s">
        <v>73</v>
      </c>
      <c r="AD196" t="s">
        <v>2211</v>
      </c>
      <c r="AE196" t="s">
        <v>2173</v>
      </c>
      <c r="AF196" t="s">
        <v>76</v>
      </c>
      <c r="AG196" t="s">
        <v>77</v>
      </c>
      <c r="AH196" t="s">
        <v>2188</v>
      </c>
      <c r="AI196" t="s">
        <v>615</v>
      </c>
      <c r="AJ196" t="s">
        <v>2175</v>
      </c>
      <c r="AK196" t="s">
        <v>158</v>
      </c>
      <c r="AL196" t="s">
        <v>159</v>
      </c>
      <c r="AM196" t="s">
        <v>83</v>
      </c>
      <c r="AN196">
        <v>2014</v>
      </c>
      <c r="AO196">
        <v>145284</v>
      </c>
      <c r="AP196">
        <v>5455180</v>
      </c>
      <c r="AQ196">
        <v>186</v>
      </c>
      <c r="AR196" t="s">
        <v>84</v>
      </c>
      <c r="AS196">
        <v>562</v>
      </c>
      <c r="AT196" t="s">
        <v>85</v>
      </c>
      <c r="AU196" t="s">
        <v>86</v>
      </c>
      <c r="AV196">
        <v>562</v>
      </c>
      <c r="AW196" t="s">
        <v>2212</v>
      </c>
      <c r="AX196" t="s">
        <v>88</v>
      </c>
      <c r="AZ196" t="s">
        <v>2177</v>
      </c>
      <c r="BA196">
        <v>0</v>
      </c>
      <c r="BB196">
        <v>1</v>
      </c>
    </row>
    <row r="197" spans="1:54" x14ac:dyDescent="0.2">
      <c r="A197" t="s">
        <v>2213</v>
      </c>
      <c r="B197" t="s">
        <v>2214</v>
      </c>
      <c r="C197" t="s">
        <v>2215</v>
      </c>
      <c r="D197" t="s">
        <v>2216</v>
      </c>
      <c r="E197" t="s">
        <v>2216</v>
      </c>
      <c r="G197" t="s">
        <v>56</v>
      </c>
      <c r="H197" t="s">
        <v>58</v>
      </c>
      <c r="I197" t="s">
        <v>2217</v>
      </c>
      <c r="J197" t="s">
        <v>2217</v>
      </c>
      <c r="K197" t="s">
        <v>7165</v>
      </c>
      <c r="L197" t="s">
        <v>7165</v>
      </c>
      <c r="M197" s="1" t="s">
        <v>603</v>
      </c>
      <c r="N197" t="s">
        <v>649</v>
      </c>
      <c r="O197" s="1" t="s">
        <v>875</v>
      </c>
      <c r="P197" s="1" t="s">
        <v>270</v>
      </c>
      <c r="Q197" s="11" t="s">
        <v>7339</v>
      </c>
      <c r="R197" s="1">
        <v>11</v>
      </c>
      <c r="S197" s="1">
        <v>2105</v>
      </c>
      <c r="T197" s="1" t="s">
        <v>2166</v>
      </c>
      <c r="U197" s="1" t="s">
        <v>170</v>
      </c>
      <c r="V197" t="s">
        <v>2218</v>
      </c>
      <c r="W197" t="s">
        <v>2219</v>
      </c>
      <c r="X197" t="s">
        <v>68</v>
      </c>
      <c r="Y197" t="s">
        <v>2220</v>
      </c>
      <c r="Z197" t="s">
        <v>2221</v>
      </c>
      <c r="AA197" t="s">
        <v>2222</v>
      </c>
      <c r="AB197" t="s">
        <v>2200</v>
      </c>
      <c r="AC197" t="s">
        <v>73</v>
      </c>
      <c r="AD197" t="s">
        <v>2223</v>
      </c>
      <c r="AE197" t="s">
        <v>2173</v>
      </c>
      <c r="AF197" t="s">
        <v>76</v>
      </c>
      <c r="AG197" t="s">
        <v>77</v>
      </c>
      <c r="AH197" t="s">
        <v>2224</v>
      </c>
      <c r="AI197" t="s">
        <v>615</v>
      </c>
      <c r="AJ197" t="s">
        <v>2175</v>
      </c>
      <c r="AK197" t="s">
        <v>158</v>
      </c>
      <c r="AL197" t="s">
        <v>159</v>
      </c>
      <c r="AM197" t="s">
        <v>83</v>
      </c>
      <c r="AN197">
        <v>2014</v>
      </c>
      <c r="AO197">
        <v>121906</v>
      </c>
      <c r="AP197">
        <v>5472494</v>
      </c>
      <c r="AQ197">
        <v>172</v>
      </c>
      <c r="AR197" t="s">
        <v>84</v>
      </c>
      <c r="AS197">
        <v>562</v>
      </c>
      <c r="AT197" t="s">
        <v>85</v>
      </c>
      <c r="AU197" t="s">
        <v>86</v>
      </c>
      <c r="AV197">
        <v>562</v>
      </c>
      <c r="AW197" t="s">
        <v>2225</v>
      </c>
      <c r="AX197" t="s">
        <v>88</v>
      </c>
      <c r="AZ197" t="s">
        <v>2177</v>
      </c>
      <c r="BA197">
        <v>0</v>
      </c>
      <c r="BB197">
        <v>3</v>
      </c>
    </row>
    <row r="198" spans="1:54" x14ac:dyDescent="0.2">
      <c r="A198" t="s">
        <v>2226</v>
      </c>
      <c r="B198" t="s">
        <v>2227</v>
      </c>
      <c r="C198" t="s">
        <v>2215</v>
      </c>
      <c r="D198" t="s">
        <v>2228</v>
      </c>
      <c r="E198" t="s">
        <v>2228</v>
      </c>
      <c r="G198" t="s">
        <v>56</v>
      </c>
      <c r="H198" t="s">
        <v>58</v>
      </c>
      <c r="I198" t="s">
        <v>2217</v>
      </c>
      <c r="J198" t="s">
        <v>2217</v>
      </c>
      <c r="K198" t="s">
        <v>7165</v>
      </c>
      <c r="L198" t="s">
        <v>7165</v>
      </c>
      <c r="M198" s="1" t="s">
        <v>603</v>
      </c>
      <c r="N198" t="s">
        <v>649</v>
      </c>
      <c r="O198" s="1" t="s">
        <v>674</v>
      </c>
      <c r="P198" s="1" t="s">
        <v>270</v>
      </c>
      <c r="Q198" s="11" t="s">
        <v>7339</v>
      </c>
      <c r="R198" s="1">
        <v>11</v>
      </c>
      <c r="S198" s="1">
        <v>2105</v>
      </c>
      <c r="T198" s="1" t="s">
        <v>2181</v>
      </c>
      <c r="U198" s="1" t="s">
        <v>170</v>
      </c>
      <c r="V198" t="s">
        <v>2229</v>
      </c>
      <c r="W198" t="s">
        <v>2230</v>
      </c>
      <c r="X198" t="s">
        <v>68</v>
      </c>
      <c r="Y198" t="s">
        <v>2231</v>
      </c>
      <c r="Z198" t="s">
        <v>2232</v>
      </c>
      <c r="AA198" t="s">
        <v>2233</v>
      </c>
      <c r="AB198" t="s">
        <v>2200</v>
      </c>
      <c r="AC198" t="s">
        <v>73</v>
      </c>
      <c r="AD198" t="s">
        <v>2234</v>
      </c>
      <c r="AE198" t="s">
        <v>2173</v>
      </c>
      <c r="AF198" t="s">
        <v>76</v>
      </c>
      <c r="AG198" t="s">
        <v>77</v>
      </c>
      <c r="AH198" t="s">
        <v>2235</v>
      </c>
      <c r="AI198" t="s">
        <v>615</v>
      </c>
      <c r="AJ198" t="s">
        <v>2175</v>
      </c>
      <c r="AK198" t="s">
        <v>81</v>
      </c>
      <c r="AL198" t="s">
        <v>82</v>
      </c>
      <c r="AM198" t="s">
        <v>83</v>
      </c>
      <c r="AN198">
        <v>2014</v>
      </c>
      <c r="AO198">
        <v>146663</v>
      </c>
      <c r="AP198">
        <v>5435432</v>
      </c>
      <c r="AQ198">
        <v>189</v>
      </c>
      <c r="AR198" t="s">
        <v>84</v>
      </c>
      <c r="AS198">
        <v>562</v>
      </c>
      <c r="AT198" t="s">
        <v>85</v>
      </c>
      <c r="AU198" t="s">
        <v>86</v>
      </c>
      <c r="AV198">
        <v>562</v>
      </c>
      <c r="AW198" t="s">
        <v>2236</v>
      </c>
      <c r="AX198" t="s">
        <v>88</v>
      </c>
      <c r="AZ198" t="s">
        <v>2177</v>
      </c>
      <c r="BA198">
        <v>0</v>
      </c>
      <c r="BB198">
        <v>1</v>
      </c>
    </row>
    <row r="199" spans="1:54" x14ac:dyDescent="0.2">
      <c r="A199" t="s">
        <v>2625</v>
      </c>
      <c r="B199" t="s">
        <v>2626</v>
      </c>
      <c r="C199" t="s">
        <v>2627</v>
      </c>
      <c r="D199" t="s">
        <v>2628</v>
      </c>
      <c r="E199" t="s">
        <v>2628</v>
      </c>
      <c r="G199" t="s">
        <v>56</v>
      </c>
      <c r="H199" t="s">
        <v>58</v>
      </c>
      <c r="I199" t="s">
        <v>1094</v>
      </c>
      <c r="J199" t="s">
        <v>1094</v>
      </c>
      <c r="K199" t="s">
        <v>7165</v>
      </c>
      <c r="L199" t="s">
        <v>7165</v>
      </c>
      <c r="M199" s="1" t="s">
        <v>603</v>
      </c>
      <c r="N199" t="s">
        <v>649</v>
      </c>
      <c r="O199" s="1" t="s">
        <v>875</v>
      </c>
      <c r="P199" s="1" t="s">
        <v>64</v>
      </c>
      <c r="Q199" s="11" t="s">
        <v>7293</v>
      </c>
      <c r="R199" s="1">
        <v>11</v>
      </c>
      <c r="S199" s="1">
        <v>2131</v>
      </c>
      <c r="T199" s="1" t="s">
        <v>169</v>
      </c>
      <c r="U199" s="1">
        <v>7986852</v>
      </c>
      <c r="V199" t="s">
        <v>2629</v>
      </c>
      <c r="W199" t="s">
        <v>2630</v>
      </c>
      <c r="X199" t="s">
        <v>68</v>
      </c>
      <c r="Y199" t="s">
        <v>2631</v>
      </c>
      <c r="Z199" t="s">
        <v>2632</v>
      </c>
      <c r="AA199" t="s">
        <v>2633</v>
      </c>
      <c r="AB199" t="s">
        <v>2200</v>
      </c>
      <c r="AC199" t="s">
        <v>73</v>
      </c>
      <c r="AD199" t="s">
        <v>2634</v>
      </c>
      <c r="AF199" t="s">
        <v>76</v>
      </c>
      <c r="AG199" t="s">
        <v>77</v>
      </c>
      <c r="AH199" t="s">
        <v>2635</v>
      </c>
      <c r="AI199" t="s">
        <v>615</v>
      </c>
      <c r="AJ199" t="s">
        <v>721</v>
      </c>
      <c r="AK199" t="s">
        <v>532</v>
      </c>
      <c r="AL199" t="s">
        <v>533</v>
      </c>
      <c r="AM199" t="s">
        <v>83</v>
      </c>
      <c r="AN199">
        <v>2016</v>
      </c>
      <c r="AO199">
        <v>188306</v>
      </c>
      <c r="AP199">
        <v>5374188</v>
      </c>
      <c r="AQ199">
        <v>162</v>
      </c>
      <c r="AR199" t="s">
        <v>84</v>
      </c>
      <c r="AS199">
        <v>562</v>
      </c>
      <c r="AT199" t="s">
        <v>85</v>
      </c>
      <c r="AU199" t="s">
        <v>86</v>
      </c>
      <c r="AV199">
        <v>562</v>
      </c>
      <c r="AW199" t="s">
        <v>2636</v>
      </c>
      <c r="AX199" t="s">
        <v>88</v>
      </c>
      <c r="AZ199" t="s">
        <v>710</v>
      </c>
      <c r="BA199">
        <v>19</v>
      </c>
      <c r="BB199">
        <v>12</v>
      </c>
    </row>
    <row r="200" spans="1:54" x14ac:dyDescent="0.2">
      <c r="A200" t="s">
        <v>2237</v>
      </c>
      <c r="B200" t="s">
        <v>2238</v>
      </c>
      <c r="C200" t="s">
        <v>2239</v>
      </c>
      <c r="D200" t="s">
        <v>2240</v>
      </c>
      <c r="E200" t="s">
        <v>2240</v>
      </c>
      <c r="G200" t="s">
        <v>56</v>
      </c>
      <c r="H200" t="s">
        <v>58</v>
      </c>
      <c r="I200" t="s">
        <v>2241</v>
      </c>
      <c r="J200" t="s">
        <v>2241</v>
      </c>
      <c r="K200" t="s">
        <v>7165</v>
      </c>
      <c r="L200" t="s">
        <v>7165</v>
      </c>
      <c r="M200" s="1" t="s">
        <v>603</v>
      </c>
      <c r="N200" t="s">
        <v>649</v>
      </c>
      <c r="O200" s="1" t="s">
        <v>605</v>
      </c>
      <c r="P200" s="1" t="s">
        <v>127</v>
      </c>
      <c r="Q200" s="11" t="s">
        <v>7194</v>
      </c>
      <c r="R200" s="1">
        <v>11</v>
      </c>
      <c r="S200" s="1">
        <v>2124</v>
      </c>
      <c r="T200" s="1" t="s">
        <v>2104</v>
      </c>
      <c r="U200" s="1" t="s">
        <v>170</v>
      </c>
      <c r="V200" t="s">
        <v>2242</v>
      </c>
      <c r="W200" t="s">
        <v>2243</v>
      </c>
      <c r="X200" t="s">
        <v>68</v>
      </c>
      <c r="Y200" t="s">
        <v>2244</v>
      </c>
      <c r="Z200" t="s">
        <v>2245</v>
      </c>
      <c r="AA200" t="s">
        <v>2246</v>
      </c>
      <c r="AB200" t="s">
        <v>2247</v>
      </c>
      <c r="AC200" t="s">
        <v>73</v>
      </c>
      <c r="AD200" t="s">
        <v>2248</v>
      </c>
      <c r="AE200" t="s">
        <v>2126</v>
      </c>
      <c r="AF200" t="s">
        <v>76</v>
      </c>
      <c r="AG200" t="s">
        <v>77</v>
      </c>
      <c r="AH200" t="s">
        <v>1161</v>
      </c>
      <c r="AI200" t="s">
        <v>1104</v>
      </c>
      <c r="AJ200" t="s">
        <v>2127</v>
      </c>
      <c r="AK200" t="s">
        <v>158</v>
      </c>
      <c r="AL200" t="s">
        <v>159</v>
      </c>
      <c r="AM200" t="s">
        <v>83</v>
      </c>
      <c r="AN200">
        <v>2014</v>
      </c>
      <c r="AO200">
        <v>160336</v>
      </c>
      <c r="AP200">
        <v>5410025</v>
      </c>
      <c r="AQ200">
        <v>152</v>
      </c>
      <c r="AR200" t="s">
        <v>84</v>
      </c>
      <c r="AS200">
        <v>562</v>
      </c>
      <c r="AT200" t="s">
        <v>85</v>
      </c>
      <c r="AU200" t="s">
        <v>86</v>
      </c>
      <c r="AV200">
        <v>562</v>
      </c>
      <c r="AW200" t="s">
        <v>2249</v>
      </c>
      <c r="AX200" t="s">
        <v>88</v>
      </c>
      <c r="AZ200" t="s">
        <v>2114</v>
      </c>
      <c r="BA200">
        <v>0</v>
      </c>
      <c r="BB200">
        <v>0</v>
      </c>
    </row>
    <row r="201" spans="1:54" x14ac:dyDescent="0.2">
      <c r="A201" t="s">
        <v>2250</v>
      </c>
      <c r="B201" t="s">
        <v>2251</v>
      </c>
      <c r="C201" t="s">
        <v>2252</v>
      </c>
      <c r="D201" t="s">
        <v>2253</v>
      </c>
      <c r="E201" t="s">
        <v>2253</v>
      </c>
      <c r="G201" t="s">
        <v>56</v>
      </c>
      <c r="H201" t="s">
        <v>58</v>
      </c>
      <c r="I201" t="s">
        <v>2254</v>
      </c>
      <c r="J201" t="s">
        <v>2254</v>
      </c>
      <c r="K201" t="s">
        <v>7165</v>
      </c>
      <c r="L201" t="s">
        <v>7165</v>
      </c>
      <c r="M201" s="1" t="s">
        <v>603</v>
      </c>
      <c r="N201" t="s">
        <v>649</v>
      </c>
      <c r="O201" s="1" t="s">
        <v>875</v>
      </c>
      <c r="P201" s="1" t="s">
        <v>270</v>
      </c>
      <c r="Q201" s="11" t="s">
        <v>7339</v>
      </c>
      <c r="R201" s="1">
        <v>11</v>
      </c>
      <c r="S201" s="1">
        <v>2105</v>
      </c>
      <c r="T201" s="1" t="s">
        <v>2166</v>
      </c>
      <c r="U201" s="1" t="s">
        <v>170</v>
      </c>
      <c r="V201" t="s">
        <v>2255</v>
      </c>
      <c r="W201" t="s">
        <v>2256</v>
      </c>
      <c r="X201" t="s">
        <v>68</v>
      </c>
      <c r="Y201" t="s">
        <v>2257</v>
      </c>
      <c r="Z201" t="s">
        <v>2258</v>
      </c>
      <c r="AA201" t="s">
        <v>2259</v>
      </c>
      <c r="AB201" t="s">
        <v>2247</v>
      </c>
      <c r="AC201" t="s">
        <v>73</v>
      </c>
      <c r="AD201" t="s">
        <v>2260</v>
      </c>
      <c r="AE201" t="s">
        <v>2173</v>
      </c>
      <c r="AF201" t="s">
        <v>76</v>
      </c>
      <c r="AG201" t="s">
        <v>77</v>
      </c>
      <c r="AH201" t="s">
        <v>2224</v>
      </c>
      <c r="AI201" t="s">
        <v>615</v>
      </c>
      <c r="AJ201" t="s">
        <v>2175</v>
      </c>
      <c r="AK201" t="s">
        <v>158</v>
      </c>
      <c r="AL201" t="s">
        <v>159</v>
      </c>
      <c r="AM201" t="s">
        <v>83</v>
      </c>
      <c r="AN201">
        <v>2014</v>
      </c>
      <c r="AO201">
        <v>148116</v>
      </c>
      <c r="AP201">
        <v>5439426</v>
      </c>
      <c r="AQ201">
        <v>180</v>
      </c>
      <c r="AR201" t="s">
        <v>84</v>
      </c>
      <c r="AS201">
        <v>562</v>
      </c>
      <c r="AT201" t="s">
        <v>85</v>
      </c>
      <c r="AU201" t="s">
        <v>86</v>
      </c>
      <c r="AV201">
        <v>562</v>
      </c>
      <c r="AW201" t="s">
        <v>2261</v>
      </c>
      <c r="AX201" t="s">
        <v>88</v>
      </c>
      <c r="AZ201" t="s">
        <v>2177</v>
      </c>
      <c r="BA201">
        <v>0</v>
      </c>
      <c r="BB201">
        <v>1</v>
      </c>
    </row>
    <row r="202" spans="1:54" x14ac:dyDescent="0.2">
      <c r="A202" t="s">
        <v>2262</v>
      </c>
      <c r="B202" t="s">
        <v>2263</v>
      </c>
      <c r="C202" t="s">
        <v>2252</v>
      </c>
      <c r="D202" t="s">
        <v>2264</v>
      </c>
      <c r="E202" t="s">
        <v>2264</v>
      </c>
      <c r="G202" t="s">
        <v>56</v>
      </c>
      <c r="H202" t="s">
        <v>58</v>
      </c>
      <c r="I202" t="s">
        <v>2254</v>
      </c>
      <c r="J202" t="s">
        <v>2254</v>
      </c>
      <c r="K202" t="s">
        <v>7165</v>
      </c>
      <c r="L202" t="s">
        <v>7165</v>
      </c>
      <c r="M202" s="1" t="s">
        <v>603</v>
      </c>
      <c r="N202" t="s">
        <v>649</v>
      </c>
      <c r="O202" s="1" t="s">
        <v>674</v>
      </c>
      <c r="P202" s="1" t="s">
        <v>270</v>
      </c>
      <c r="Q202" s="11" t="s">
        <v>7339</v>
      </c>
      <c r="R202" s="1">
        <v>11</v>
      </c>
      <c r="S202" s="1">
        <v>2105</v>
      </c>
      <c r="T202" s="1" t="s">
        <v>2181</v>
      </c>
      <c r="U202" s="1" t="s">
        <v>170</v>
      </c>
      <c r="V202" t="s">
        <v>2265</v>
      </c>
      <c r="W202" t="s">
        <v>2266</v>
      </c>
      <c r="X202" t="s">
        <v>68</v>
      </c>
      <c r="Y202" t="s">
        <v>2267</v>
      </c>
      <c r="Z202" t="s">
        <v>2268</v>
      </c>
      <c r="AA202" t="s">
        <v>2269</v>
      </c>
      <c r="AB202" t="s">
        <v>2247</v>
      </c>
      <c r="AC202" t="s">
        <v>73</v>
      </c>
      <c r="AD202" t="s">
        <v>2270</v>
      </c>
      <c r="AE202" t="s">
        <v>2173</v>
      </c>
      <c r="AF202" t="s">
        <v>76</v>
      </c>
      <c r="AG202" t="s">
        <v>77</v>
      </c>
      <c r="AH202" t="s">
        <v>2224</v>
      </c>
      <c r="AI202" t="s">
        <v>615</v>
      </c>
      <c r="AJ202" t="s">
        <v>2175</v>
      </c>
      <c r="AK202" t="s">
        <v>158</v>
      </c>
      <c r="AL202" t="s">
        <v>159</v>
      </c>
      <c r="AM202" t="s">
        <v>83</v>
      </c>
      <c r="AN202">
        <v>2014</v>
      </c>
      <c r="AO202">
        <v>120927</v>
      </c>
      <c r="AP202">
        <v>5446116</v>
      </c>
      <c r="AQ202">
        <v>208</v>
      </c>
      <c r="AR202" t="s">
        <v>84</v>
      </c>
      <c r="AS202">
        <v>562</v>
      </c>
      <c r="AT202" t="s">
        <v>85</v>
      </c>
      <c r="AU202" t="s">
        <v>86</v>
      </c>
      <c r="AV202">
        <v>562</v>
      </c>
      <c r="AW202" t="s">
        <v>2271</v>
      </c>
      <c r="AX202" t="s">
        <v>88</v>
      </c>
      <c r="AZ202" t="s">
        <v>2177</v>
      </c>
      <c r="BA202">
        <v>0</v>
      </c>
      <c r="BB202">
        <v>1</v>
      </c>
    </row>
    <row r="203" spans="1:54" x14ac:dyDescent="0.2">
      <c r="A203" t="s">
        <v>2272</v>
      </c>
      <c r="B203" t="s">
        <v>2273</v>
      </c>
      <c r="C203" t="s">
        <v>2274</v>
      </c>
      <c r="D203" t="s">
        <v>2275</v>
      </c>
      <c r="E203" t="s">
        <v>2275</v>
      </c>
      <c r="G203" t="s">
        <v>56</v>
      </c>
      <c r="H203" t="s">
        <v>58</v>
      </c>
      <c r="I203" t="s">
        <v>2276</v>
      </c>
      <c r="J203" t="s">
        <v>2276</v>
      </c>
      <c r="K203" t="s">
        <v>7170</v>
      </c>
      <c r="L203" t="s">
        <v>7170</v>
      </c>
      <c r="M203" s="1" t="s">
        <v>603</v>
      </c>
      <c r="N203" t="s">
        <v>649</v>
      </c>
      <c r="O203" s="1" t="s">
        <v>875</v>
      </c>
      <c r="P203" s="1" t="s">
        <v>270</v>
      </c>
      <c r="Q203" s="11" t="s">
        <v>7339</v>
      </c>
      <c r="R203" s="1">
        <v>11</v>
      </c>
      <c r="S203" s="1">
        <v>2105</v>
      </c>
      <c r="T203" s="1" t="s">
        <v>2277</v>
      </c>
      <c r="U203" s="1" t="s">
        <v>170</v>
      </c>
      <c r="V203" t="s">
        <v>2278</v>
      </c>
      <c r="W203" t="s">
        <v>2279</v>
      </c>
      <c r="X203" t="s">
        <v>68</v>
      </c>
      <c r="Y203" t="s">
        <v>2280</v>
      </c>
      <c r="Z203" t="s">
        <v>2281</v>
      </c>
      <c r="AA203" t="s">
        <v>2282</v>
      </c>
      <c r="AB203" t="s">
        <v>2247</v>
      </c>
      <c r="AC203" t="s">
        <v>73</v>
      </c>
      <c r="AD203" t="s">
        <v>2283</v>
      </c>
      <c r="AE203" t="s">
        <v>2173</v>
      </c>
      <c r="AF203" t="s">
        <v>76</v>
      </c>
      <c r="AG203" t="s">
        <v>77</v>
      </c>
      <c r="AH203" t="s">
        <v>2235</v>
      </c>
      <c r="AI203" t="s">
        <v>615</v>
      </c>
      <c r="AJ203" t="s">
        <v>2175</v>
      </c>
      <c r="AK203" t="s">
        <v>81</v>
      </c>
      <c r="AL203" t="s">
        <v>82</v>
      </c>
      <c r="AM203" t="s">
        <v>83</v>
      </c>
      <c r="AN203">
        <v>2014</v>
      </c>
      <c r="AO203">
        <v>146673</v>
      </c>
      <c r="AP203">
        <v>5459024</v>
      </c>
      <c r="AQ203">
        <v>192</v>
      </c>
      <c r="AR203" t="s">
        <v>84</v>
      </c>
      <c r="AS203">
        <v>562</v>
      </c>
      <c r="AT203" t="s">
        <v>85</v>
      </c>
      <c r="AU203" t="s">
        <v>86</v>
      </c>
      <c r="AV203">
        <v>562</v>
      </c>
      <c r="AW203" t="s">
        <v>2284</v>
      </c>
      <c r="AX203" t="s">
        <v>88</v>
      </c>
      <c r="AZ203" t="s">
        <v>2177</v>
      </c>
      <c r="BA203">
        <v>1</v>
      </c>
      <c r="BB203">
        <v>2</v>
      </c>
    </row>
    <row r="204" spans="1:54" x14ac:dyDescent="0.2">
      <c r="A204" t="s">
        <v>2285</v>
      </c>
      <c r="B204" t="s">
        <v>2286</v>
      </c>
      <c r="C204" t="s">
        <v>2274</v>
      </c>
      <c r="D204" t="s">
        <v>2287</v>
      </c>
      <c r="E204" t="s">
        <v>2287</v>
      </c>
      <c r="G204" t="s">
        <v>56</v>
      </c>
      <c r="H204" t="s">
        <v>58</v>
      </c>
      <c r="I204" t="s">
        <v>2276</v>
      </c>
      <c r="J204" t="s">
        <v>2276</v>
      </c>
      <c r="K204" t="s">
        <v>7170</v>
      </c>
      <c r="L204" t="s">
        <v>7170</v>
      </c>
      <c r="M204" s="1" t="s">
        <v>603</v>
      </c>
      <c r="N204" t="s">
        <v>649</v>
      </c>
      <c r="O204" s="1" t="s">
        <v>674</v>
      </c>
      <c r="P204" s="1" t="s">
        <v>270</v>
      </c>
      <c r="Q204" s="11" t="s">
        <v>7339</v>
      </c>
      <c r="R204" s="1">
        <v>11</v>
      </c>
      <c r="S204" s="1">
        <v>2105</v>
      </c>
      <c r="T204" s="1" t="s">
        <v>2181</v>
      </c>
      <c r="U204" s="1" t="s">
        <v>170</v>
      </c>
      <c r="V204" t="s">
        <v>2288</v>
      </c>
      <c r="W204" t="s">
        <v>2289</v>
      </c>
      <c r="X204" t="s">
        <v>68</v>
      </c>
      <c r="Y204" t="s">
        <v>2290</v>
      </c>
      <c r="Z204" t="s">
        <v>2291</v>
      </c>
      <c r="AA204" t="s">
        <v>2292</v>
      </c>
      <c r="AB204" t="s">
        <v>2247</v>
      </c>
      <c r="AC204" t="s">
        <v>73</v>
      </c>
      <c r="AD204" t="s">
        <v>2293</v>
      </c>
      <c r="AE204" t="s">
        <v>2173</v>
      </c>
      <c r="AF204" t="s">
        <v>76</v>
      </c>
      <c r="AG204" t="s">
        <v>77</v>
      </c>
      <c r="AH204" t="s">
        <v>2188</v>
      </c>
      <c r="AI204" t="s">
        <v>615</v>
      </c>
      <c r="AJ204" t="s">
        <v>2175</v>
      </c>
      <c r="AK204" t="s">
        <v>158</v>
      </c>
      <c r="AL204" t="s">
        <v>159</v>
      </c>
      <c r="AM204" t="s">
        <v>83</v>
      </c>
      <c r="AN204">
        <v>2014</v>
      </c>
      <c r="AO204">
        <v>133225</v>
      </c>
      <c r="AP204">
        <v>5443035</v>
      </c>
      <c r="AQ204">
        <v>198</v>
      </c>
      <c r="AR204" t="s">
        <v>84</v>
      </c>
      <c r="AS204">
        <v>562</v>
      </c>
      <c r="AT204" t="s">
        <v>85</v>
      </c>
      <c r="AU204" t="s">
        <v>86</v>
      </c>
      <c r="AV204">
        <v>562</v>
      </c>
      <c r="AW204" t="s">
        <v>2294</v>
      </c>
      <c r="AX204" t="s">
        <v>88</v>
      </c>
      <c r="AZ204" t="s">
        <v>2177</v>
      </c>
      <c r="BA204">
        <v>0</v>
      </c>
      <c r="BB204">
        <v>1</v>
      </c>
    </row>
    <row r="205" spans="1:54" x14ac:dyDescent="0.2">
      <c r="A205" t="s">
        <v>2295</v>
      </c>
      <c r="B205" t="s">
        <v>2296</v>
      </c>
      <c r="C205" t="s">
        <v>2297</v>
      </c>
      <c r="D205" t="s">
        <v>2298</v>
      </c>
      <c r="E205" t="s">
        <v>2298</v>
      </c>
      <c r="G205" t="s">
        <v>56</v>
      </c>
      <c r="H205" t="s">
        <v>58</v>
      </c>
      <c r="I205" t="s">
        <v>2276</v>
      </c>
      <c r="J205" t="s">
        <v>2276</v>
      </c>
      <c r="K205" t="s">
        <v>7170</v>
      </c>
      <c r="L205" t="s">
        <v>7170</v>
      </c>
      <c r="M205" s="1" t="s">
        <v>603</v>
      </c>
      <c r="N205" t="s">
        <v>649</v>
      </c>
      <c r="O205" s="1" t="s">
        <v>650</v>
      </c>
      <c r="P205" s="1" t="s">
        <v>127</v>
      </c>
      <c r="Q205" s="11" t="s">
        <v>7194</v>
      </c>
      <c r="R205" s="1">
        <v>11</v>
      </c>
      <c r="S205" s="1">
        <v>2124</v>
      </c>
      <c r="T205" s="1" t="s">
        <v>2142</v>
      </c>
      <c r="U205" s="1" t="s">
        <v>170</v>
      </c>
      <c r="V205" t="s">
        <v>2299</v>
      </c>
      <c r="W205" t="s">
        <v>2300</v>
      </c>
      <c r="X205" t="s">
        <v>68</v>
      </c>
      <c r="Y205" t="s">
        <v>2301</v>
      </c>
      <c r="Z205" t="s">
        <v>2302</v>
      </c>
      <c r="AA205" t="s">
        <v>2303</v>
      </c>
      <c r="AB205" t="s">
        <v>2247</v>
      </c>
      <c r="AC205" t="s">
        <v>73</v>
      </c>
      <c r="AD205" t="s">
        <v>2304</v>
      </c>
      <c r="AE205" t="s">
        <v>2126</v>
      </c>
      <c r="AF205" t="s">
        <v>76</v>
      </c>
      <c r="AG205" t="s">
        <v>77</v>
      </c>
      <c r="AH205" t="s">
        <v>1161</v>
      </c>
      <c r="AI205" t="s">
        <v>1104</v>
      </c>
      <c r="AJ205" t="s">
        <v>2127</v>
      </c>
      <c r="AK205" t="s">
        <v>158</v>
      </c>
      <c r="AL205" t="s">
        <v>159</v>
      </c>
      <c r="AM205" t="s">
        <v>83</v>
      </c>
      <c r="AN205">
        <v>2014</v>
      </c>
      <c r="AO205">
        <v>188435</v>
      </c>
      <c r="AP205">
        <v>5407934</v>
      </c>
      <c r="AQ205">
        <v>147</v>
      </c>
      <c r="AR205" t="s">
        <v>84</v>
      </c>
      <c r="AS205">
        <v>562</v>
      </c>
      <c r="AT205" t="s">
        <v>85</v>
      </c>
      <c r="AU205" t="s">
        <v>86</v>
      </c>
      <c r="AV205">
        <v>562</v>
      </c>
      <c r="AW205" t="s">
        <v>2305</v>
      </c>
      <c r="AX205" t="s">
        <v>88</v>
      </c>
      <c r="AZ205" t="s">
        <v>2306</v>
      </c>
      <c r="BA205">
        <v>3</v>
      </c>
      <c r="BB205">
        <v>3</v>
      </c>
    </row>
    <row r="206" spans="1:54" x14ac:dyDescent="0.2">
      <c r="A206" t="s">
        <v>2307</v>
      </c>
      <c r="B206" t="s">
        <v>2308</v>
      </c>
      <c r="C206" t="s">
        <v>2297</v>
      </c>
      <c r="D206" t="s">
        <v>2309</v>
      </c>
      <c r="E206" t="s">
        <v>2309</v>
      </c>
      <c r="G206" t="s">
        <v>56</v>
      </c>
      <c r="H206" t="s">
        <v>58</v>
      </c>
      <c r="I206" t="s">
        <v>2276</v>
      </c>
      <c r="J206" t="s">
        <v>2276</v>
      </c>
      <c r="K206" t="s">
        <v>7170</v>
      </c>
      <c r="L206" t="s">
        <v>7170</v>
      </c>
      <c r="M206" s="1" t="s">
        <v>603</v>
      </c>
      <c r="N206" t="s">
        <v>649</v>
      </c>
      <c r="O206" s="1" t="s">
        <v>650</v>
      </c>
      <c r="P206" s="1" t="s">
        <v>127</v>
      </c>
      <c r="Q206" s="11" t="s">
        <v>7194</v>
      </c>
      <c r="R206" s="1">
        <v>11</v>
      </c>
      <c r="S206" s="1">
        <v>2124</v>
      </c>
      <c r="T206" s="1" t="s">
        <v>2142</v>
      </c>
      <c r="U206" s="1" t="s">
        <v>170</v>
      </c>
      <c r="V206" t="s">
        <v>2310</v>
      </c>
      <c r="W206" t="s">
        <v>2311</v>
      </c>
      <c r="X206" t="s">
        <v>68</v>
      </c>
      <c r="Y206" t="s">
        <v>2312</v>
      </c>
      <c r="Z206" t="s">
        <v>2313</v>
      </c>
      <c r="AA206" t="s">
        <v>2314</v>
      </c>
      <c r="AB206" t="s">
        <v>2315</v>
      </c>
      <c r="AC206" t="s">
        <v>73</v>
      </c>
      <c r="AD206" t="s">
        <v>2316</v>
      </c>
      <c r="AE206" t="s">
        <v>2126</v>
      </c>
      <c r="AF206" t="s">
        <v>76</v>
      </c>
      <c r="AG206" t="s">
        <v>77</v>
      </c>
      <c r="AH206" t="s">
        <v>1103</v>
      </c>
      <c r="AI206" t="s">
        <v>1104</v>
      </c>
      <c r="AJ206" t="s">
        <v>2127</v>
      </c>
      <c r="AK206" t="s">
        <v>158</v>
      </c>
      <c r="AL206" t="s">
        <v>159</v>
      </c>
      <c r="AM206" t="s">
        <v>83</v>
      </c>
      <c r="AN206">
        <v>2014</v>
      </c>
      <c r="AO206">
        <v>188064</v>
      </c>
      <c r="AP206">
        <v>5428588</v>
      </c>
      <c r="AQ206">
        <v>172</v>
      </c>
      <c r="AR206" t="s">
        <v>84</v>
      </c>
      <c r="AS206">
        <v>562</v>
      </c>
      <c r="AT206" t="s">
        <v>85</v>
      </c>
      <c r="AU206" t="s">
        <v>86</v>
      </c>
      <c r="AV206">
        <v>562</v>
      </c>
      <c r="AW206" t="s">
        <v>2317</v>
      </c>
      <c r="AX206" t="s">
        <v>88</v>
      </c>
      <c r="AZ206" t="s">
        <v>2306</v>
      </c>
      <c r="BA206">
        <v>3</v>
      </c>
      <c r="BB206">
        <v>1</v>
      </c>
    </row>
    <row r="207" spans="1:54" x14ac:dyDescent="0.2">
      <c r="A207" t="s">
        <v>2318</v>
      </c>
      <c r="B207" t="s">
        <v>2319</v>
      </c>
      <c r="C207" t="s">
        <v>2320</v>
      </c>
      <c r="D207" t="s">
        <v>2321</v>
      </c>
      <c r="E207" t="s">
        <v>2321</v>
      </c>
      <c r="G207" t="s">
        <v>56</v>
      </c>
      <c r="H207" t="s">
        <v>58</v>
      </c>
      <c r="I207" t="s">
        <v>2276</v>
      </c>
      <c r="J207" t="s">
        <v>2276</v>
      </c>
      <c r="K207" t="s">
        <v>7170</v>
      </c>
      <c r="L207" t="s">
        <v>7170</v>
      </c>
      <c r="M207" s="1" t="s">
        <v>603</v>
      </c>
      <c r="N207" t="s">
        <v>649</v>
      </c>
      <c r="O207" s="1" t="s">
        <v>875</v>
      </c>
      <c r="P207" s="1" t="s">
        <v>270</v>
      </c>
      <c r="Q207" s="11" t="s">
        <v>7339</v>
      </c>
      <c r="R207" s="1">
        <v>11</v>
      </c>
      <c r="S207" s="1">
        <v>2105</v>
      </c>
      <c r="T207" s="1" t="s">
        <v>2166</v>
      </c>
      <c r="U207" s="1" t="s">
        <v>170</v>
      </c>
      <c r="V207" t="s">
        <v>2322</v>
      </c>
      <c r="W207" t="s">
        <v>2323</v>
      </c>
      <c r="X207" t="s">
        <v>68</v>
      </c>
      <c r="Y207" t="s">
        <v>2324</v>
      </c>
      <c r="Z207" t="s">
        <v>2325</v>
      </c>
      <c r="AA207" t="s">
        <v>2326</v>
      </c>
      <c r="AB207" t="s">
        <v>2315</v>
      </c>
      <c r="AC207" t="s">
        <v>73</v>
      </c>
      <c r="AD207" t="s">
        <v>2327</v>
      </c>
      <c r="AE207" t="s">
        <v>2173</v>
      </c>
      <c r="AF207" t="s">
        <v>76</v>
      </c>
      <c r="AG207" t="s">
        <v>77</v>
      </c>
      <c r="AH207" t="s">
        <v>2328</v>
      </c>
      <c r="AI207" t="s">
        <v>615</v>
      </c>
      <c r="AJ207" t="s">
        <v>2175</v>
      </c>
      <c r="AK207" t="s">
        <v>158</v>
      </c>
      <c r="AL207" t="s">
        <v>159</v>
      </c>
      <c r="AM207" t="s">
        <v>83</v>
      </c>
      <c r="AN207">
        <v>2014</v>
      </c>
      <c r="AO207">
        <v>120927</v>
      </c>
      <c r="AP207">
        <v>5445847</v>
      </c>
      <c r="AQ207">
        <v>198</v>
      </c>
      <c r="AR207" t="s">
        <v>84</v>
      </c>
      <c r="AS207">
        <v>562</v>
      </c>
      <c r="AT207" t="s">
        <v>85</v>
      </c>
      <c r="AU207" t="s">
        <v>86</v>
      </c>
      <c r="AV207">
        <v>562</v>
      </c>
      <c r="AW207" t="s">
        <v>2329</v>
      </c>
      <c r="AX207" t="s">
        <v>88</v>
      </c>
      <c r="AZ207" t="s">
        <v>2177</v>
      </c>
      <c r="BA207">
        <v>0</v>
      </c>
      <c r="BB207">
        <v>1</v>
      </c>
    </row>
    <row r="208" spans="1:54" x14ac:dyDescent="0.2">
      <c r="A208" t="s">
        <v>2330</v>
      </c>
      <c r="B208" t="s">
        <v>2331</v>
      </c>
      <c r="C208" t="s">
        <v>2332</v>
      </c>
      <c r="D208" s="6" t="s">
        <v>2333</v>
      </c>
      <c r="E208" t="s">
        <v>2334</v>
      </c>
      <c r="G208" t="s">
        <v>56</v>
      </c>
      <c r="H208" t="s">
        <v>58</v>
      </c>
      <c r="I208" t="s">
        <v>2276</v>
      </c>
      <c r="J208" t="s">
        <v>2276</v>
      </c>
      <c r="K208" t="s">
        <v>7170</v>
      </c>
      <c r="L208" t="s">
        <v>7170</v>
      </c>
      <c r="M208" s="1" t="s">
        <v>603</v>
      </c>
      <c r="N208" t="s">
        <v>649</v>
      </c>
      <c r="O208" s="1" t="s">
        <v>674</v>
      </c>
      <c r="P208" s="1" t="s">
        <v>270</v>
      </c>
      <c r="Q208" s="11" t="s">
        <v>7328</v>
      </c>
      <c r="R208" s="1">
        <v>11</v>
      </c>
      <c r="S208" s="1">
        <v>15642</v>
      </c>
      <c r="T208" s="1" t="s">
        <v>651</v>
      </c>
      <c r="U208" s="1" t="s">
        <v>170</v>
      </c>
      <c r="V208" t="s">
        <v>2335</v>
      </c>
      <c r="W208" t="s">
        <v>2336</v>
      </c>
      <c r="X208" t="s">
        <v>68</v>
      </c>
      <c r="Y208" t="s">
        <v>2337</v>
      </c>
      <c r="Z208" t="s">
        <v>2338</v>
      </c>
      <c r="AA208" t="s">
        <v>2339</v>
      </c>
      <c r="AB208" t="s">
        <v>2315</v>
      </c>
      <c r="AC208" t="s">
        <v>73</v>
      </c>
      <c r="AD208" t="s">
        <v>2340</v>
      </c>
      <c r="AE208" t="s">
        <v>75</v>
      </c>
      <c r="AF208" t="s">
        <v>76</v>
      </c>
      <c r="AG208" t="s">
        <v>77</v>
      </c>
      <c r="AH208" t="s">
        <v>2341</v>
      </c>
      <c r="AI208" t="s">
        <v>79</v>
      </c>
      <c r="AJ208" t="s">
        <v>596</v>
      </c>
      <c r="AK208" t="s">
        <v>81</v>
      </c>
      <c r="AL208" t="s">
        <v>82</v>
      </c>
      <c r="AM208" t="s">
        <v>83</v>
      </c>
      <c r="AN208">
        <v>2014</v>
      </c>
      <c r="AO208">
        <v>138961</v>
      </c>
      <c r="AP208">
        <v>5284346</v>
      </c>
      <c r="AQ208">
        <v>198</v>
      </c>
      <c r="AR208" t="s">
        <v>84</v>
      </c>
      <c r="AS208">
        <v>562</v>
      </c>
      <c r="AT208" t="s">
        <v>85</v>
      </c>
      <c r="AU208" t="s">
        <v>86</v>
      </c>
      <c r="AV208">
        <v>562</v>
      </c>
      <c r="AW208" t="s">
        <v>2342</v>
      </c>
      <c r="AX208" t="s">
        <v>88</v>
      </c>
      <c r="AZ208" t="s">
        <v>2343</v>
      </c>
      <c r="BA208">
        <v>0</v>
      </c>
      <c r="BB208">
        <v>19</v>
      </c>
    </row>
    <row r="209" spans="1:54" x14ac:dyDescent="0.2">
      <c r="A209" t="s">
        <v>2344</v>
      </c>
      <c r="B209" t="s">
        <v>2345</v>
      </c>
      <c r="C209" t="s">
        <v>2332</v>
      </c>
      <c r="D209" t="s">
        <v>2346</v>
      </c>
      <c r="E209" t="s">
        <v>2346</v>
      </c>
      <c r="G209" t="s">
        <v>56</v>
      </c>
      <c r="H209" t="s">
        <v>58</v>
      </c>
      <c r="I209" t="s">
        <v>2276</v>
      </c>
      <c r="J209" t="s">
        <v>2276</v>
      </c>
      <c r="K209" t="s">
        <v>7170</v>
      </c>
      <c r="L209" t="s">
        <v>7170</v>
      </c>
      <c r="M209" s="1" t="s">
        <v>603</v>
      </c>
      <c r="N209" t="s">
        <v>649</v>
      </c>
      <c r="O209" s="1" t="s">
        <v>674</v>
      </c>
      <c r="P209" s="1" t="s">
        <v>270</v>
      </c>
      <c r="Q209" s="11" t="s">
        <v>7330</v>
      </c>
      <c r="R209" s="1">
        <v>11</v>
      </c>
      <c r="S209" s="1">
        <v>15642</v>
      </c>
      <c r="T209" s="1" t="s">
        <v>651</v>
      </c>
      <c r="U209" s="1" t="s">
        <v>170</v>
      </c>
      <c r="V209" t="s">
        <v>2347</v>
      </c>
      <c r="W209" t="s">
        <v>2348</v>
      </c>
      <c r="X209" t="s">
        <v>68</v>
      </c>
      <c r="Y209" t="s">
        <v>2349</v>
      </c>
      <c r="Z209" t="s">
        <v>2350</v>
      </c>
      <c r="AA209" t="s">
        <v>2351</v>
      </c>
      <c r="AB209" t="s">
        <v>2315</v>
      </c>
      <c r="AC209" t="s">
        <v>73</v>
      </c>
      <c r="AD209" t="s">
        <v>2352</v>
      </c>
      <c r="AE209" t="s">
        <v>75</v>
      </c>
      <c r="AF209" t="s">
        <v>76</v>
      </c>
      <c r="AG209" t="s">
        <v>77</v>
      </c>
      <c r="AH209" t="s">
        <v>2353</v>
      </c>
      <c r="AI209" t="s">
        <v>79</v>
      </c>
      <c r="AJ209" t="s">
        <v>596</v>
      </c>
      <c r="AK209" t="s">
        <v>81</v>
      </c>
      <c r="AL209" t="s">
        <v>82</v>
      </c>
      <c r="AM209" t="s">
        <v>83</v>
      </c>
      <c r="AN209">
        <v>2014</v>
      </c>
      <c r="AO209">
        <v>152915</v>
      </c>
      <c r="AP209">
        <v>5261428</v>
      </c>
      <c r="AQ209">
        <v>146</v>
      </c>
      <c r="AR209" t="s">
        <v>84</v>
      </c>
      <c r="AS209">
        <v>562</v>
      </c>
      <c r="AT209" t="s">
        <v>85</v>
      </c>
      <c r="AU209" t="s">
        <v>86</v>
      </c>
      <c r="AV209">
        <v>562</v>
      </c>
      <c r="AW209" t="s">
        <v>2354</v>
      </c>
      <c r="AX209" t="s">
        <v>88</v>
      </c>
      <c r="AZ209" t="s">
        <v>2343</v>
      </c>
      <c r="BA209">
        <v>0</v>
      </c>
      <c r="BB209">
        <v>19</v>
      </c>
    </row>
    <row r="210" spans="1:54" x14ac:dyDescent="0.2">
      <c r="A210" t="s">
        <v>2637</v>
      </c>
      <c r="B210" t="s">
        <v>2638</v>
      </c>
      <c r="C210" t="s">
        <v>2639</v>
      </c>
      <c r="D210" t="s">
        <v>2640</v>
      </c>
      <c r="E210" t="s">
        <v>2640</v>
      </c>
      <c r="G210" t="s">
        <v>56</v>
      </c>
      <c r="H210" t="s">
        <v>58</v>
      </c>
      <c r="I210" t="s">
        <v>2641</v>
      </c>
      <c r="J210" t="s">
        <v>1094</v>
      </c>
      <c r="K210" t="s">
        <v>7165</v>
      </c>
      <c r="L210" t="s">
        <v>7165</v>
      </c>
      <c r="M210" s="1" t="s">
        <v>603</v>
      </c>
      <c r="N210" t="s">
        <v>649</v>
      </c>
      <c r="O210" s="1" t="s">
        <v>875</v>
      </c>
      <c r="P210" s="1" t="s">
        <v>270</v>
      </c>
      <c r="Q210" s="11" t="s">
        <v>7339</v>
      </c>
      <c r="R210" s="1">
        <v>11</v>
      </c>
      <c r="S210" s="1">
        <v>2117</v>
      </c>
      <c r="T210" s="1" t="s">
        <v>169</v>
      </c>
      <c r="U210" s="1">
        <v>8134081</v>
      </c>
      <c r="V210" t="s">
        <v>2642</v>
      </c>
      <c r="W210" t="s">
        <v>2643</v>
      </c>
      <c r="X210" t="s">
        <v>68</v>
      </c>
      <c r="Y210" t="s">
        <v>2644</v>
      </c>
      <c r="Z210" t="s">
        <v>2645</v>
      </c>
      <c r="AA210" t="s">
        <v>2646</v>
      </c>
      <c r="AB210" t="s">
        <v>2315</v>
      </c>
      <c r="AC210" t="s">
        <v>73</v>
      </c>
      <c r="AD210" t="s">
        <v>2647</v>
      </c>
      <c r="AE210" t="s">
        <v>75</v>
      </c>
      <c r="AF210" t="s">
        <v>76</v>
      </c>
      <c r="AG210" t="s">
        <v>77</v>
      </c>
      <c r="AH210" t="s">
        <v>1137</v>
      </c>
      <c r="AI210" t="s">
        <v>1253</v>
      </c>
      <c r="AJ210" t="s">
        <v>616</v>
      </c>
      <c r="AK210" t="s">
        <v>81</v>
      </c>
      <c r="AL210" t="s">
        <v>82</v>
      </c>
      <c r="AM210" t="s">
        <v>83</v>
      </c>
      <c r="AN210">
        <v>2016</v>
      </c>
      <c r="AO210">
        <v>138860</v>
      </c>
      <c r="AP210">
        <v>5301573</v>
      </c>
      <c r="AQ210">
        <v>193</v>
      </c>
      <c r="AR210" t="s">
        <v>84</v>
      </c>
      <c r="AS210">
        <v>562</v>
      </c>
      <c r="AT210" t="s">
        <v>85</v>
      </c>
      <c r="AU210" t="s">
        <v>86</v>
      </c>
      <c r="AV210">
        <v>562</v>
      </c>
      <c r="AW210" t="s">
        <v>2648</v>
      </c>
      <c r="AX210" t="s">
        <v>88</v>
      </c>
      <c r="AZ210" t="s">
        <v>1508</v>
      </c>
      <c r="BA210">
        <v>1</v>
      </c>
    </row>
    <row r="211" spans="1:54" x14ac:dyDescent="0.2">
      <c r="A211" t="s">
        <v>2355</v>
      </c>
      <c r="B211" t="s">
        <v>2356</v>
      </c>
      <c r="C211" t="s">
        <v>2357</v>
      </c>
      <c r="D211" t="s">
        <v>2358</v>
      </c>
      <c r="E211" t="s">
        <v>2358</v>
      </c>
      <c r="G211" t="s">
        <v>56</v>
      </c>
      <c r="H211" t="s">
        <v>58</v>
      </c>
      <c r="I211" t="s">
        <v>2276</v>
      </c>
      <c r="J211" t="s">
        <v>2276</v>
      </c>
      <c r="K211" t="s">
        <v>7170</v>
      </c>
      <c r="L211" t="s">
        <v>7170</v>
      </c>
      <c r="M211" s="1" t="s">
        <v>603</v>
      </c>
      <c r="N211" t="s">
        <v>649</v>
      </c>
      <c r="O211" s="1" t="s">
        <v>875</v>
      </c>
      <c r="P211" s="1" t="s">
        <v>820</v>
      </c>
      <c r="Q211" s="11" t="s">
        <v>7329</v>
      </c>
      <c r="R211" s="1">
        <v>11</v>
      </c>
      <c r="S211" s="1">
        <v>15642</v>
      </c>
      <c r="T211" s="1" t="s">
        <v>169</v>
      </c>
      <c r="U211" s="1" t="s">
        <v>170</v>
      </c>
      <c r="V211" t="s">
        <v>2360</v>
      </c>
      <c r="W211" t="s">
        <v>2361</v>
      </c>
      <c r="X211" t="s">
        <v>68</v>
      </c>
      <c r="Y211" t="s">
        <v>2362</v>
      </c>
      <c r="Z211" t="s">
        <v>2363</v>
      </c>
      <c r="AA211" t="s">
        <v>2364</v>
      </c>
      <c r="AB211" t="s">
        <v>2365</v>
      </c>
      <c r="AC211" t="s">
        <v>73</v>
      </c>
      <c r="AD211" t="s">
        <v>2366</v>
      </c>
      <c r="AE211" t="s">
        <v>75</v>
      </c>
      <c r="AF211" t="s">
        <v>76</v>
      </c>
      <c r="AG211" t="s">
        <v>77</v>
      </c>
      <c r="AH211" t="s">
        <v>2367</v>
      </c>
      <c r="AI211" t="s">
        <v>79</v>
      </c>
      <c r="AJ211" t="s">
        <v>596</v>
      </c>
      <c r="AK211" t="s">
        <v>81</v>
      </c>
      <c r="AL211" t="s">
        <v>82</v>
      </c>
      <c r="AM211" t="s">
        <v>83</v>
      </c>
      <c r="AN211">
        <v>2014</v>
      </c>
      <c r="AO211">
        <v>88999</v>
      </c>
      <c r="AP211">
        <v>5294199</v>
      </c>
      <c r="AQ211">
        <v>195</v>
      </c>
      <c r="AR211" t="s">
        <v>84</v>
      </c>
      <c r="AS211">
        <v>562</v>
      </c>
      <c r="AT211" t="s">
        <v>85</v>
      </c>
      <c r="AU211" t="s">
        <v>86</v>
      </c>
      <c r="AV211">
        <v>562</v>
      </c>
      <c r="AW211" t="s">
        <v>2368</v>
      </c>
      <c r="AX211" t="s">
        <v>88</v>
      </c>
      <c r="AZ211" t="s">
        <v>2343</v>
      </c>
      <c r="BA211">
        <v>2</v>
      </c>
      <c r="BB211">
        <v>21</v>
      </c>
    </row>
    <row r="212" spans="1:54" x14ac:dyDescent="0.2">
      <c r="A212" t="s">
        <v>2369</v>
      </c>
      <c r="B212" t="s">
        <v>2370</v>
      </c>
      <c r="C212" t="s">
        <v>2357</v>
      </c>
      <c r="D212" t="s">
        <v>2371</v>
      </c>
      <c r="E212" t="s">
        <v>2371</v>
      </c>
      <c r="G212" t="s">
        <v>56</v>
      </c>
      <c r="H212" t="s">
        <v>58</v>
      </c>
      <c r="I212" t="s">
        <v>2276</v>
      </c>
      <c r="J212" t="s">
        <v>2276</v>
      </c>
      <c r="K212" t="s">
        <v>7170</v>
      </c>
      <c r="L212" t="s">
        <v>7170</v>
      </c>
      <c r="M212" s="1" t="s">
        <v>603</v>
      </c>
      <c r="N212" t="s">
        <v>649</v>
      </c>
      <c r="O212" s="1" t="s">
        <v>674</v>
      </c>
      <c r="P212" s="1" t="s">
        <v>270</v>
      </c>
      <c r="Q212" s="11" t="s">
        <v>7328</v>
      </c>
      <c r="R212" s="1">
        <v>11</v>
      </c>
      <c r="S212" s="1">
        <v>15642</v>
      </c>
      <c r="T212" s="1" t="s">
        <v>651</v>
      </c>
      <c r="U212" s="1" t="s">
        <v>170</v>
      </c>
      <c r="V212" t="s">
        <v>2372</v>
      </c>
      <c r="W212" t="s">
        <v>2373</v>
      </c>
      <c r="X212" t="s">
        <v>68</v>
      </c>
      <c r="Y212" t="s">
        <v>2374</v>
      </c>
      <c r="Z212" t="s">
        <v>2375</v>
      </c>
      <c r="AA212" t="s">
        <v>2376</v>
      </c>
      <c r="AB212" t="s">
        <v>2365</v>
      </c>
      <c r="AC212" t="s">
        <v>73</v>
      </c>
      <c r="AD212" t="s">
        <v>2377</v>
      </c>
      <c r="AE212" t="s">
        <v>75</v>
      </c>
      <c r="AF212" t="s">
        <v>76</v>
      </c>
      <c r="AG212" t="s">
        <v>77</v>
      </c>
      <c r="AH212" t="s">
        <v>2378</v>
      </c>
      <c r="AI212" t="s">
        <v>79</v>
      </c>
      <c r="AJ212" t="s">
        <v>596</v>
      </c>
      <c r="AK212" t="s">
        <v>81</v>
      </c>
      <c r="AL212" t="s">
        <v>82</v>
      </c>
      <c r="AM212" t="s">
        <v>83</v>
      </c>
      <c r="AN212">
        <v>2014</v>
      </c>
      <c r="AO212">
        <v>138961</v>
      </c>
      <c r="AP212">
        <v>5292690</v>
      </c>
      <c r="AQ212">
        <v>172</v>
      </c>
      <c r="AR212" t="s">
        <v>84</v>
      </c>
      <c r="AS212">
        <v>562</v>
      </c>
      <c r="AT212" t="s">
        <v>85</v>
      </c>
      <c r="AU212" t="s">
        <v>86</v>
      </c>
      <c r="AV212">
        <v>562</v>
      </c>
      <c r="AW212" t="s">
        <v>2379</v>
      </c>
      <c r="AX212" t="s">
        <v>88</v>
      </c>
      <c r="AZ212" t="s">
        <v>2343</v>
      </c>
      <c r="BA212">
        <v>2</v>
      </c>
      <c r="BB212">
        <v>21</v>
      </c>
    </row>
    <row r="213" spans="1:54" x14ac:dyDescent="0.2">
      <c r="A213" t="s">
        <v>4895</v>
      </c>
      <c r="B213" t="s">
        <v>4896</v>
      </c>
      <c r="C213" t="s">
        <v>4897</v>
      </c>
      <c r="D213" t="s">
        <v>4898</v>
      </c>
      <c r="E213" t="s">
        <v>4898</v>
      </c>
      <c r="G213" t="s">
        <v>56</v>
      </c>
      <c r="H213" t="s">
        <v>93</v>
      </c>
      <c r="I213" t="s">
        <v>4899</v>
      </c>
      <c r="J213" t="s">
        <v>4899</v>
      </c>
      <c r="K213" t="s">
        <v>7168</v>
      </c>
      <c r="L213" t="s">
        <v>7168</v>
      </c>
      <c r="M213" s="1" t="s">
        <v>4900</v>
      </c>
      <c r="N213" t="s">
        <v>4901</v>
      </c>
      <c r="O213" s="1" t="s">
        <v>144</v>
      </c>
      <c r="P213" s="1" t="s">
        <v>64</v>
      </c>
      <c r="Q213" s="11" t="s">
        <v>7334</v>
      </c>
      <c r="R213" s="1">
        <v>10</v>
      </c>
      <c r="S213" s="1">
        <v>2011</v>
      </c>
      <c r="T213" s="1" t="s">
        <v>4903</v>
      </c>
      <c r="U213" s="1">
        <v>6266390</v>
      </c>
      <c r="V213" t="s">
        <v>4904</v>
      </c>
      <c r="W213" t="s">
        <v>4905</v>
      </c>
      <c r="X213" t="s">
        <v>68</v>
      </c>
      <c r="Y213" t="s">
        <v>4906</v>
      </c>
      <c r="Z213" t="s">
        <v>4907</v>
      </c>
      <c r="AA213" t="s">
        <v>4908</v>
      </c>
      <c r="AB213" t="s">
        <v>2365</v>
      </c>
      <c r="AC213" t="s">
        <v>73</v>
      </c>
      <c r="AD213" t="s">
        <v>4909</v>
      </c>
      <c r="AF213" t="s">
        <v>76</v>
      </c>
      <c r="AG213" t="s">
        <v>77</v>
      </c>
      <c r="AH213" t="s">
        <v>4910</v>
      </c>
      <c r="AI213" t="s">
        <v>107</v>
      </c>
      <c r="AJ213" t="s">
        <v>531</v>
      </c>
      <c r="AK213" t="s">
        <v>81</v>
      </c>
      <c r="AL213" t="s">
        <v>82</v>
      </c>
      <c r="AM213" t="s">
        <v>83</v>
      </c>
      <c r="AN213">
        <v>2014</v>
      </c>
      <c r="AO213">
        <v>119190</v>
      </c>
      <c r="AP213">
        <v>4948200</v>
      </c>
      <c r="AQ213">
        <v>95</v>
      </c>
      <c r="AR213" t="s">
        <v>84</v>
      </c>
      <c r="AS213">
        <v>562</v>
      </c>
      <c r="AT213" t="s">
        <v>85</v>
      </c>
      <c r="AU213" t="s">
        <v>86</v>
      </c>
      <c r="AV213">
        <v>562</v>
      </c>
      <c r="AW213" t="s">
        <v>4911</v>
      </c>
      <c r="AX213" t="s">
        <v>88</v>
      </c>
      <c r="AZ213" t="s">
        <v>4912</v>
      </c>
      <c r="BA213">
        <v>1</v>
      </c>
    </row>
    <row r="214" spans="1:54" x14ac:dyDescent="0.2">
      <c r="A214" t="s">
        <v>4913</v>
      </c>
      <c r="B214" t="s">
        <v>4914</v>
      </c>
      <c r="C214" t="s">
        <v>4897</v>
      </c>
      <c r="D214" t="s">
        <v>4915</v>
      </c>
      <c r="E214" t="s">
        <v>4915</v>
      </c>
      <c r="G214" t="s">
        <v>56</v>
      </c>
      <c r="H214" t="s">
        <v>93</v>
      </c>
      <c r="I214" t="s">
        <v>4899</v>
      </c>
      <c r="J214" t="s">
        <v>4899</v>
      </c>
      <c r="K214" t="s">
        <v>7168</v>
      </c>
      <c r="L214" t="s">
        <v>7168</v>
      </c>
      <c r="M214" s="1" t="s">
        <v>4900</v>
      </c>
      <c r="N214" t="s">
        <v>4916</v>
      </c>
      <c r="O214" s="1" t="s">
        <v>144</v>
      </c>
      <c r="P214" s="1" t="s">
        <v>64</v>
      </c>
      <c r="Q214" s="11" t="s">
        <v>7334</v>
      </c>
      <c r="R214" s="1">
        <v>10</v>
      </c>
      <c r="S214" s="1">
        <v>2011</v>
      </c>
      <c r="T214" s="1" t="s">
        <v>4903</v>
      </c>
      <c r="U214" s="1">
        <v>6266390</v>
      </c>
      <c r="V214" t="s">
        <v>4917</v>
      </c>
      <c r="W214" t="s">
        <v>4918</v>
      </c>
      <c r="X214" t="s">
        <v>68</v>
      </c>
      <c r="Y214" t="s">
        <v>4919</v>
      </c>
      <c r="Z214" t="s">
        <v>4920</v>
      </c>
      <c r="AA214" t="s">
        <v>4921</v>
      </c>
      <c r="AB214" t="s">
        <v>2365</v>
      </c>
      <c r="AC214" t="s">
        <v>73</v>
      </c>
      <c r="AD214" t="s">
        <v>4922</v>
      </c>
      <c r="AF214" t="s">
        <v>76</v>
      </c>
      <c r="AG214" t="s">
        <v>77</v>
      </c>
      <c r="AH214" t="s">
        <v>4910</v>
      </c>
      <c r="AI214" t="s">
        <v>107</v>
      </c>
      <c r="AJ214" t="s">
        <v>531</v>
      </c>
      <c r="AK214" t="s">
        <v>81</v>
      </c>
      <c r="AL214" t="s">
        <v>82</v>
      </c>
      <c r="AM214" t="s">
        <v>83</v>
      </c>
      <c r="AN214">
        <v>2014</v>
      </c>
      <c r="AO214">
        <v>155454</v>
      </c>
      <c r="AP214">
        <v>4944595</v>
      </c>
      <c r="AQ214">
        <v>76</v>
      </c>
      <c r="AR214" t="s">
        <v>84</v>
      </c>
      <c r="AS214">
        <v>562</v>
      </c>
      <c r="AT214" t="s">
        <v>85</v>
      </c>
      <c r="AU214" t="s">
        <v>86</v>
      </c>
      <c r="AV214">
        <v>562</v>
      </c>
      <c r="AW214" t="s">
        <v>4923</v>
      </c>
      <c r="AX214" t="s">
        <v>88</v>
      </c>
      <c r="AZ214" t="s">
        <v>4912</v>
      </c>
      <c r="BA214">
        <v>1</v>
      </c>
    </row>
    <row r="215" spans="1:54" x14ac:dyDescent="0.2">
      <c r="A215" t="s">
        <v>2394</v>
      </c>
      <c r="B215" t="s">
        <v>2395</v>
      </c>
      <c r="C215" t="s">
        <v>2396</v>
      </c>
      <c r="D215" t="s">
        <v>2397</v>
      </c>
      <c r="E215" t="s">
        <v>2397</v>
      </c>
      <c r="G215" t="s">
        <v>56</v>
      </c>
      <c r="H215" t="s">
        <v>58</v>
      </c>
      <c r="I215" t="s">
        <v>1094</v>
      </c>
      <c r="J215" t="s">
        <v>1094</v>
      </c>
      <c r="K215" t="s">
        <v>7165</v>
      </c>
      <c r="L215" t="s">
        <v>7165</v>
      </c>
      <c r="M215" s="1" t="s">
        <v>603</v>
      </c>
      <c r="N215" t="s">
        <v>649</v>
      </c>
      <c r="O215" s="1" t="s">
        <v>650</v>
      </c>
      <c r="P215" s="1" t="s">
        <v>127</v>
      </c>
      <c r="Q215" s="11" t="s">
        <v>7194</v>
      </c>
      <c r="R215" s="1">
        <v>11</v>
      </c>
      <c r="S215" s="1">
        <v>2124</v>
      </c>
      <c r="T215" s="1" t="s">
        <v>651</v>
      </c>
      <c r="U215" s="1" t="s">
        <v>170</v>
      </c>
      <c r="V215" t="s">
        <v>2398</v>
      </c>
      <c r="W215" t="s">
        <v>2399</v>
      </c>
      <c r="X215" t="s">
        <v>68</v>
      </c>
      <c r="Y215" t="s">
        <v>2400</v>
      </c>
      <c r="Z215" t="s">
        <v>2401</v>
      </c>
      <c r="AA215" t="s">
        <v>2402</v>
      </c>
      <c r="AB215" t="s">
        <v>2365</v>
      </c>
      <c r="AC215" t="s">
        <v>73</v>
      </c>
      <c r="AD215" t="s">
        <v>2403</v>
      </c>
      <c r="AE215" t="s">
        <v>75</v>
      </c>
      <c r="AF215" t="s">
        <v>76</v>
      </c>
      <c r="AG215" t="s">
        <v>77</v>
      </c>
      <c r="AH215" t="s">
        <v>669</v>
      </c>
      <c r="AI215" t="s">
        <v>615</v>
      </c>
      <c r="AJ215" t="s">
        <v>616</v>
      </c>
      <c r="AK215" t="s">
        <v>81</v>
      </c>
      <c r="AL215" t="s">
        <v>82</v>
      </c>
      <c r="AM215" t="s">
        <v>83</v>
      </c>
      <c r="AN215">
        <v>2015</v>
      </c>
      <c r="AO215">
        <v>147492</v>
      </c>
      <c r="AP215">
        <v>5368731</v>
      </c>
      <c r="AQ215">
        <v>167</v>
      </c>
      <c r="AR215" t="s">
        <v>84</v>
      </c>
      <c r="AS215">
        <v>562</v>
      </c>
      <c r="AT215" t="s">
        <v>85</v>
      </c>
      <c r="AU215" t="s">
        <v>86</v>
      </c>
      <c r="AV215">
        <v>562</v>
      </c>
      <c r="AW215" t="s">
        <v>2404</v>
      </c>
      <c r="AX215" t="s">
        <v>88</v>
      </c>
      <c r="AZ215" t="s">
        <v>2405</v>
      </c>
      <c r="BA215">
        <v>2</v>
      </c>
      <c r="BB215">
        <v>10</v>
      </c>
    </row>
    <row r="216" spans="1:54" x14ac:dyDescent="0.2">
      <c r="A216" t="s">
        <v>2406</v>
      </c>
      <c r="B216" t="s">
        <v>2407</v>
      </c>
      <c r="C216" t="s">
        <v>2408</v>
      </c>
      <c r="D216" t="s">
        <v>2409</v>
      </c>
      <c r="E216" t="s">
        <v>2409</v>
      </c>
      <c r="G216" t="s">
        <v>56</v>
      </c>
      <c r="H216" t="s">
        <v>58</v>
      </c>
      <c r="I216" t="s">
        <v>1094</v>
      </c>
      <c r="J216" t="s">
        <v>1094</v>
      </c>
      <c r="K216" t="s">
        <v>7165</v>
      </c>
      <c r="L216" t="s">
        <v>7165</v>
      </c>
      <c r="M216" s="1" t="s">
        <v>603</v>
      </c>
      <c r="N216" t="s">
        <v>649</v>
      </c>
      <c r="O216" s="1" t="s">
        <v>605</v>
      </c>
      <c r="P216" s="1" t="s">
        <v>127</v>
      </c>
      <c r="Q216" s="11" t="s">
        <v>7194</v>
      </c>
      <c r="R216" s="1">
        <v>11</v>
      </c>
      <c r="S216" s="1">
        <v>2124</v>
      </c>
      <c r="T216" s="1" t="s">
        <v>169</v>
      </c>
      <c r="U216" s="1">
        <v>7324179</v>
      </c>
      <c r="V216" t="s">
        <v>2410</v>
      </c>
      <c r="W216" t="s">
        <v>2411</v>
      </c>
      <c r="X216" t="s">
        <v>68</v>
      </c>
      <c r="Y216" t="s">
        <v>2412</v>
      </c>
      <c r="Z216" t="s">
        <v>2413</v>
      </c>
      <c r="AA216" t="s">
        <v>2414</v>
      </c>
      <c r="AB216" t="s">
        <v>2365</v>
      </c>
      <c r="AC216" t="s">
        <v>73</v>
      </c>
      <c r="AD216" t="s">
        <v>2415</v>
      </c>
      <c r="AE216" t="s">
        <v>75</v>
      </c>
      <c r="AF216" t="s">
        <v>76</v>
      </c>
      <c r="AG216" t="s">
        <v>77</v>
      </c>
      <c r="AH216" t="s">
        <v>630</v>
      </c>
      <c r="AI216" t="s">
        <v>615</v>
      </c>
      <c r="AJ216" t="s">
        <v>616</v>
      </c>
      <c r="AK216" t="s">
        <v>81</v>
      </c>
      <c r="AL216" t="s">
        <v>82</v>
      </c>
      <c r="AM216" t="s">
        <v>83</v>
      </c>
      <c r="AN216">
        <v>2015</v>
      </c>
      <c r="AO216">
        <v>188064</v>
      </c>
      <c r="AP216">
        <v>5341620</v>
      </c>
      <c r="AQ216">
        <v>163</v>
      </c>
      <c r="AR216" t="s">
        <v>84</v>
      </c>
      <c r="AS216">
        <v>562</v>
      </c>
      <c r="AT216" t="s">
        <v>85</v>
      </c>
      <c r="AU216" t="s">
        <v>86</v>
      </c>
      <c r="AV216">
        <v>562</v>
      </c>
      <c r="AW216" t="s">
        <v>2416</v>
      </c>
      <c r="AX216" t="s">
        <v>88</v>
      </c>
      <c r="AZ216" t="s">
        <v>1572</v>
      </c>
      <c r="BA216">
        <v>3</v>
      </c>
      <c r="BB216">
        <v>4</v>
      </c>
    </row>
    <row r="217" spans="1:54" x14ac:dyDescent="0.2">
      <c r="A217" t="s">
        <v>2417</v>
      </c>
      <c r="B217" t="s">
        <v>2418</v>
      </c>
      <c r="C217" t="s">
        <v>2419</v>
      </c>
      <c r="D217" t="s">
        <v>2420</v>
      </c>
      <c r="E217" t="s">
        <v>2420</v>
      </c>
      <c r="F217" t="s">
        <v>2035</v>
      </c>
      <c r="G217" t="s">
        <v>56</v>
      </c>
      <c r="H217" t="s">
        <v>58</v>
      </c>
      <c r="I217" t="s">
        <v>2421</v>
      </c>
      <c r="J217" t="s">
        <v>2421</v>
      </c>
      <c r="K217" t="s">
        <v>7165</v>
      </c>
      <c r="L217" t="s">
        <v>7165</v>
      </c>
      <c r="M217" s="1" t="s">
        <v>603</v>
      </c>
      <c r="N217" t="s">
        <v>649</v>
      </c>
      <c r="O217" s="1" t="s">
        <v>875</v>
      </c>
      <c r="P217" s="1" t="s">
        <v>270</v>
      </c>
      <c r="Q217" s="11" t="s">
        <v>7328</v>
      </c>
      <c r="R217" s="1">
        <v>11</v>
      </c>
      <c r="S217" s="1">
        <v>15642</v>
      </c>
      <c r="T217" s="1" t="s">
        <v>169</v>
      </c>
      <c r="U217" s="1">
        <v>7384536</v>
      </c>
      <c r="V217" t="s">
        <v>2423</v>
      </c>
      <c r="W217" t="s">
        <v>2424</v>
      </c>
      <c r="X217" t="s">
        <v>68</v>
      </c>
      <c r="Y217" t="s">
        <v>2425</v>
      </c>
      <c r="Z217" t="s">
        <v>2426</v>
      </c>
      <c r="AA217" t="s">
        <v>2427</v>
      </c>
      <c r="AB217" t="s">
        <v>2428</v>
      </c>
      <c r="AC217" t="s">
        <v>73</v>
      </c>
      <c r="AD217" t="s">
        <v>2429</v>
      </c>
      <c r="AE217" t="s">
        <v>75</v>
      </c>
      <c r="AF217" t="s">
        <v>76</v>
      </c>
      <c r="AG217" t="s">
        <v>77</v>
      </c>
      <c r="AH217" t="s">
        <v>2430</v>
      </c>
      <c r="AI217" t="s">
        <v>79</v>
      </c>
      <c r="AJ217" t="s">
        <v>596</v>
      </c>
      <c r="AK217" t="s">
        <v>81</v>
      </c>
      <c r="AL217" t="s">
        <v>82</v>
      </c>
      <c r="AM217" t="s">
        <v>83</v>
      </c>
      <c r="AN217">
        <v>2015</v>
      </c>
      <c r="AO217">
        <v>84827</v>
      </c>
      <c r="AP217">
        <v>5244342</v>
      </c>
      <c r="AQ217">
        <v>217</v>
      </c>
      <c r="AR217" t="s">
        <v>84</v>
      </c>
      <c r="AS217">
        <v>562</v>
      </c>
      <c r="AT217" t="s">
        <v>85</v>
      </c>
      <c r="AU217" t="s">
        <v>86</v>
      </c>
      <c r="AV217">
        <v>562</v>
      </c>
      <c r="AW217" t="s">
        <v>2431</v>
      </c>
      <c r="AX217" t="s">
        <v>88</v>
      </c>
      <c r="AZ217" t="s">
        <v>2343</v>
      </c>
      <c r="BA217">
        <v>13</v>
      </c>
      <c r="BB217">
        <v>10</v>
      </c>
    </row>
    <row r="218" spans="1:54" x14ac:dyDescent="0.2">
      <c r="A218" t="s">
        <v>2432</v>
      </c>
      <c r="B218" t="s">
        <v>2433</v>
      </c>
      <c r="C218" t="s">
        <v>2434</v>
      </c>
      <c r="D218" t="s">
        <v>2435</v>
      </c>
      <c r="E218" t="s">
        <v>2435</v>
      </c>
      <c r="G218" t="s">
        <v>56</v>
      </c>
      <c r="H218" t="s">
        <v>58</v>
      </c>
      <c r="I218" t="s">
        <v>1094</v>
      </c>
      <c r="J218" t="s">
        <v>1094</v>
      </c>
      <c r="K218" t="s">
        <v>7165</v>
      </c>
      <c r="L218" t="s">
        <v>7165</v>
      </c>
      <c r="M218" s="1" t="s">
        <v>603</v>
      </c>
      <c r="N218" t="s">
        <v>649</v>
      </c>
      <c r="O218" s="1" t="s">
        <v>605</v>
      </c>
      <c r="P218" s="1" t="s">
        <v>127</v>
      </c>
      <c r="Q218" s="11" t="s">
        <v>7194</v>
      </c>
      <c r="R218" s="1">
        <v>11</v>
      </c>
      <c r="S218" s="1">
        <v>2124</v>
      </c>
      <c r="T218" s="1" t="s">
        <v>169</v>
      </c>
      <c r="U218" s="1">
        <v>7384536</v>
      </c>
      <c r="V218" t="s">
        <v>2436</v>
      </c>
      <c r="W218" t="s">
        <v>2437</v>
      </c>
      <c r="X218" t="s">
        <v>68</v>
      </c>
      <c r="Y218" t="s">
        <v>2438</v>
      </c>
      <c r="Z218" t="s">
        <v>2439</v>
      </c>
      <c r="AA218" t="s">
        <v>2440</v>
      </c>
      <c r="AB218" t="s">
        <v>2428</v>
      </c>
      <c r="AC218" t="s">
        <v>73</v>
      </c>
      <c r="AD218" t="s">
        <v>2441</v>
      </c>
      <c r="AE218" t="s">
        <v>75</v>
      </c>
      <c r="AF218" t="s">
        <v>76</v>
      </c>
      <c r="AG218" t="s">
        <v>77</v>
      </c>
      <c r="AH218" t="s">
        <v>669</v>
      </c>
      <c r="AI218" t="s">
        <v>615</v>
      </c>
      <c r="AJ218" t="s">
        <v>616</v>
      </c>
      <c r="AK218" t="s">
        <v>81</v>
      </c>
      <c r="AL218" t="s">
        <v>82</v>
      </c>
      <c r="AM218" t="s">
        <v>83</v>
      </c>
      <c r="AN218">
        <v>2015</v>
      </c>
      <c r="AO218">
        <v>160449</v>
      </c>
      <c r="AP218">
        <v>5356110</v>
      </c>
      <c r="AQ218">
        <v>156</v>
      </c>
      <c r="AR218" t="s">
        <v>84</v>
      </c>
      <c r="AS218">
        <v>562</v>
      </c>
      <c r="AT218" t="s">
        <v>85</v>
      </c>
      <c r="AU218" t="s">
        <v>86</v>
      </c>
      <c r="AV218">
        <v>562</v>
      </c>
      <c r="AW218" t="s">
        <v>2442</v>
      </c>
      <c r="AX218" t="s">
        <v>88</v>
      </c>
      <c r="AZ218" t="s">
        <v>1572</v>
      </c>
      <c r="BA218">
        <v>3</v>
      </c>
      <c r="BB218">
        <v>7</v>
      </c>
    </row>
    <row r="219" spans="1:54" x14ac:dyDescent="0.2">
      <c r="A219" t="s">
        <v>2443</v>
      </c>
      <c r="B219" t="s">
        <v>2444</v>
      </c>
      <c r="C219" t="s">
        <v>2445</v>
      </c>
      <c r="D219" t="s">
        <v>2446</v>
      </c>
      <c r="E219" t="s">
        <v>2446</v>
      </c>
      <c r="G219" t="s">
        <v>56</v>
      </c>
      <c r="H219" t="s">
        <v>58</v>
      </c>
      <c r="I219" t="s">
        <v>2447</v>
      </c>
      <c r="J219" t="s">
        <v>2447</v>
      </c>
      <c r="K219" t="s">
        <v>7168</v>
      </c>
      <c r="L219" t="s">
        <v>7168</v>
      </c>
      <c r="M219" s="1" t="s">
        <v>603</v>
      </c>
      <c r="N219" t="s">
        <v>604</v>
      </c>
      <c r="O219" s="1" t="s">
        <v>605</v>
      </c>
      <c r="P219" s="1" t="s">
        <v>127</v>
      </c>
      <c r="Q219" s="11" t="s">
        <v>7194</v>
      </c>
      <c r="R219" s="1">
        <v>11</v>
      </c>
      <c r="S219" s="1">
        <v>2124</v>
      </c>
      <c r="T219" s="1" t="s">
        <v>169</v>
      </c>
      <c r="U219" s="1" t="s">
        <v>170</v>
      </c>
      <c r="V219" t="s">
        <v>2448</v>
      </c>
      <c r="W219" t="s">
        <v>2449</v>
      </c>
      <c r="X219" t="s">
        <v>68</v>
      </c>
      <c r="Y219" t="s">
        <v>2450</v>
      </c>
      <c r="Z219" t="s">
        <v>2451</v>
      </c>
      <c r="AA219" t="s">
        <v>2452</v>
      </c>
      <c r="AB219" t="s">
        <v>2428</v>
      </c>
      <c r="AC219" t="s">
        <v>73</v>
      </c>
      <c r="AD219" t="s">
        <v>2453</v>
      </c>
      <c r="AE219" t="s">
        <v>75</v>
      </c>
      <c r="AF219" t="s">
        <v>76</v>
      </c>
      <c r="AG219" t="s">
        <v>77</v>
      </c>
      <c r="AH219" t="s">
        <v>630</v>
      </c>
      <c r="AI219" t="s">
        <v>615</v>
      </c>
      <c r="AJ219" t="s">
        <v>616</v>
      </c>
      <c r="AK219" t="s">
        <v>81</v>
      </c>
      <c r="AL219" t="s">
        <v>82</v>
      </c>
      <c r="AM219" t="s">
        <v>83</v>
      </c>
      <c r="AN219">
        <v>2015</v>
      </c>
      <c r="AO219">
        <v>146538</v>
      </c>
      <c r="AP219">
        <v>5376533</v>
      </c>
      <c r="AQ219">
        <v>219</v>
      </c>
      <c r="AR219" t="s">
        <v>84</v>
      </c>
      <c r="AS219">
        <v>562</v>
      </c>
      <c r="AT219" t="s">
        <v>85</v>
      </c>
      <c r="AU219" t="s">
        <v>86</v>
      </c>
      <c r="AV219">
        <v>562</v>
      </c>
      <c r="AW219" t="s">
        <v>2454</v>
      </c>
      <c r="AX219" t="s">
        <v>88</v>
      </c>
      <c r="AZ219" t="s">
        <v>2405</v>
      </c>
      <c r="BA219">
        <v>2</v>
      </c>
      <c r="BB219">
        <v>12</v>
      </c>
    </row>
    <row r="220" spans="1:54" x14ac:dyDescent="0.2">
      <c r="A220" t="s">
        <v>4982</v>
      </c>
      <c r="B220" t="s">
        <v>4983</v>
      </c>
      <c r="C220" t="s">
        <v>4984</v>
      </c>
      <c r="D220" t="s">
        <v>4985</v>
      </c>
      <c r="E220" t="s">
        <v>4985</v>
      </c>
      <c r="G220" t="s">
        <v>56</v>
      </c>
      <c r="H220" t="s">
        <v>93</v>
      </c>
      <c r="I220" t="s">
        <v>4986</v>
      </c>
      <c r="J220" t="s">
        <v>4986</v>
      </c>
      <c r="K220" t="s">
        <v>7169</v>
      </c>
      <c r="L220" t="s">
        <v>7169</v>
      </c>
      <c r="M220" s="1" t="s">
        <v>3150</v>
      </c>
      <c r="N220" t="s">
        <v>4987</v>
      </c>
      <c r="O220" s="1" t="s">
        <v>144</v>
      </c>
      <c r="P220" s="1" t="s">
        <v>64</v>
      </c>
      <c r="Q220" s="11" t="s">
        <v>7331</v>
      </c>
      <c r="R220" s="1">
        <v>1611</v>
      </c>
      <c r="S220" s="1">
        <v>29850</v>
      </c>
      <c r="T220" s="1" t="s">
        <v>169</v>
      </c>
      <c r="U220" s="1">
        <v>6505416</v>
      </c>
      <c r="V220" t="s">
        <v>4988</v>
      </c>
      <c r="W220" t="s">
        <v>4989</v>
      </c>
      <c r="X220" t="s">
        <v>68</v>
      </c>
      <c r="Y220" t="s">
        <v>4990</v>
      </c>
      <c r="Z220" t="s">
        <v>4991</v>
      </c>
      <c r="AA220" t="s">
        <v>4992</v>
      </c>
      <c r="AB220" t="s">
        <v>2428</v>
      </c>
      <c r="AC220" t="s">
        <v>73</v>
      </c>
      <c r="AD220" t="s">
        <v>4993</v>
      </c>
      <c r="AE220" t="s">
        <v>75</v>
      </c>
      <c r="AF220" t="s">
        <v>76</v>
      </c>
      <c r="AG220" t="s">
        <v>77</v>
      </c>
      <c r="AH220" t="s">
        <v>3158</v>
      </c>
      <c r="AI220" t="s">
        <v>156</v>
      </c>
      <c r="AJ220" t="s">
        <v>80</v>
      </c>
      <c r="AK220" t="s">
        <v>81</v>
      </c>
      <c r="AL220" t="s">
        <v>82</v>
      </c>
      <c r="AM220" t="s">
        <v>83</v>
      </c>
      <c r="AN220">
        <v>2015</v>
      </c>
      <c r="AO220">
        <v>140324</v>
      </c>
      <c r="AP220">
        <v>5049316</v>
      </c>
      <c r="AQ220">
        <v>81</v>
      </c>
      <c r="AR220" t="s">
        <v>84</v>
      </c>
      <c r="AS220">
        <v>562</v>
      </c>
      <c r="AT220" t="s">
        <v>85</v>
      </c>
      <c r="AU220" t="s">
        <v>86</v>
      </c>
      <c r="AV220">
        <v>562</v>
      </c>
      <c r="AW220" t="s">
        <v>4994</v>
      </c>
      <c r="AX220" t="s">
        <v>88</v>
      </c>
      <c r="AZ220" t="s">
        <v>4995</v>
      </c>
      <c r="BA220">
        <v>0</v>
      </c>
      <c r="BB220">
        <v>14</v>
      </c>
    </row>
    <row r="221" spans="1:54" x14ac:dyDescent="0.2">
      <c r="A221" t="s">
        <v>2649</v>
      </c>
      <c r="B221" t="s">
        <v>2650</v>
      </c>
      <c r="C221" t="s">
        <v>2639</v>
      </c>
      <c r="D221" t="s">
        <v>2651</v>
      </c>
      <c r="E221" t="s">
        <v>2651</v>
      </c>
      <c r="G221" t="s">
        <v>56</v>
      </c>
      <c r="H221" t="s">
        <v>58</v>
      </c>
      <c r="I221" t="s">
        <v>1094</v>
      </c>
      <c r="J221" t="s">
        <v>1094</v>
      </c>
      <c r="K221" t="s">
        <v>7165</v>
      </c>
      <c r="L221" t="s">
        <v>7165</v>
      </c>
      <c r="M221" s="1" t="s">
        <v>603</v>
      </c>
      <c r="N221" t="s">
        <v>649</v>
      </c>
      <c r="O221" s="1" t="s">
        <v>875</v>
      </c>
      <c r="P221" s="1" t="s">
        <v>270</v>
      </c>
      <c r="Q221" s="11" t="s">
        <v>7339</v>
      </c>
      <c r="R221" s="1">
        <v>11</v>
      </c>
      <c r="S221" s="1">
        <v>2117</v>
      </c>
      <c r="T221" s="1" t="s">
        <v>169</v>
      </c>
      <c r="U221" s="1">
        <v>8134081</v>
      </c>
      <c r="V221" t="s">
        <v>2652</v>
      </c>
      <c r="W221" t="s">
        <v>2653</v>
      </c>
      <c r="X221" t="s">
        <v>68</v>
      </c>
      <c r="Y221" t="s">
        <v>2654</v>
      </c>
      <c r="Z221" t="s">
        <v>2655</v>
      </c>
      <c r="AA221" t="s">
        <v>2656</v>
      </c>
      <c r="AB221" t="s">
        <v>2428</v>
      </c>
      <c r="AC221" t="s">
        <v>73</v>
      </c>
      <c r="AD221" t="s">
        <v>2657</v>
      </c>
      <c r="AE221" t="s">
        <v>75</v>
      </c>
      <c r="AF221" t="s">
        <v>76</v>
      </c>
      <c r="AG221" t="s">
        <v>77</v>
      </c>
      <c r="AH221" t="s">
        <v>708</v>
      </c>
      <c r="AI221" t="s">
        <v>1253</v>
      </c>
      <c r="AJ221" t="s">
        <v>616</v>
      </c>
      <c r="AK221" t="s">
        <v>81</v>
      </c>
      <c r="AL221" t="s">
        <v>82</v>
      </c>
      <c r="AM221" t="s">
        <v>83</v>
      </c>
      <c r="AN221">
        <v>2016</v>
      </c>
      <c r="AO221">
        <v>145289</v>
      </c>
      <c r="AP221">
        <v>5308064</v>
      </c>
      <c r="AQ221">
        <v>184</v>
      </c>
      <c r="AR221" t="s">
        <v>84</v>
      </c>
      <c r="AS221">
        <v>562</v>
      </c>
      <c r="AT221" t="s">
        <v>85</v>
      </c>
      <c r="AU221" t="s">
        <v>86</v>
      </c>
      <c r="AV221">
        <v>562</v>
      </c>
      <c r="AW221" t="s">
        <v>2658</v>
      </c>
      <c r="AX221" t="s">
        <v>88</v>
      </c>
      <c r="AZ221" t="s">
        <v>1508</v>
      </c>
      <c r="BA221">
        <v>1</v>
      </c>
    </row>
    <row r="222" spans="1:54" x14ac:dyDescent="0.2">
      <c r="A222" t="s">
        <v>4996</v>
      </c>
      <c r="B222" t="s">
        <v>4997</v>
      </c>
      <c r="C222" t="s">
        <v>4984</v>
      </c>
      <c r="D222" t="s">
        <v>4998</v>
      </c>
      <c r="E222" t="s">
        <v>4998</v>
      </c>
      <c r="G222" t="s">
        <v>56</v>
      </c>
      <c r="H222" t="s">
        <v>93</v>
      </c>
      <c r="I222" t="s">
        <v>4986</v>
      </c>
      <c r="J222" t="s">
        <v>4986</v>
      </c>
      <c r="K222" t="s">
        <v>7169</v>
      </c>
      <c r="L222" t="s">
        <v>7169</v>
      </c>
      <c r="M222" s="1" t="s">
        <v>3150</v>
      </c>
      <c r="N222" t="s">
        <v>4987</v>
      </c>
      <c r="O222" s="1" t="s">
        <v>144</v>
      </c>
      <c r="P222" s="1" t="s">
        <v>64</v>
      </c>
      <c r="Q222" s="11" t="s">
        <v>7331</v>
      </c>
      <c r="R222" s="1">
        <v>1611</v>
      </c>
      <c r="S222" s="1">
        <v>29850</v>
      </c>
      <c r="T222" s="1" t="s">
        <v>169</v>
      </c>
      <c r="U222" s="1">
        <v>6505416</v>
      </c>
      <c r="V222" t="s">
        <v>4999</v>
      </c>
      <c r="W222" t="s">
        <v>5000</v>
      </c>
      <c r="X222" t="s">
        <v>68</v>
      </c>
      <c r="Y222" t="s">
        <v>5001</v>
      </c>
      <c r="Z222" t="s">
        <v>5002</v>
      </c>
      <c r="AA222" t="s">
        <v>5003</v>
      </c>
      <c r="AB222" t="s">
        <v>5004</v>
      </c>
      <c r="AC222" t="s">
        <v>73</v>
      </c>
      <c r="AD222" t="s">
        <v>5005</v>
      </c>
      <c r="AE222" t="s">
        <v>75</v>
      </c>
      <c r="AF222" t="s">
        <v>76</v>
      </c>
      <c r="AG222" t="s">
        <v>77</v>
      </c>
      <c r="AH222" t="s">
        <v>3158</v>
      </c>
      <c r="AI222" t="s">
        <v>156</v>
      </c>
      <c r="AJ222" t="s">
        <v>80</v>
      </c>
      <c r="AK222" t="s">
        <v>81</v>
      </c>
      <c r="AL222" t="s">
        <v>82</v>
      </c>
      <c r="AM222" t="s">
        <v>83</v>
      </c>
      <c r="AN222">
        <v>2015</v>
      </c>
      <c r="AO222">
        <v>155609</v>
      </c>
      <c r="AP222">
        <v>5058240</v>
      </c>
      <c r="AQ222">
        <v>72</v>
      </c>
      <c r="AR222" t="s">
        <v>84</v>
      </c>
      <c r="AS222">
        <v>562</v>
      </c>
      <c r="AT222" t="s">
        <v>85</v>
      </c>
      <c r="AU222" t="s">
        <v>86</v>
      </c>
      <c r="AV222">
        <v>562</v>
      </c>
      <c r="AW222" t="s">
        <v>5006</v>
      </c>
      <c r="AX222" t="s">
        <v>88</v>
      </c>
      <c r="AZ222" t="s">
        <v>4995</v>
      </c>
      <c r="BA222">
        <v>0</v>
      </c>
      <c r="BB222">
        <v>14</v>
      </c>
    </row>
    <row r="223" spans="1:54" x14ac:dyDescent="0.2">
      <c r="A223" t="s">
        <v>5007</v>
      </c>
      <c r="B223" t="s">
        <v>5008</v>
      </c>
      <c r="C223" t="s">
        <v>4984</v>
      </c>
      <c r="D223" t="s">
        <v>5009</v>
      </c>
      <c r="E223" t="s">
        <v>5009</v>
      </c>
      <c r="G223" t="s">
        <v>56</v>
      </c>
      <c r="H223" t="s">
        <v>93</v>
      </c>
      <c r="I223" t="s">
        <v>4986</v>
      </c>
      <c r="J223" t="s">
        <v>4986</v>
      </c>
      <c r="K223" t="s">
        <v>7169</v>
      </c>
      <c r="L223" t="s">
        <v>7169</v>
      </c>
      <c r="M223" s="1" t="s">
        <v>3150</v>
      </c>
      <c r="N223" t="s">
        <v>4987</v>
      </c>
      <c r="O223" s="1" t="s">
        <v>144</v>
      </c>
      <c r="P223" s="1" t="s">
        <v>64</v>
      </c>
      <c r="Q223" s="11" t="s">
        <v>7331</v>
      </c>
      <c r="R223" s="1">
        <v>1611</v>
      </c>
      <c r="S223" s="1">
        <v>29850</v>
      </c>
      <c r="T223" s="1" t="s">
        <v>169</v>
      </c>
      <c r="U223" s="1">
        <v>6505416</v>
      </c>
      <c r="V223" t="s">
        <v>5010</v>
      </c>
      <c r="W223" t="s">
        <v>5011</v>
      </c>
      <c r="X223" t="s">
        <v>68</v>
      </c>
      <c r="Y223" t="s">
        <v>5012</v>
      </c>
      <c r="Z223" t="s">
        <v>5013</v>
      </c>
      <c r="AA223" t="s">
        <v>5014</v>
      </c>
      <c r="AB223" t="s">
        <v>5004</v>
      </c>
      <c r="AC223" t="s">
        <v>73</v>
      </c>
      <c r="AD223" t="s">
        <v>5015</v>
      </c>
      <c r="AE223" t="s">
        <v>75</v>
      </c>
      <c r="AF223" t="s">
        <v>76</v>
      </c>
      <c r="AG223" t="s">
        <v>77</v>
      </c>
      <c r="AH223" t="s">
        <v>3158</v>
      </c>
      <c r="AI223" t="s">
        <v>156</v>
      </c>
      <c r="AJ223" t="s">
        <v>80</v>
      </c>
      <c r="AK223" t="s">
        <v>81</v>
      </c>
      <c r="AL223" t="s">
        <v>82</v>
      </c>
      <c r="AM223" t="s">
        <v>83</v>
      </c>
      <c r="AN223">
        <v>2015</v>
      </c>
      <c r="AO223">
        <v>185241</v>
      </c>
      <c r="AP223">
        <v>5061776</v>
      </c>
      <c r="AQ223">
        <v>74</v>
      </c>
      <c r="AR223" t="s">
        <v>84</v>
      </c>
      <c r="AS223">
        <v>562</v>
      </c>
      <c r="AT223" t="s">
        <v>85</v>
      </c>
      <c r="AU223" t="s">
        <v>86</v>
      </c>
      <c r="AV223">
        <v>562</v>
      </c>
      <c r="AW223" t="s">
        <v>5016</v>
      </c>
      <c r="AX223" t="s">
        <v>88</v>
      </c>
      <c r="AZ223" t="s">
        <v>4995</v>
      </c>
      <c r="BA223">
        <v>1</v>
      </c>
      <c r="BB223">
        <v>15</v>
      </c>
    </row>
    <row r="224" spans="1:54" x14ac:dyDescent="0.2">
      <c r="A224" t="s">
        <v>5017</v>
      </c>
      <c r="B224" t="s">
        <v>5018</v>
      </c>
      <c r="C224" t="s">
        <v>4984</v>
      </c>
      <c r="D224" t="s">
        <v>5019</v>
      </c>
      <c r="E224" t="s">
        <v>5019</v>
      </c>
      <c r="G224" t="s">
        <v>56</v>
      </c>
      <c r="H224" t="s">
        <v>93</v>
      </c>
      <c r="I224" t="s">
        <v>4986</v>
      </c>
      <c r="J224" t="s">
        <v>4986</v>
      </c>
      <c r="K224" t="s">
        <v>7169</v>
      </c>
      <c r="L224" t="s">
        <v>7169</v>
      </c>
      <c r="M224" s="1" t="s">
        <v>3150</v>
      </c>
      <c r="N224" t="s">
        <v>4987</v>
      </c>
      <c r="O224" s="1" t="s">
        <v>144</v>
      </c>
      <c r="P224" s="1" t="s">
        <v>64</v>
      </c>
      <c r="Q224" s="11" t="s">
        <v>7331</v>
      </c>
      <c r="R224" s="1">
        <v>1611</v>
      </c>
      <c r="S224" s="1">
        <v>29850</v>
      </c>
      <c r="T224" s="1" t="s">
        <v>169</v>
      </c>
      <c r="U224" s="1">
        <v>6505416</v>
      </c>
      <c r="V224" t="s">
        <v>5020</v>
      </c>
      <c r="W224" t="s">
        <v>5021</v>
      </c>
      <c r="X224" t="s">
        <v>68</v>
      </c>
      <c r="Y224" t="s">
        <v>5022</v>
      </c>
      <c r="Z224" t="s">
        <v>5023</v>
      </c>
      <c r="AA224" t="s">
        <v>5024</v>
      </c>
      <c r="AB224" t="s">
        <v>5004</v>
      </c>
      <c r="AC224" t="s">
        <v>73</v>
      </c>
      <c r="AD224" t="s">
        <v>5025</v>
      </c>
      <c r="AE224" t="s">
        <v>75</v>
      </c>
      <c r="AF224" t="s">
        <v>76</v>
      </c>
      <c r="AG224" t="s">
        <v>77</v>
      </c>
      <c r="AH224" t="s">
        <v>3158</v>
      </c>
      <c r="AI224" t="s">
        <v>156</v>
      </c>
      <c r="AJ224" t="s">
        <v>80</v>
      </c>
      <c r="AK224" t="s">
        <v>81</v>
      </c>
      <c r="AL224" t="s">
        <v>82</v>
      </c>
      <c r="AM224" t="s">
        <v>83</v>
      </c>
      <c r="AN224">
        <v>2015</v>
      </c>
      <c r="AO224">
        <v>154415</v>
      </c>
      <c r="AP224">
        <v>5054640</v>
      </c>
      <c r="AQ224">
        <v>86</v>
      </c>
      <c r="AR224" t="s">
        <v>84</v>
      </c>
      <c r="AS224">
        <v>562</v>
      </c>
      <c r="AT224" t="s">
        <v>85</v>
      </c>
      <c r="AU224" t="s">
        <v>86</v>
      </c>
      <c r="AV224">
        <v>562</v>
      </c>
      <c r="AW224" t="s">
        <v>5026</v>
      </c>
      <c r="AX224" t="s">
        <v>88</v>
      </c>
      <c r="AZ224" t="s">
        <v>4995</v>
      </c>
      <c r="BA224">
        <v>1</v>
      </c>
      <c r="BB224">
        <v>15</v>
      </c>
    </row>
    <row r="225" spans="1:54" x14ac:dyDescent="0.2">
      <c r="A225" t="s">
        <v>5027</v>
      </c>
      <c r="B225" t="s">
        <v>5028</v>
      </c>
      <c r="C225" t="s">
        <v>4984</v>
      </c>
      <c r="D225" t="s">
        <v>5029</v>
      </c>
      <c r="E225" t="s">
        <v>5029</v>
      </c>
      <c r="G225" t="s">
        <v>56</v>
      </c>
      <c r="H225" t="s">
        <v>93</v>
      </c>
      <c r="I225" t="s">
        <v>4986</v>
      </c>
      <c r="J225" t="s">
        <v>4986</v>
      </c>
      <c r="K225" t="s">
        <v>7169</v>
      </c>
      <c r="L225" t="s">
        <v>7169</v>
      </c>
      <c r="M225" s="1" t="s">
        <v>3150</v>
      </c>
      <c r="N225" t="s">
        <v>4987</v>
      </c>
      <c r="O225" s="1" t="s">
        <v>144</v>
      </c>
      <c r="P225" s="1" t="s">
        <v>64</v>
      </c>
      <c r="Q225" s="11" t="s">
        <v>7331</v>
      </c>
      <c r="R225" s="1">
        <v>1611</v>
      </c>
      <c r="S225" s="1">
        <v>29850</v>
      </c>
      <c r="T225" s="1" t="s">
        <v>169</v>
      </c>
      <c r="U225" s="1">
        <v>6505416</v>
      </c>
      <c r="V225" t="s">
        <v>5030</v>
      </c>
      <c r="W225" t="s">
        <v>5031</v>
      </c>
      <c r="X225" t="s">
        <v>68</v>
      </c>
      <c r="Y225" t="s">
        <v>5032</v>
      </c>
      <c r="Z225" t="s">
        <v>5033</v>
      </c>
      <c r="AA225" t="s">
        <v>5034</v>
      </c>
      <c r="AB225" t="s">
        <v>5004</v>
      </c>
      <c r="AC225" t="s">
        <v>73</v>
      </c>
      <c r="AD225" t="s">
        <v>5035</v>
      </c>
      <c r="AE225" t="s">
        <v>75</v>
      </c>
      <c r="AF225" t="s">
        <v>76</v>
      </c>
      <c r="AG225" t="s">
        <v>77</v>
      </c>
      <c r="AH225" t="s">
        <v>3158</v>
      </c>
      <c r="AI225" t="s">
        <v>156</v>
      </c>
      <c r="AJ225" t="s">
        <v>80</v>
      </c>
      <c r="AK225" t="s">
        <v>81</v>
      </c>
      <c r="AL225" t="s">
        <v>82</v>
      </c>
      <c r="AM225" t="s">
        <v>83</v>
      </c>
      <c r="AN225">
        <v>2015</v>
      </c>
      <c r="AO225">
        <v>183830</v>
      </c>
      <c r="AP225">
        <v>5082779</v>
      </c>
      <c r="AQ225">
        <v>64</v>
      </c>
      <c r="AR225" t="s">
        <v>84</v>
      </c>
      <c r="AS225">
        <v>562</v>
      </c>
      <c r="AT225" t="s">
        <v>85</v>
      </c>
      <c r="AU225" t="s">
        <v>86</v>
      </c>
      <c r="AV225">
        <v>562</v>
      </c>
      <c r="AW225" t="s">
        <v>5036</v>
      </c>
      <c r="AX225" t="s">
        <v>88</v>
      </c>
      <c r="AZ225" t="s">
        <v>4995</v>
      </c>
      <c r="BA225">
        <v>0</v>
      </c>
      <c r="BB225">
        <v>14</v>
      </c>
    </row>
    <row r="226" spans="1:54" x14ac:dyDescent="0.2">
      <c r="A226" t="s">
        <v>5074</v>
      </c>
      <c r="B226" t="s">
        <v>5075</v>
      </c>
      <c r="C226" t="s">
        <v>5056</v>
      </c>
      <c r="D226" t="s">
        <v>5076</v>
      </c>
      <c r="E226" t="s">
        <v>5076</v>
      </c>
      <c r="F226" t="s">
        <v>2035</v>
      </c>
      <c r="G226" t="s">
        <v>56</v>
      </c>
      <c r="H226" t="s">
        <v>93</v>
      </c>
      <c r="I226" t="s">
        <v>2384</v>
      </c>
      <c r="J226" t="s">
        <v>2384</v>
      </c>
      <c r="K226" t="s">
        <v>7165</v>
      </c>
      <c r="L226" t="s">
        <v>7165</v>
      </c>
      <c r="M226" s="1" t="s">
        <v>5058</v>
      </c>
      <c r="N226" t="s">
        <v>5059</v>
      </c>
      <c r="O226" s="1" t="s">
        <v>5060</v>
      </c>
      <c r="P226" s="1" t="s">
        <v>4318</v>
      </c>
      <c r="Q226" s="11" t="s">
        <v>7333</v>
      </c>
      <c r="R226" s="1">
        <v>641</v>
      </c>
      <c r="S226" s="1">
        <v>93687</v>
      </c>
      <c r="T226" s="1" t="s">
        <v>5061</v>
      </c>
      <c r="U226" s="1">
        <v>6981595</v>
      </c>
      <c r="V226" t="s">
        <v>5077</v>
      </c>
      <c r="W226" t="s">
        <v>5078</v>
      </c>
      <c r="X226" t="s">
        <v>68</v>
      </c>
      <c r="Y226" t="s">
        <v>5079</v>
      </c>
      <c r="Z226" t="s">
        <v>5080</v>
      </c>
      <c r="AA226" t="s">
        <v>5081</v>
      </c>
      <c r="AB226" t="s">
        <v>5004</v>
      </c>
      <c r="AC226" t="s">
        <v>73</v>
      </c>
      <c r="AD226" t="s">
        <v>5082</v>
      </c>
      <c r="AE226" t="s">
        <v>5068</v>
      </c>
      <c r="AF226" t="s">
        <v>76</v>
      </c>
      <c r="AG226" t="s">
        <v>77</v>
      </c>
      <c r="AH226" t="s">
        <v>5069</v>
      </c>
      <c r="AI226" t="s">
        <v>5070</v>
      </c>
      <c r="AJ226" t="s">
        <v>5071</v>
      </c>
      <c r="AK226" t="s">
        <v>158</v>
      </c>
      <c r="AL226" t="s">
        <v>159</v>
      </c>
      <c r="AM226" t="s">
        <v>83</v>
      </c>
      <c r="AN226">
        <v>2015</v>
      </c>
      <c r="AO226">
        <v>95566</v>
      </c>
      <c r="AP226">
        <v>5247110</v>
      </c>
      <c r="AQ226">
        <v>162</v>
      </c>
      <c r="AR226" t="s">
        <v>84</v>
      </c>
      <c r="AS226">
        <v>562</v>
      </c>
      <c r="AT226" t="s">
        <v>85</v>
      </c>
      <c r="AU226" t="s">
        <v>86</v>
      </c>
      <c r="AV226">
        <v>562</v>
      </c>
      <c r="AW226" t="s">
        <v>5083</v>
      </c>
      <c r="AX226" t="s">
        <v>88</v>
      </c>
      <c r="AZ226" t="s">
        <v>5073</v>
      </c>
      <c r="BA226">
        <v>0</v>
      </c>
    </row>
    <row r="227" spans="1:54" x14ac:dyDescent="0.2">
      <c r="A227" t="s">
        <v>2580</v>
      </c>
      <c r="B227" t="s">
        <v>2581</v>
      </c>
      <c r="C227" t="s">
        <v>2580</v>
      </c>
      <c r="D227" t="s">
        <v>2582</v>
      </c>
      <c r="E227" t="s">
        <v>2582</v>
      </c>
      <c r="F227" t="s">
        <v>2035</v>
      </c>
      <c r="G227" t="s">
        <v>56</v>
      </c>
      <c r="H227" t="s">
        <v>58</v>
      </c>
      <c r="I227" t="s">
        <v>2583</v>
      </c>
      <c r="J227" t="s">
        <v>2513</v>
      </c>
      <c r="K227" t="s">
        <v>7165</v>
      </c>
      <c r="L227" t="s">
        <v>7165</v>
      </c>
      <c r="M227" s="1" t="s">
        <v>603</v>
      </c>
      <c r="N227" t="s">
        <v>603</v>
      </c>
      <c r="O227" s="1" t="s">
        <v>650</v>
      </c>
      <c r="P227" s="1" t="s">
        <v>250</v>
      </c>
      <c r="Q227" s="11" t="s">
        <v>7211</v>
      </c>
      <c r="R227" s="1">
        <v>11</v>
      </c>
      <c r="S227" s="1">
        <v>2124</v>
      </c>
      <c r="T227" s="1" t="s">
        <v>651</v>
      </c>
      <c r="U227" s="1">
        <v>0</v>
      </c>
      <c r="V227" t="s">
        <v>2584</v>
      </c>
      <c r="W227" t="s">
        <v>2585</v>
      </c>
      <c r="X227" t="s">
        <v>68</v>
      </c>
      <c r="Y227" t="s">
        <v>2586</v>
      </c>
      <c r="Z227" t="s">
        <v>2587</v>
      </c>
      <c r="AA227" t="s">
        <v>2588</v>
      </c>
      <c r="AB227" t="s">
        <v>2589</v>
      </c>
      <c r="AC227" t="s">
        <v>73</v>
      </c>
      <c r="AD227" t="s">
        <v>2590</v>
      </c>
      <c r="AE227" t="s">
        <v>75</v>
      </c>
      <c r="AF227" t="s">
        <v>76</v>
      </c>
      <c r="AG227" t="s">
        <v>77</v>
      </c>
      <c r="AH227" t="s">
        <v>2520</v>
      </c>
      <c r="AI227" t="s">
        <v>615</v>
      </c>
      <c r="AJ227" t="s">
        <v>616</v>
      </c>
      <c r="AK227" t="s">
        <v>81</v>
      </c>
      <c r="AL227" t="s">
        <v>82</v>
      </c>
      <c r="AM227" t="s">
        <v>83</v>
      </c>
      <c r="AN227">
        <v>2016</v>
      </c>
      <c r="AO227">
        <v>148116</v>
      </c>
      <c r="AP227">
        <v>5330676</v>
      </c>
      <c r="AQ227">
        <v>151</v>
      </c>
      <c r="AR227" t="s">
        <v>84</v>
      </c>
      <c r="AS227">
        <v>562</v>
      </c>
      <c r="AT227" t="s">
        <v>85</v>
      </c>
      <c r="AU227" t="s">
        <v>86</v>
      </c>
      <c r="AV227">
        <v>562</v>
      </c>
      <c r="AW227" t="s">
        <v>2591</v>
      </c>
      <c r="AX227" t="s">
        <v>88</v>
      </c>
      <c r="AZ227" t="s">
        <v>918</v>
      </c>
      <c r="BA227">
        <v>0</v>
      </c>
      <c r="BB227">
        <v>1</v>
      </c>
    </row>
    <row r="228" spans="1:54" x14ac:dyDescent="0.2">
      <c r="A228" t="s">
        <v>2592</v>
      </c>
      <c r="B228" t="s">
        <v>2593</v>
      </c>
      <c r="C228" t="s">
        <v>2511</v>
      </c>
      <c r="D228" t="s">
        <v>2594</v>
      </c>
      <c r="E228" t="s">
        <v>2594</v>
      </c>
      <c r="F228" t="s">
        <v>2035</v>
      </c>
      <c r="G228" t="s">
        <v>56</v>
      </c>
      <c r="H228" t="s">
        <v>58</v>
      </c>
      <c r="I228" t="s">
        <v>2513</v>
      </c>
      <c r="J228" t="s">
        <v>2513</v>
      </c>
      <c r="K228" t="s">
        <v>7165</v>
      </c>
      <c r="L228" t="s">
        <v>7165</v>
      </c>
      <c r="M228" s="1" t="s">
        <v>603</v>
      </c>
      <c r="N228" t="s">
        <v>649</v>
      </c>
      <c r="O228" s="1" t="s">
        <v>605</v>
      </c>
      <c r="P228" s="1" t="s">
        <v>250</v>
      </c>
      <c r="Q228" s="11" t="s">
        <v>7211</v>
      </c>
      <c r="R228" s="1">
        <v>11</v>
      </c>
      <c r="S228" s="1">
        <v>2124</v>
      </c>
      <c r="T228" s="1" t="s">
        <v>169</v>
      </c>
      <c r="U228" s="1">
        <v>7835031</v>
      </c>
      <c r="V228" t="s">
        <v>2595</v>
      </c>
      <c r="W228" t="s">
        <v>2596</v>
      </c>
      <c r="X228" t="s">
        <v>68</v>
      </c>
      <c r="Y228" t="s">
        <v>2597</v>
      </c>
      <c r="Z228" t="s">
        <v>2598</v>
      </c>
      <c r="AA228" t="s">
        <v>2599</v>
      </c>
      <c r="AB228" t="s">
        <v>2589</v>
      </c>
      <c r="AC228" t="s">
        <v>73</v>
      </c>
      <c r="AD228" t="s">
        <v>2600</v>
      </c>
      <c r="AE228" t="s">
        <v>75</v>
      </c>
      <c r="AF228" t="s">
        <v>76</v>
      </c>
      <c r="AG228" t="s">
        <v>77</v>
      </c>
      <c r="AH228" t="s">
        <v>2601</v>
      </c>
      <c r="AI228" t="s">
        <v>615</v>
      </c>
      <c r="AJ228" t="s">
        <v>616</v>
      </c>
      <c r="AK228" t="s">
        <v>81</v>
      </c>
      <c r="AL228" t="s">
        <v>82</v>
      </c>
      <c r="AM228" t="s">
        <v>83</v>
      </c>
      <c r="AN228">
        <v>2016</v>
      </c>
      <c r="AO228">
        <v>157712</v>
      </c>
      <c r="AP228">
        <v>5352570</v>
      </c>
      <c r="AQ228">
        <v>175</v>
      </c>
      <c r="AR228" t="s">
        <v>84</v>
      </c>
      <c r="AS228">
        <v>562</v>
      </c>
      <c r="AT228" t="s">
        <v>85</v>
      </c>
      <c r="AU228" t="s">
        <v>86</v>
      </c>
      <c r="AV228">
        <v>562</v>
      </c>
      <c r="AW228" t="s">
        <v>2602</v>
      </c>
      <c r="AX228" t="s">
        <v>88</v>
      </c>
      <c r="AZ228" t="s">
        <v>918</v>
      </c>
      <c r="BA228">
        <v>0</v>
      </c>
      <c r="BB228">
        <v>1</v>
      </c>
    </row>
    <row r="229" spans="1:54" x14ac:dyDescent="0.2">
      <c r="A229" t="s">
        <v>2603</v>
      </c>
      <c r="B229" t="s">
        <v>2604</v>
      </c>
      <c r="C229" t="s">
        <v>2605</v>
      </c>
      <c r="D229" t="s">
        <v>2606</v>
      </c>
      <c r="E229" t="s">
        <v>2606</v>
      </c>
      <c r="G229" t="s">
        <v>56</v>
      </c>
      <c r="H229" t="s">
        <v>58</v>
      </c>
      <c r="I229" t="s">
        <v>2607</v>
      </c>
      <c r="J229" t="s">
        <v>2607</v>
      </c>
      <c r="K229" t="s">
        <v>7165</v>
      </c>
      <c r="L229" t="s">
        <v>7165</v>
      </c>
      <c r="M229" s="1" t="s">
        <v>603</v>
      </c>
      <c r="N229" t="s">
        <v>649</v>
      </c>
      <c r="O229" s="1" t="s">
        <v>605</v>
      </c>
      <c r="P229" s="1" t="s">
        <v>127</v>
      </c>
      <c r="Q229" s="11" t="s">
        <v>7211</v>
      </c>
      <c r="R229" s="1">
        <v>11</v>
      </c>
      <c r="S229" s="1">
        <v>2124</v>
      </c>
      <c r="T229" s="1" t="s">
        <v>169</v>
      </c>
      <c r="U229" s="1">
        <v>7979703</v>
      </c>
      <c r="V229" t="s">
        <v>2608</v>
      </c>
      <c r="W229" t="s">
        <v>2609</v>
      </c>
      <c r="X229" t="s">
        <v>68</v>
      </c>
      <c r="Y229" t="s">
        <v>2610</v>
      </c>
      <c r="Z229" t="s">
        <v>2611</v>
      </c>
      <c r="AA229" t="s">
        <v>2612</v>
      </c>
      <c r="AB229" t="s">
        <v>2589</v>
      </c>
      <c r="AC229" t="s">
        <v>73</v>
      </c>
      <c r="AD229" t="s">
        <v>2613</v>
      </c>
      <c r="AE229" t="s">
        <v>75</v>
      </c>
      <c r="AF229" t="s">
        <v>76</v>
      </c>
      <c r="AG229" t="s">
        <v>77</v>
      </c>
      <c r="AH229" t="s">
        <v>669</v>
      </c>
      <c r="AI229" t="s">
        <v>615</v>
      </c>
      <c r="AJ229" t="s">
        <v>616</v>
      </c>
      <c r="AK229" t="s">
        <v>81</v>
      </c>
      <c r="AL229" t="s">
        <v>82</v>
      </c>
      <c r="AM229" t="s">
        <v>83</v>
      </c>
      <c r="AN229">
        <v>2016</v>
      </c>
      <c r="AO229">
        <v>157717</v>
      </c>
      <c r="AP229">
        <v>5306642</v>
      </c>
      <c r="AQ229">
        <v>148</v>
      </c>
      <c r="AR229" t="s">
        <v>84</v>
      </c>
      <c r="AS229">
        <v>562</v>
      </c>
      <c r="AT229" t="s">
        <v>85</v>
      </c>
      <c r="AU229" t="s">
        <v>86</v>
      </c>
      <c r="AV229">
        <v>562</v>
      </c>
      <c r="AW229" t="s">
        <v>2614</v>
      </c>
      <c r="AX229" t="s">
        <v>88</v>
      </c>
      <c r="AZ229" t="s">
        <v>841</v>
      </c>
      <c r="BA229">
        <v>5</v>
      </c>
      <c r="BB229">
        <v>7</v>
      </c>
    </row>
    <row r="230" spans="1:54" x14ac:dyDescent="0.2">
      <c r="A230" t="s">
        <v>4858</v>
      </c>
      <c r="B230" t="s">
        <v>4859</v>
      </c>
      <c r="C230" t="s">
        <v>4836</v>
      </c>
      <c r="D230" t="s">
        <v>4860</v>
      </c>
      <c r="E230" t="s">
        <v>4860</v>
      </c>
      <c r="G230" t="s">
        <v>56</v>
      </c>
      <c r="H230" t="s">
        <v>93</v>
      </c>
      <c r="I230" t="s">
        <v>4599</v>
      </c>
      <c r="J230" t="s">
        <v>4599</v>
      </c>
      <c r="K230" t="s">
        <v>7169</v>
      </c>
      <c r="L230" t="s">
        <v>7169</v>
      </c>
      <c r="M230" s="1" t="s">
        <v>4838</v>
      </c>
      <c r="N230" t="s">
        <v>4839</v>
      </c>
      <c r="O230" s="1" t="s">
        <v>144</v>
      </c>
      <c r="P230" s="1" t="s">
        <v>270</v>
      </c>
      <c r="Q230" s="11" t="s">
        <v>7342</v>
      </c>
      <c r="R230" s="1">
        <v>2387</v>
      </c>
      <c r="S230" s="1">
        <v>32410</v>
      </c>
      <c r="T230" s="1" t="s">
        <v>169</v>
      </c>
      <c r="U230" s="1">
        <v>5667377</v>
      </c>
      <c r="V230" t="s">
        <v>4861</v>
      </c>
      <c r="W230" t="s">
        <v>4862</v>
      </c>
      <c r="X230" t="s">
        <v>68</v>
      </c>
      <c r="Y230" t="s">
        <v>4863</v>
      </c>
      <c r="Z230" t="s">
        <v>4864</v>
      </c>
      <c r="AA230" t="s">
        <v>4865</v>
      </c>
      <c r="AB230" t="s">
        <v>2589</v>
      </c>
      <c r="AC230" t="s">
        <v>73</v>
      </c>
      <c r="AD230" t="s">
        <v>4866</v>
      </c>
      <c r="AE230" t="s">
        <v>75</v>
      </c>
      <c r="AF230" t="s">
        <v>76</v>
      </c>
      <c r="AG230" t="s">
        <v>77</v>
      </c>
      <c r="AH230" t="s">
        <v>4847</v>
      </c>
      <c r="AI230" t="s">
        <v>107</v>
      </c>
      <c r="AJ230" t="s">
        <v>80</v>
      </c>
      <c r="AK230" t="s">
        <v>81</v>
      </c>
      <c r="AL230" t="s">
        <v>82</v>
      </c>
      <c r="AM230" t="s">
        <v>83</v>
      </c>
      <c r="AN230">
        <v>2013</v>
      </c>
      <c r="AO230">
        <v>159974</v>
      </c>
      <c r="AP230">
        <v>5080569</v>
      </c>
      <c r="AQ230">
        <v>61</v>
      </c>
      <c r="AR230" t="s">
        <v>84</v>
      </c>
      <c r="AS230">
        <v>562</v>
      </c>
      <c r="AT230" t="s">
        <v>85</v>
      </c>
      <c r="AU230" t="s">
        <v>86</v>
      </c>
      <c r="AV230">
        <v>562</v>
      </c>
      <c r="AW230" t="s">
        <v>4867</v>
      </c>
      <c r="AX230" t="s">
        <v>88</v>
      </c>
      <c r="AZ230" t="s">
        <v>4849</v>
      </c>
      <c r="BA230">
        <v>0</v>
      </c>
    </row>
    <row r="231" spans="1:54" x14ac:dyDescent="0.2">
      <c r="A231" t="s">
        <v>5084</v>
      </c>
      <c r="B231" t="s">
        <v>5085</v>
      </c>
      <c r="C231" t="s">
        <v>5056</v>
      </c>
      <c r="D231" t="s">
        <v>5086</v>
      </c>
      <c r="E231" t="s">
        <v>5086</v>
      </c>
      <c r="F231" t="s">
        <v>2035</v>
      </c>
      <c r="G231" t="s">
        <v>56</v>
      </c>
      <c r="H231" t="s">
        <v>93</v>
      </c>
      <c r="I231" t="s">
        <v>2384</v>
      </c>
      <c r="J231" t="s">
        <v>2384</v>
      </c>
      <c r="K231" t="s">
        <v>7165</v>
      </c>
      <c r="L231" t="s">
        <v>7165</v>
      </c>
      <c r="M231" s="1" t="s">
        <v>5058</v>
      </c>
      <c r="N231" t="s">
        <v>5059</v>
      </c>
      <c r="O231" s="1" t="s">
        <v>5060</v>
      </c>
      <c r="P231" s="1" t="s">
        <v>4318</v>
      </c>
      <c r="Q231" s="11" t="s">
        <v>7333</v>
      </c>
      <c r="R231" s="1">
        <v>641</v>
      </c>
      <c r="S231" s="1">
        <v>93687</v>
      </c>
      <c r="T231" s="1" t="s">
        <v>5061</v>
      </c>
      <c r="U231" s="1">
        <v>6981595</v>
      </c>
      <c r="V231" t="s">
        <v>5087</v>
      </c>
      <c r="W231" t="s">
        <v>5088</v>
      </c>
      <c r="X231" t="s">
        <v>68</v>
      </c>
      <c r="Y231" t="s">
        <v>5089</v>
      </c>
      <c r="Z231" t="s">
        <v>5090</v>
      </c>
      <c r="AA231" t="s">
        <v>5091</v>
      </c>
      <c r="AB231" t="s">
        <v>2669</v>
      </c>
      <c r="AC231" t="s">
        <v>73</v>
      </c>
      <c r="AD231" t="s">
        <v>5092</v>
      </c>
      <c r="AE231" t="s">
        <v>5068</v>
      </c>
      <c r="AF231" t="s">
        <v>76</v>
      </c>
      <c r="AG231" t="s">
        <v>77</v>
      </c>
      <c r="AH231" t="s">
        <v>5093</v>
      </c>
      <c r="AI231" t="s">
        <v>5070</v>
      </c>
      <c r="AJ231" t="s">
        <v>5071</v>
      </c>
      <c r="AK231" t="s">
        <v>81</v>
      </c>
      <c r="AL231" t="s">
        <v>82</v>
      </c>
      <c r="AM231" t="s">
        <v>83</v>
      </c>
      <c r="AN231">
        <v>2015</v>
      </c>
      <c r="AO231">
        <v>74297</v>
      </c>
      <c r="AP231">
        <v>5248606</v>
      </c>
      <c r="AQ231">
        <v>180</v>
      </c>
      <c r="AR231" t="s">
        <v>84</v>
      </c>
      <c r="AS231">
        <v>562</v>
      </c>
      <c r="AT231" t="s">
        <v>85</v>
      </c>
      <c r="AU231" t="s">
        <v>86</v>
      </c>
      <c r="AV231">
        <v>562</v>
      </c>
      <c r="AW231" t="s">
        <v>5094</v>
      </c>
      <c r="AX231" t="s">
        <v>88</v>
      </c>
      <c r="AZ231" t="s">
        <v>5073</v>
      </c>
      <c r="BA231">
        <v>2</v>
      </c>
    </row>
    <row r="232" spans="1:54" x14ac:dyDescent="0.2">
      <c r="A232" t="s">
        <v>5150</v>
      </c>
      <c r="B232" t="s">
        <v>5151</v>
      </c>
      <c r="C232" t="s">
        <v>5152</v>
      </c>
      <c r="D232" t="s">
        <v>5153</v>
      </c>
      <c r="E232" t="s">
        <v>5153</v>
      </c>
      <c r="G232" t="s">
        <v>56</v>
      </c>
      <c r="H232" t="s">
        <v>93</v>
      </c>
      <c r="I232" t="s">
        <v>5154</v>
      </c>
      <c r="J232" t="s">
        <v>2384</v>
      </c>
      <c r="K232" t="s">
        <v>7165</v>
      </c>
      <c r="L232" t="s">
        <v>7165</v>
      </c>
      <c r="M232" s="1" t="s">
        <v>183</v>
      </c>
      <c r="N232" t="s">
        <v>538</v>
      </c>
      <c r="O232" s="1" t="s">
        <v>166</v>
      </c>
      <c r="P232" s="1" t="s">
        <v>250</v>
      </c>
      <c r="Q232" s="11" t="s">
        <v>7327</v>
      </c>
      <c r="R232" s="1">
        <v>33</v>
      </c>
      <c r="S232" s="1">
        <v>1587</v>
      </c>
      <c r="T232" s="1" t="s">
        <v>5155</v>
      </c>
      <c r="U232" s="1">
        <v>7255712</v>
      </c>
      <c r="V232" t="s">
        <v>5156</v>
      </c>
      <c r="W232" t="s">
        <v>5157</v>
      </c>
      <c r="X232" t="s">
        <v>68</v>
      </c>
      <c r="Y232" t="s">
        <v>5158</v>
      </c>
      <c r="Z232" t="s">
        <v>5159</v>
      </c>
      <c r="AA232" t="s">
        <v>5160</v>
      </c>
      <c r="AB232" t="s">
        <v>2669</v>
      </c>
      <c r="AC232" t="s">
        <v>73</v>
      </c>
      <c r="AD232" t="s">
        <v>5161</v>
      </c>
      <c r="AE232" t="s">
        <v>5162</v>
      </c>
      <c r="AF232" t="s">
        <v>76</v>
      </c>
      <c r="AG232" t="s">
        <v>77</v>
      </c>
      <c r="AH232" t="s">
        <v>5163</v>
      </c>
      <c r="AI232" t="s">
        <v>5164</v>
      </c>
      <c r="AJ232" t="s">
        <v>5165</v>
      </c>
      <c r="AK232" t="s">
        <v>81</v>
      </c>
      <c r="AL232" t="s">
        <v>82</v>
      </c>
      <c r="AM232" t="s">
        <v>83</v>
      </c>
      <c r="AN232">
        <v>2015</v>
      </c>
      <c r="AO232">
        <v>94394</v>
      </c>
      <c r="AP232">
        <v>5449580</v>
      </c>
      <c r="AQ232">
        <v>160</v>
      </c>
      <c r="AR232" t="s">
        <v>84</v>
      </c>
      <c r="AS232">
        <v>562</v>
      </c>
      <c r="AT232" t="s">
        <v>85</v>
      </c>
      <c r="AU232" t="s">
        <v>86</v>
      </c>
      <c r="AV232">
        <v>562</v>
      </c>
      <c r="AW232" t="s">
        <v>5166</v>
      </c>
      <c r="AX232" t="s">
        <v>88</v>
      </c>
      <c r="AZ232" t="s">
        <v>5167</v>
      </c>
      <c r="BA232">
        <v>1</v>
      </c>
    </row>
    <row r="233" spans="1:54" x14ac:dyDescent="0.2">
      <c r="A233" t="s">
        <v>5168</v>
      </c>
      <c r="B233" t="s">
        <v>5169</v>
      </c>
      <c r="C233" t="s">
        <v>5152</v>
      </c>
      <c r="D233" t="s">
        <v>5170</v>
      </c>
      <c r="E233" t="s">
        <v>5170</v>
      </c>
      <c r="G233" t="s">
        <v>56</v>
      </c>
      <c r="H233" t="s">
        <v>93</v>
      </c>
      <c r="I233" t="s">
        <v>5154</v>
      </c>
      <c r="J233" t="s">
        <v>2384</v>
      </c>
      <c r="K233" t="s">
        <v>7165</v>
      </c>
      <c r="L233" t="s">
        <v>7165</v>
      </c>
      <c r="M233" s="1" t="s">
        <v>183</v>
      </c>
      <c r="N233" t="s">
        <v>538</v>
      </c>
      <c r="O233" s="1" t="s">
        <v>166</v>
      </c>
      <c r="P233" s="1" t="s">
        <v>250</v>
      </c>
      <c r="Q233" s="11" t="s">
        <v>7327</v>
      </c>
      <c r="R233" s="1">
        <v>33</v>
      </c>
      <c r="S233" s="1">
        <v>1587</v>
      </c>
      <c r="T233" s="1" t="s">
        <v>5155</v>
      </c>
      <c r="U233" s="1">
        <v>7255712</v>
      </c>
      <c r="V233" t="s">
        <v>5171</v>
      </c>
      <c r="W233" t="s">
        <v>5172</v>
      </c>
      <c r="X233" t="s">
        <v>68</v>
      </c>
      <c r="Y233" t="s">
        <v>5173</v>
      </c>
      <c r="Z233" t="s">
        <v>5174</v>
      </c>
      <c r="AA233" t="s">
        <v>5175</v>
      </c>
      <c r="AB233" t="s">
        <v>2669</v>
      </c>
      <c r="AC233" t="s">
        <v>73</v>
      </c>
      <c r="AD233" t="s">
        <v>5176</v>
      </c>
      <c r="AE233" t="s">
        <v>5177</v>
      </c>
      <c r="AF233" t="s">
        <v>76</v>
      </c>
      <c r="AG233" t="s">
        <v>77</v>
      </c>
      <c r="AH233" t="s">
        <v>5178</v>
      </c>
      <c r="AI233" t="s">
        <v>5164</v>
      </c>
      <c r="AJ233" t="s">
        <v>5179</v>
      </c>
      <c r="AK233" t="s">
        <v>158</v>
      </c>
      <c r="AL233" t="s">
        <v>159</v>
      </c>
      <c r="AM233" t="s">
        <v>83</v>
      </c>
      <c r="AN233">
        <v>2015</v>
      </c>
      <c r="AO233">
        <v>92691</v>
      </c>
      <c r="AP233">
        <v>5452245</v>
      </c>
      <c r="AQ233">
        <v>155</v>
      </c>
      <c r="AR233" t="s">
        <v>84</v>
      </c>
      <c r="AS233">
        <v>562</v>
      </c>
      <c r="AT233" t="s">
        <v>85</v>
      </c>
      <c r="AU233" t="s">
        <v>86</v>
      </c>
      <c r="AV233">
        <v>562</v>
      </c>
      <c r="AW233" t="s">
        <v>5180</v>
      </c>
      <c r="AX233" t="s">
        <v>88</v>
      </c>
      <c r="AZ233" t="s">
        <v>5167</v>
      </c>
      <c r="BA233">
        <v>0</v>
      </c>
    </row>
    <row r="234" spans="1:54" x14ac:dyDescent="0.2">
      <c r="A234" t="s">
        <v>5192</v>
      </c>
      <c r="B234" t="s">
        <v>5193</v>
      </c>
      <c r="C234" t="s">
        <v>5152</v>
      </c>
      <c r="D234" t="s">
        <v>5194</v>
      </c>
      <c r="E234" t="s">
        <v>5194</v>
      </c>
      <c r="G234" t="s">
        <v>56</v>
      </c>
      <c r="H234" t="s">
        <v>93</v>
      </c>
      <c r="I234" t="s">
        <v>5154</v>
      </c>
      <c r="J234" t="s">
        <v>2384</v>
      </c>
      <c r="K234" t="s">
        <v>7165</v>
      </c>
      <c r="L234" t="s">
        <v>7165</v>
      </c>
      <c r="M234" s="1" t="s">
        <v>183</v>
      </c>
      <c r="N234" t="s">
        <v>538</v>
      </c>
      <c r="O234" s="1" t="s">
        <v>166</v>
      </c>
      <c r="P234" s="1" t="s">
        <v>250</v>
      </c>
      <c r="Q234" s="11" t="s">
        <v>7327</v>
      </c>
      <c r="R234" s="1">
        <v>33</v>
      </c>
      <c r="S234" s="1">
        <v>1587</v>
      </c>
      <c r="T234" s="1" t="s">
        <v>5155</v>
      </c>
      <c r="U234" s="1">
        <v>7255712</v>
      </c>
      <c r="V234" t="s">
        <v>5195</v>
      </c>
      <c r="W234" t="s">
        <v>5196</v>
      </c>
      <c r="X234" t="s">
        <v>68</v>
      </c>
      <c r="Y234" t="s">
        <v>5197</v>
      </c>
      <c r="Z234" t="s">
        <v>5198</v>
      </c>
      <c r="AA234" t="s">
        <v>5199</v>
      </c>
      <c r="AB234" t="s">
        <v>2669</v>
      </c>
      <c r="AC234" t="s">
        <v>73</v>
      </c>
      <c r="AD234" t="s">
        <v>5200</v>
      </c>
      <c r="AE234" t="s">
        <v>5162</v>
      </c>
      <c r="AF234" t="s">
        <v>76</v>
      </c>
      <c r="AG234" t="s">
        <v>77</v>
      </c>
      <c r="AH234" t="s">
        <v>5163</v>
      </c>
      <c r="AI234" t="s">
        <v>5201</v>
      </c>
      <c r="AJ234" t="s">
        <v>5165</v>
      </c>
      <c r="AK234" t="s">
        <v>81</v>
      </c>
      <c r="AL234" t="s">
        <v>82</v>
      </c>
      <c r="AM234" t="s">
        <v>83</v>
      </c>
      <c r="AN234">
        <v>2015</v>
      </c>
      <c r="AO234">
        <v>83339</v>
      </c>
      <c r="AP234">
        <v>5454203</v>
      </c>
      <c r="AQ234">
        <v>172</v>
      </c>
      <c r="AR234" t="s">
        <v>84</v>
      </c>
      <c r="AS234">
        <v>562</v>
      </c>
      <c r="AT234" t="s">
        <v>85</v>
      </c>
      <c r="AU234" t="s">
        <v>86</v>
      </c>
      <c r="AV234">
        <v>562</v>
      </c>
      <c r="AW234" t="s">
        <v>5202</v>
      </c>
      <c r="AX234" t="s">
        <v>88</v>
      </c>
      <c r="AZ234" t="s">
        <v>5167</v>
      </c>
      <c r="BA234">
        <v>0</v>
      </c>
    </row>
    <row r="235" spans="1:54" x14ac:dyDescent="0.2">
      <c r="A235" t="s">
        <v>5203</v>
      </c>
      <c r="B235" t="s">
        <v>5204</v>
      </c>
      <c r="C235" t="s">
        <v>5152</v>
      </c>
      <c r="D235" t="s">
        <v>5205</v>
      </c>
      <c r="E235" t="s">
        <v>5205</v>
      </c>
      <c r="G235" t="s">
        <v>56</v>
      </c>
      <c r="H235" t="s">
        <v>93</v>
      </c>
      <c r="I235" t="s">
        <v>5154</v>
      </c>
      <c r="J235" t="s">
        <v>2384</v>
      </c>
      <c r="K235" t="s">
        <v>7165</v>
      </c>
      <c r="L235" t="s">
        <v>7165</v>
      </c>
      <c r="M235" s="1" t="s">
        <v>183</v>
      </c>
      <c r="N235" t="s">
        <v>538</v>
      </c>
      <c r="O235" s="1" t="s">
        <v>166</v>
      </c>
      <c r="P235" s="1" t="s">
        <v>250</v>
      </c>
      <c r="Q235" s="11" t="s">
        <v>7327</v>
      </c>
      <c r="R235" s="1">
        <v>33</v>
      </c>
      <c r="S235" s="1">
        <v>1587</v>
      </c>
      <c r="T235" s="1" t="s">
        <v>5155</v>
      </c>
      <c r="U235" s="1">
        <v>7255712</v>
      </c>
      <c r="V235" t="s">
        <v>5206</v>
      </c>
      <c r="W235" t="s">
        <v>5207</v>
      </c>
      <c r="X235" t="s">
        <v>68</v>
      </c>
      <c r="Y235" t="s">
        <v>5208</v>
      </c>
      <c r="Z235" t="s">
        <v>5209</v>
      </c>
      <c r="AA235" t="s">
        <v>5210</v>
      </c>
      <c r="AB235" t="s">
        <v>2669</v>
      </c>
      <c r="AC235" t="s">
        <v>73</v>
      </c>
      <c r="AD235" t="s">
        <v>5211</v>
      </c>
      <c r="AE235" t="s">
        <v>5162</v>
      </c>
      <c r="AF235" t="s">
        <v>76</v>
      </c>
      <c r="AG235" t="s">
        <v>77</v>
      </c>
      <c r="AH235" t="s">
        <v>5163</v>
      </c>
      <c r="AI235" t="s">
        <v>5164</v>
      </c>
      <c r="AJ235" t="s">
        <v>5165</v>
      </c>
      <c r="AK235" t="s">
        <v>81</v>
      </c>
      <c r="AL235" t="s">
        <v>82</v>
      </c>
      <c r="AM235" t="s">
        <v>83</v>
      </c>
      <c r="AN235">
        <v>2015</v>
      </c>
      <c r="AO235">
        <v>119275</v>
      </c>
      <c r="AP235">
        <v>5455746</v>
      </c>
      <c r="AQ235">
        <v>132</v>
      </c>
      <c r="AR235" t="s">
        <v>84</v>
      </c>
      <c r="AS235">
        <v>562</v>
      </c>
      <c r="AT235" t="s">
        <v>85</v>
      </c>
      <c r="AU235" t="s">
        <v>86</v>
      </c>
      <c r="AV235">
        <v>562</v>
      </c>
      <c r="AW235" t="s">
        <v>5212</v>
      </c>
      <c r="AX235" t="s">
        <v>88</v>
      </c>
      <c r="AZ235" t="s">
        <v>5167</v>
      </c>
      <c r="BA235">
        <v>0</v>
      </c>
    </row>
    <row r="236" spans="1:54" x14ac:dyDescent="0.2">
      <c r="A236" t="s">
        <v>2659</v>
      </c>
      <c r="B236" t="s">
        <v>2660</v>
      </c>
      <c r="C236" t="s">
        <v>2661</v>
      </c>
      <c r="D236" t="s">
        <v>2662</v>
      </c>
      <c r="E236" t="s">
        <v>2662</v>
      </c>
      <c r="G236" t="s">
        <v>56</v>
      </c>
      <c r="H236" t="s">
        <v>58</v>
      </c>
      <c r="I236" t="s">
        <v>2663</v>
      </c>
      <c r="J236" t="s">
        <v>2663</v>
      </c>
      <c r="K236" t="s">
        <v>7165</v>
      </c>
      <c r="L236" t="s">
        <v>7165</v>
      </c>
      <c r="M236" s="1" t="s">
        <v>603</v>
      </c>
      <c r="N236" t="s">
        <v>649</v>
      </c>
      <c r="O236" s="1" t="s">
        <v>605</v>
      </c>
      <c r="P236" s="1" t="s">
        <v>127</v>
      </c>
      <c r="Q236" s="11" t="s">
        <v>7194</v>
      </c>
      <c r="R236" s="1">
        <v>11</v>
      </c>
      <c r="S236" s="1">
        <v>2124</v>
      </c>
      <c r="T236" s="1" t="s">
        <v>169</v>
      </c>
      <c r="U236" s="1" t="s">
        <v>170</v>
      </c>
      <c r="V236" t="s">
        <v>2664</v>
      </c>
      <c r="W236" t="s">
        <v>2665</v>
      </c>
      <c r="X236" t="s">
        <v>68</v>
      </c>
      <c r="Y236" t="s">
        <v>2666</v>
      </c>
      <c r="Z236" t="s">
        <v>2667</v>
      </c>
      <c r="AA236" t="s">
        <v>2668</v>
      </c>
      <c r="AB236" t="s">
        <v>2669</v>
      </c>
      <c r="AC236" t="s">
        <v>73</v>
      </c>
      <c r="AD236" t="s">
        <v>2670</v>
      </c>
      <c r="AE236" t="s">
        <v>75</v>
      </c>
      <c r="AF236" t="s">
        <v>76</v>
      </c>
      <c r="AG236" t="s">
        <v>77</v>
      </c>
      <c r="AH236" t="s">
        <v>630</v>
      </c>
      <c r="AI236" t="s">
        <v>615</v>
      </c>
      <c r="AJ236" t="s">
        <v>616</v>
      </c>
      <c r="AK236" t="s">
        <v>81</v>
      </c>
      <c r="AL236" t="s">
        <v>82</v>
      </c>
      <c r="AM236" t="s">
        <v>83</v>
      </c>
      <c r="AN236">
        <v>2016</v>
      </c>
      <c r="AO236">
        <v>188435</v>
      </c>
      <c r="AP236">
        <v>5351856</v>
      </c>
      <c r="AQ236">
        <v>161</v>
      </c>
      <c r="AR236" t="s">
        <v>84</v>
      </c>
      <c r="AS236">
        <v>562</v>
      </c>
      <c r="AT236" t="s">
        <v>85</v>
      </c>
      <c r="AU236" t="s">
        <v>86</v>
      </c>
      <c r="AV236">
        <v>562</v>
      </c>
      <c r="AW236" t="s">
        <v>2671</v>
      </c>
      <c r="AX236" t="s">
        <v>88</v>
      </c>
      <c r="AZ236" t="s">
        <v>841</v>
      </c>
      <c r="BA236">
        <v>0</v>
      </c>
      <c r="BB236">
        <v>2</v>
      </c>
    </row>
    <row r="237" spans="1:54" x14ac:dyDescent="0.2">
      <c r="A237" t="s">
        <v>5258</v>
      </c>
      <c r="B237" t="s">
        <v>5259</v>
      </c>
      <c r="C237" t="s">
        <v>5260</v>
      </c>
      <c r="D237" t="s">
        <v>5261</v>
      </c>
      <c r="E237" t="s">
        <v>5261</v>
      </c>
      <c r="G237" t="s">
        <v>56</v>
      </c>
      <c r="H237" t="s">
        <v>93</v>
      </c>
      <c r="I237" t="s">
        <v>2384</v>
      </c>
      <c r="J237" t="s">
        <v>2384</v>
      </c>
      <c r="K237" t="s">
        <v>7165</v>
      </c>
      <c r="L237" t="s">
        <v>7165</v>
      </c>
      <c r="M237" s="1" t="s">
        <v>3210</v>
      </c>
      <c r="N237" t="s">
        <v>3211</v>
      </c>
      <c r="O237" s="1" t="s">
        <v>144</v>
      </c>
      <c r="P237" s="1" t="s">
        <v>64</v>
      </c>
      <c r="Q237" s="11" t="s">
        <v>7220</v>
      </c>
      <c r="R237" s="1">
        <v>6118</v>
      </c>
      <c r="S237" s="1">
        <v>35267</v>
      </c>
      <c r="T237" s="1" t="s">
        <v>169</v>
      </c>
      <c r="U237" s="1">
        <v>7706011</v>
      </c>
      <c r="V237" t="s">
        <v>5262</v>
      </c>
      <c r="W237" t="s">
        <v>5263</v>
      </c>
      <c r="X237" t="s">
        <v>68</v>
      </c>
      <c r="Y237" t="s">
        <v>5264</v>
      </c>
      <c r="Z237" t="s">
        <v>5265</v>
      </c>
      <c r="AA237" t="s">
        <v>5266</v>
      </c>
      <c r="AB237" t="s">
        <v>2493</v>
      </c>
      <c r="AC237" t="s">
        <v>73</v>
      </c>
      <c r="AD237" t="s">
        <v>5267</v>
      </c>
      <c r="AE237" t="s">
        <v>75</v>
      </c>
      <c r="AF237" t="s">
        <v>76</v>
      </c>
      <c r="AG237" t="s">
        <v>77</v>
      </c>
      <c r="AH237" t="s">
        <v>5268</v>
      </c>
      <c r="AI237" t="s">
        <v>156</v>
      </c>
      <c r="AJ237" t="s">
        <v>5269</v>
      </c>
      <c r="AK237" t="s">
        <v>81</v>
      </c>
      <c r="AL237" t="s">
        <v>82</v>
      </c>
      <c r="AM237" t="s">
        <v>83</v>
      </c>
      <c r="AN237">
        <v>2015</v>
      </c>
      <c r="AO237">
        <v>111467</v>
      </c>
      <c r="AP237">
        <v>5389280</v>
      </c>
      <c r="AQ237">
        <v>220</v>
      </c>
      <c r="AR237" t="s">
        <v>84</v>
      </c>
      <c r="AS237">
        <v>562</v>
      </c>
      <c r="AT237" t="s">
        <v>85</v>
      </c>
      <c r="AU237" t="s">
        <v>86</v>
      </c>
      <c r="AV237">
        <v>562</v>
      </c>
      <c r="AW237" t="s">
        <v>5270</v>
      </c>
      <c r="AX237" t="s">
        <v>88</v>
      </c>
      <c r="AZ237" t="s">
        <v>5271</v>
      </c>
      <c r="BA237">
        <v>0</v>
      </c>
    </row>
    <row r="238" spans="1:54" x14ac:dyDescent="0.2">
      <c r="A238" t="s">
        <v>5282</v>
      </c>
      <c r="B238" t="s">
        <v>5283</v>
      </c>
      <c r="C238" t="s">
        <v>5260</v>
      </c>
      <c r="D238" t="s">
        <v>5284</v>
      </c>
      <c r="E238" t="s">
        <v>5284</v>
      </c>
      <c r="G238" t="s">
        <v>56</v>
      </c>
      <c r="H238" t="s">
        <v>93</v>
      </c>
      <c r="I238" t="s">
        <v>2384</v>
      </c>
      <c r="J238" t="s">
        <v>2384</v>
      </c>
      <c r="K238" t="s">
        <v>7165</v>
      </c>
      <c r="L238" t="s">
        <v>7165</v>
      </c>
      <c r="M238" s="1" t="s">
        <v>3210</v>
      </c>
      <c r="N238" t="s">
        <v>3211</v>
      </c>
      <c r="O238" s="1" t="s">
        <v>144</v>
      </c>
      <c r="P238" s="1" t="s">
        <v>64</v>
      </c>
      <c r="Q238" s="11" t="s">
        <v>7220</v>
      </c>
      <c r="R238" s="1">
        <v>6118</v>
      </c>
      <c r="S238" s="1">
        <v>35267</v>
      </c>
      <c r="T238" s="1" t="s">
        <v>169</v>
      </c>
      <c r="U238" s="1">
        <v>7706011</v>
      </c>
      <c r="V238" t="s">
        <v>5285</v>
      </c>
      <c r="W238" t="s">
        <v>5286</v>
      </c>
      <c r="X238" t="s">
        <v>68</v>
      </c>
      <c r="Y238" t="s">
        <v>5287</v>
      </c>
      <c r="Z238" t="s">
        <v>5288</v>
      </c>
      <c r="AA238" t="s">
        <v>5289</v>
      </c>
      <c r="AB238" t="s">
        <v>2493</v>
      </c>
      <c r="AC238" t="s">
        <v>73</v>
      </c>
      <c r="AD238" t="s">
        <v>5290</v>
      </c>
      <c r="AE238" t="s">
        <v>75</v>
      </c>
      <c r="AF238" t="s">
        <v>76</v>
      </c>
      <c r="AG238" t="s">
        <v>77</v>
      </c>
      <c r="AH238" t="s">
        <v>5291</v>
      </c>
      <c r="AI238" t="s">
        <v>156</v>
      </c>
      <c r="AJ238" t="s">
        <v>5269</v>
      </c>
      <c r="AK238" t="s">
        <v>81</v>
      </c>
      <c r="AL238" t="s">
        <v>82</v>
      </c>
      <c r="AM238" t="s">
        <v>83</v>
      </c>
      <c r="AN238">
        <v>2015</v>
      </c>
      <c r="AO238">
        <v>113344</v>
      </c>
      <c r="AP238">
        <v>5383870</v>
      </c>
      <c r="AQ238">
        <v>213</v>
      </c>
      <c r="AR238" t="s">
        <v>84</v>
      </c>
      <c r="AS238">
        <v>562</v>
      </c>
      <c r="AT238" t="s">
        <v>85</v>
      </c>
      <c r="AU238" t="s">
        <v>86</v>
      </c>
      <c r="AV238">
        <v>562</v>
      </c>
      <c r="AW238" t="s">
        <v>5292</v>
      </c>
      <c r="AX238" t="s">
        <v>88</v>
      </c>
      <c r="AZ238" t="s">
        <v>5271</v>
      </c>
      <c r="BA238">
        <v>1</v>
      </c>
    </row>
    <row r="239" spans="1:54" x14ac:dyDescent="0.2">
      <c r="A239" t="s">
        <v>2483</v>
      </c>
      <c r="B239" t="s">
        <v>2484</v>
      </c>
      <c r="C239" t="s">
        <v>2485</v>
      </c>
      <c r="D239" t="s">
        <v>2486</v>
      </c>
      <c r="E239" t="s">
        <v>2486</v>
      </c>
      <c r="G239" t="s">
        <v>56</v>
      </c>
      <c r="H239" t="s">
        <v>58</v>
      </c>
      <c r="I239" t="s">
        <v>2487</v>
      </c>
      <c r="J239" t="s">
        <v>2487</v>
      </c>
      <c r="K239" t="s">
        <v>7165</v>
      </c>
      <c r="L239" t="s">
        <v>7165</v>
      </c>
      <c r="M239" s="1" t="s">
        <v>603</v>
      </c>
      <c r="N239" t="s">
        <v>649</v>
      </c>
      <c r="O239" s="1" t="s">
        <v>650</v>
      </c>
      <c r="P239" s="1" t="s">
        <v>127</v>
      </c>
      <c r="Q239" s="11" t="s">
        <v>7194</v>
      </c>
      <c r="R239" s="1">
        <v>11</v>
      </c>
      <c r="S239" s="1">
        <v>2124</v>
      </c>
      <c r="T239" s="1" t="s">
        <v>651</v>
      </c>
      <c r="U239" s="1" t="s">
        <v>170</v>
      </c>
      <c r="V239" t="s">
        <v>2488</v>
      </c>
      <c r="W239" t="s">
        <v>2489</v>
      </c>
      <c r="X239" t="s">
        <v>68</v>
      </c>
      <c r="Y239" t="s">
        <v>2490</v>
      </c>
      <c r="Z239" t="s">
        <v>2491</v>
      </c>
      <c r="AA239" t="s">
        <v>2492</v>
      </c>
      <c r="AB239" t="s">
        <v>2493</v>
      </c>
      <c r="AC239" t="s">
        <v>73</v>
      </c>
      <c r="AD239" t="s">
        <v>2494</v>
      </c>
      <c r="AE239" t="s">
        <v>75</v>
      </c>
      <c r="AF239" t="s">
        <v>76</v>
      </c>
      <c r="AG239" t="s">
        <v>77</v>
      </c>
      <c r="AH239" t="s">
        <v>669</v>
      </c>
      <c r="AI239" t="s">
        <v>615</v>
      </c>
      <c r="AJ239" t="s">
        <v>616</v>
      </c>
      <c r="AK239" t="s">
        <v>81</v>
      </c>
      <c r="AL239" t="s">
        <v>82</v>
      </c>
      <c r="AM239" t="s">
        <v>83</v>
      </c>
      <c r="AN239">
        <v>2016</v>
      </c>
      <c r="AO239">
        <v>188064</v>
      </c>
      <c r="AP239">
        <v>5346823</v>
      </c>
      <c r="AQ239">
        <v>160</v>
      </c>
      <c r="AR239" t="s">
        <v>84</v>
      </c>
      <c r="AS239">
        <v>562</v>
      </c>
      <c r="AT239" t="s">
        <v>85</v>
      </c>
      <c r="AU239" t="s">
        <v>86</v>
      </c>
      <c r="AV239">
        <v>562</v>
      </c>
      <c r="AW239" t="s">
        <v>2495</v>
      </c>
      <c r="AX239" t="s">
        <v>88</v>
      </c>
      <c r="AZ239" t="s">
        <v>841</v>
      </c>
      <c r="BA239">
        <v>0</v>
      </c>
      <c r="BB239">
        <v>0</v>
      </c>
    </row>
    <row r="240" spans="1:54" x14ac:dyDescent="0.2">
      <c r="A240" t="s">
        <v>2496</v>
      </c>
      <c r="B240" t="s">
        <v>2497</v>
      </c>
      <c r="C240" t="s">
        <v>2498</v>
      </c>
      <c r="D240" t="s">
        <v>2499</v>
      </c>
      <c r="E240" t="s">
        <v>2499</v>
      </c>
      <c r="F240" t="s">
        <v>2035</v>
      </c>
      <c r="G240" t="s">
        <v>56</v>
      </c>
      <c r="H240" t="s">
        <v>58</v>
      </c>
      <c r="I240" t="s">
        <v>2500</v>
      </c>
      <c r="J240" t="s">
        <v>2500</v>
      </c>
      <c r="K240" t="s">
        <v>7165</v>
      </c>
      <c r="L240" t="s">
        <v>7165</v>
      </c>
      <c r="M240" s="1" t="s">
        <v>603</v>
      </c>
      <c r="N240" t="s">
        <v>649</v>
      </c>
      <c r="O240" s="1" t="s">
        <v>605</v>
      </c>
      <c r="P240" s="1" t="s">
        <v>127</v>
      </c>
      <c r="Q240" s="11" t="s">
        <v>7211</v>
      </c>
      <c r="R240" s="1">
        <v>11</v>
      </c>
      <c r="S240" s="1">
        <v>2124</v>
      </c>
      <c r="T240" s="1" t="s">
        <v>169</v>
      </c>
      <c r="U240" s="1">
        <v>7835031</v>
      </c>
      <c r="V240" t="s">
        <v>2501</v>
      </c>
      <c r="W240" t="s">
        <v>2502</v>
      </c>
      <c r="X240" t="s">
        <v>68</v>
      </c>
      <c r="Y240" t="s">
        <v>2503</v>
      </c>
      <c r="Z240" t="s">
        <v>2504</v>
      </c>
      <c r="AA240" t="s">
        <v>2505</v>
      </c>
      <c r="AB240" t="s">
        <v>2493</v>
      </c>
      <c r="AC240" t="s">
        <v>73</v>
      </c>
      <c r="AD240" t="s">
        <v>2506</v>
      </c>
      <c r="AE240" t="s">
        <v>75</v>
      </c>
      <c r="AF240" t="s">
        <v>76</v>
      </c>
      <c r="AG240" t="s">
        <v>77</v>
      </c>
      <c r="AH240" t="s">
        <v>2507</v>
      </c>
      <c r="AI240" t="s">
        <v>615</v>
      </c>
      <c r="AJ240" t="s">
        <v>616</v>
      </c>
      <c r="AK240" t="s">
        <v>81</v>
      </c>
      <c r="AL240" t="s">
        <v>82</v>
      </c>
      <c r="AM240" t="s">
        <v>83</v>
      </c>
      <c r="AN240">
        <v>2016</v>
      </c>
      <c r="AO240">
        <v>45000</v>
      </c>
      <c r="AP240">
        <v>5291366</v>
      </c>
      <c r="AQ240">
        <v>343</v>
      </c>
      <c r="AR240" t="s">
        <v>84</v>
      </c>
      <c r="AS240">
        <v>562</v>
      </c>
      <c r="AT240" t="s">
        <v>85</v>
      </c>
      <c r="AU240" t="s">
        <v>86</v>
      </c>
      <c r="AV240">
        <v>562</v>
      </c>
      <c r="AW240" t="s">
        <v>2508</v>
      </c>
      <c r="AX240" t="s">
        <v>88</v>
      </c>
      <c r="AZ240" t="s">
        <v>918</v>
      </c>
      <c r="BA240">
        <v>9</v>
      </c>
      <c r="BB240">
        <v>10</v>
      </c>
    </row>
    <row r="241" spans="1:54" x14ac:dyDescent="0.2">
      <c r="A241" t="s">
        <v>2509</v>
      </c>
      <c r="B241" t="s">
        <v>2510</v>
      </c>
      <c r="C241" t="s">
        <v>2511</v>
      </c>
      <c r="D241" t="s">
        <v>2512</v>
      </c>
      <c r="E241" t="s">
        <v>2512</v>
      </c>
      <c r="F241" t="s">
        <v>2035</v>
      </c>
      <c r="G241" t="s">
        <v>56</v>
      </c>
      <c r="H241" t="s">
        <v>58</v>
      </c>
      <c r="I241" t="s">
        <v>2513</v>
      </c>
      <c r="J241" t="s">
        <v>2513</v>
      </c>
      <c r="K241" t="s">
        <v>7165</v>
      </c>
      <c r="L241" t="s">
        <v>7165</v>
      </c>
      <c r="M241" s="1" t="s">
        <v>603</v>
      </c>
      <c r="N241" t="s">
        <v>604</v>
      </c>
      <c r="O241" s="1" t="s">
        <v>605</v>
      </c>
      <c r="P241" s="1" t="s">
        <v>250</v>
      </c>
      <c r="Q241" s="11" t="s">
        <v>7211</v>
      </c>
      <c r="R241" s="1">
        <v>11</v>
      </c>
      <c r="S241" s="1">
        <v>2124</v>
      </c>
      <c r="T241" s="1" t="s">
        <v>169</v>
      </c>
      <c r="U241" s="1" t="s">
        <v>170</v>
      </c>
      <c r="V241" t="s">
        <v>2514</v>
      </c>
      <c r="W241" t="s">
        <v>2515</v>
      </c>
      <c r="X241" t="s">
        <v>68</v>
      </c>
      <c r="Y241" t="s">
        <v>2516</v>
      </c>
      <c r="Z241" t="s">
        <v>2517</v>
      </c>
      <c r="AA241" t="s">
        <v>2518</v>
      </c>
      <c r="AB241" t="s">
        <v>2493</v>
      </c>
      <c r="AC241" t="s">
        <v>73</v>
      </c>
      <c r="AD241" t="s">
        <v>2519</v>
      </c>
      <c r="AE241" t="s">
        <v>75</v>
      </c>
      <c r="AF241" t="s">
        <v>76</v>
      </c>
      <c r="AG241" t="s">
        <v>77</v>
      </c>
      <c r="AH241" t="s">
        <v>2520</v>
      </c>
      <c r="AI241" t="s">
        <v>615</v>
      </c>
      <c r="AJ241" t="s">
        <v>616</v>
      </c>
      <c r="AK241" t="s">
        <v>81</v>
      </c>
      <c r="AL241" t="s">
        <v>82</v>
      </c>
      <c r="AM241" t="s">
        <v>83</v>
      </c>
      <c r="AN241">
        <v>2016</v>
      </c>
      <c r="AO241">
        <v>188435</v>
      </c>
      <c r="AP241">
        <v>5373985</v>
      </c>
      <c r="AQ241">
        <v>136</v>
      </c>
      <c r="AR241" t="s">
        <v>84</v>
      </c>
      <c r="AS241">
        <v>562</v>
      </c>
      <c r="AT241" t="s">
        <v>85</v>
      </c>
      <c r="AU241" t="s">
        <v>86</v>
      </c>
      <c r="AV241">
        <v>562</v>
      </c>
      <c r="AW241" t="s">
        <v>2521</v>
      </c>
      <c r="AX241" t="s">
        <v>88</v>
      </c>
      <c r="AZ241" t="s">
        <v>918</v>
      </c>
      <c r="BA241">
        <v>0</v>
      </c>
      <c r="BB241">
        <v>1</v>
      </c>
    </row>
    <row r="242" spans="1:54" x14ac:dyDescent="0.2">
      <c r="A242" t="s">
        <v>2522</v>
      </c>
      <c r="B242" t="s">
        <v>2523</v>
      </c>
      <c r="C242" t="s">
        <v>2498</v>
      </c>
      <c r="D242" t="s">
        <v>2524</v>
      </c>
      <c r="E242" t="s">
        <v>2524</v>
      </c>
      <c r="F242" t="s">
        <v>2035</v>
      </c>
      <c r="G242" t="s">
        <v>56</v>
      </c>
      <c r="H242" t="s">
        <v>58</v>
      </c>
      <c r="I242" t="s">
        <v>2500</v>
      </c>
      <c r="J242" t="s">
        <v>2500</v>
      </c>
      <c r="K242" t="s">
        <v>7165</v>
      </c>
      <c r="L242" t="s">
        <v>7165</v>
      </c>
      <c r="M242" s="1" t="s">
        <v>603</v>
      </c>
      <c r="N242" t="s">
        <v>649</v>
      </c>
      <c r="O242" s="1" t="s">
        <v>605</v>
      </c>
      <c r="P242" s="1" t="s">
        <v>127</v>
      </c>
      <c r="Q242" s="11" t="s">
        <v>7324</v>
      </c>
      <c r="R242" s="1">
        <v>11</v>
      </c>
      <c r="S242" s="1">
        <v>2124</v>
      </c>
      <c r="T242" s="1" t="s">
        <v>169</v>
      </c>
      <c r="U242" s="1">
        <v>7835031</v>
      </c>
      <c r="V242" t="s">
        <v>2525</v>
      </c>
      <c r="W242" t="s">
        <v>2526</v>
      </c>
      <c r="X242" t="s">
        <v>68</v>
      </c>
      <c r="Y242" t="s">
        <v>2527</v>
      </c>
      <c r="Z242" t="s">
        <v>2528</v>
      </c>
      <c r="AA242" t="s">
        <v>2529</v>
      </c>
      <c r="AB242" t="s">
        <v>2530</v>
      </c>
      <c r="AC242" t="s">
        <v>73</v>
      </c>
      <c r="AD242" t="s">
        <v>2531</v>
      </c>
      <c r="AE242" t="s">
        <v>75</v>
      </c>
      <c r="AF242" t="s">
        <v>76</v>
      </c>
      <c r="AG242" t="s">
        <v>77</v>
      </c>
      <c r="AH242" t="s">
        <v>2532</v>
      </c>
      <c r="AI242" t="s">
        <v>615</v>
      </c>
      <c r="AJ242" t="s">
        <v>616</v>
      </c>
      <c r="AK242" t="s">
        <v>81</v>
      </c>
      <c r="AL242" t="s">
        <v>82</v>
      </c>
      <c r="AM242" t="s">
        <v>83</v>
      </c>
      <c r="AN242">
        <v>2016</v>
      </c>
      <c r="AO242">
        <v>46758</v>
      </c>
      <c r="AP242">
        <v>5316518</v>
      </c>
      <c r="AQ242">
        <v>307</v>
      </c>
      <c r="AR242" t="s">
        <v>84</v>
      </c>
      <c r="AS242">
        <v>562</v>
      </c>
      <c r="AT242" t="s">
        <v>85</v>
      </c>
      <c r="AU242" t="s">
        <v>86</v>
      </c>
      <c r="AV242">
        <v>562</v>
      </c>
      <c r="AW242" t="s">
        <v>2533</v>
      </c>
      <c r="AX242" t="s">
        <v>88</v>
      </c>
      <c r="AZ242" t="s">
        <v>918</v>
      </c>
      <c r="BA242">
        <v>4</v>
      </c>
      <c r="BB242">
        <v>5</v>
      </c>
    </row>
    <row r="243" spans="1:54" x14ac:dyDescent="0.2">
      <c r="A243" t="s">
        <v>2534</v>
      </c>
      <c r="B243" t="s">
        <v>2535</v>
      </c>
      <c r="C243" t="s">
        <v>2536</v>
      </c>
      <c r="D243" t="s">
        <v>2537</v>
      </c>
      <c r="E243" t="s">
        <v>2537</v>
      </c>
      <c r="F243" t="s">
        <v>2035</v>
      </c>
      <c r="G243" t="s">
        <v>56</v>
      </c>
      <c r="H243" t="s">
        <v>58</v>
      </c>
      <c r="I243" t="s">
        <v>2500</v>
      </c>
      <c r="J243" t="s">
        <v>2500</v>
      </c>
      <c r="K243" t="s">
        <v>7165</v>
      </c>
      <c r="L243" t="s">
        <v>7165</v>
      </c>
      <c r="M243" s="1" t="s">
        <v>603</v>
      </c>
      <c r="N243" t="s">
        <v>649</v>
      </c>
      <c r="O243" s="1" t="s">
        <v>605</v>
      </c>
      <c r="P243" s="1" t="s">
        <v>127</v>
      </c>
      <c r="Q243" s="11" t="s">
        <v>7211</v>
      </c>
      <c r="R243" s="1">
        <v>11</v>
      </c>
      <c r="S243" s="1">
        <v>2124</v>
      </c>
      <c r="T243" s="1" t="s">
        <v>169</v>
      </c>
      <c r="U243" s="1">
        <v>7835031</v>
      </c>
      <c r="V243" t="s">
        <v>2538</v>
      </c>
      <c r="W243" t="s">
        <v>2539</v>
      </c>
      <c r="X243" t="s">
        <v>68</v>
      </c>
      <c r="Y243" t="s">
        <v>2540</v>
      </c>
      <c r="Z243" t="s">
        <v>2541</v>
      </c>
      <c r="AA243" t="s">
        <v>2542</v>
      </c>
      <c r="AB243" t="s">
        <v>2530</v>
      </c>
      <c r="AC243" t="s">
        <v>73</v>
      </c>
      <c r="AD243" t="s">
        <v>2543</v>
      </c>
      <c r="AE243" t="s">
        <v>75</v>
      </c>
      <c r="AF243" t="s">
        <v>76</v>
      </c>
      <c r="AG243" t="s">
        <v>77</v>
      </c>
      <c r="AH243" t="s">
        <v>2544</v>
      </c>
      <c r="AI243" t="s">
        <v>615</v>
      </c>
      <c r="AJ243" t="s">
        <v>616</v>
      </c>
      <c r="AK243" t="s">
        <v>81</v>
      </c>
      <c r="AL243" t="s">
        <v>82</v>
      </c>
      <c r="AM243" t="s">
        <v>83</v>
      </c>
      <c r="AN243">
        <v>2016</v>
      </c>
      <c r="AO243">
        <v>43500</v>
      </c>
      <c r="AP243">
        <v>5280162</v>
      </c>
      <c r="AQ243">
        <v>325</v>
      </c>
      <c r="AR243" t="s">
        <v>84</v>
      </c>
      <c r="AS243">
        <v>562</v>
      </c>
      <c r="AT243" t="s">
        <v>85</v>
      </c>
      <c r="AU243" t="s">
        <v>86</v>
      </c>
      <c r="AV243">
        <v>562</v>
      </c>
      <c r="AW243" t="s">
        <v>2545</v>
      </c>
      <c r="AX243" t="s">
        <v>88</v>
      </c>
      <c r="AZ243" t="s">
        <v>918</v>
      </c>
      <c r="BA243">
        <v>3</v>
      </c>
      <c r="BB243">
        <v>4</v>
      </c>
    </row>
    <row r="244" spans="1:54" x14ac:dyDescent="0.2">
      <c r="A244" t="s">
        <v>2546</v>
      </c>
      <c r="B244" t="s">
        <v>2547</v>
      </c>
      <c r="C244" t="s">
        <v>2548</v>
      </c>
      <c r="D244" t="s">
        <v>2549</v>
      </c>
      <c r="E244" t="s">
        <v>2549</v>
      </c>
      <c r="F244" t="s">
        <v>2035</v>
      </c>
      <c r="G244" t="s">
        <v>56</v>
      </c>
      <c r="H244" t="s">
        <v>58</v>
      </c>
      <c r="I244" t="s">
        <v>2513</v>
      </c>
      <c r="J244" t="s">
        <v>2513</v>
      </c>
      <c r="K244" t="s">
        <v>7165</v>
      </c>
      <c r="L244" t="s">
        <v>7165</v>
      </c>
      <c r="M244" s="1" t="s">
        <v>603</v>
      </c>
      <c r="N244" t="s">
        <v>649</v>
      </c>
      <c r="O244" s="1" t="s">
        <v>605</v>
      </c>
      <c r="P244" s="1" t="s">
        <v>250</v>
      </c>
      <c r="Q244" s="11" t="s">
        <v>7211</v>
      </c>
      <c r="R244" s="1">
        <v>11</v>
      </c>
      <c r="S244" s="1">
        <v>2124</v>
      </c>
      <c r="T244" s="1" t="s">
        <v>169</v>
      </c>
      <c r="U244" s="1">
        <v>7835031</v>
      </c>
      <c r="V244" t="s">
        <v>2550</v>
      </c>
      <c r="W244" t="s">
        <v>2551</v>
      </c>
      <c r="X244" t="s">
        <v>68</v>
      </c>
      <c r="Y244" t="s">
        <v>2552</v>
      </c>
      <c r="Z244" t="s">
        <v>2553</v>
      </c>
      <c r="AA244" t="s">
        <v>2554</v>
      </c>
      <c r="AB244" t="s">
        <v>2530</v>
      </c>
      <c r="AC244" t="s">
        <v>73</v>
      </c>
      <c r="AD244" t="s">
        <v>2555</v>
      </c>
      <c r="AE244" t="s">
        <v>75</v>
      </c>
      <c r="AF244" t="s">
        <v>76</v>
      </c>
      <c r="AG244" t="s">
        <v>77</v>
      </c>
      <c r="AH244" t="s">
        <v>2556</v>
      </c>
      <c r="AI244" t="s">
        <v>615</v>
      </c>
      <c r="AJ244" t="s">
        <v>616</v>
      </c>
      <c r="AK244" t="s">
        <v>81</v>
      </c>
      <c r="AL244" t="s">
        <v>82</v>
      </c>
      <c r="AM244" t="s">
        <v>83</v>
      </c>
      <c r="AN244">
        <v>2016</v>
      </c>
      <c r="AO244">
        <v>84168</v>
      </c>
      <c r="AP244">
        <v>5332423</v>
      </c>
      <c r="AQ244">
        <v>233</v>
      </c>
      <c r="AR244" t="s">
        <v>84</v>
      </c>
      <c r="AS244">
        <v>562</v>
      </c>
      <c r="AT244" t="s">
        <v>85</v>
      </c>
      <c r="AU244" t="s">
        <v>86</v>
      </c>
      <c r="AV244">
        <v>562</v>
      </c>
      <c r="AW244" t="s">
        <v>2557</v>
      </c>
      <c r="AX244" t="s">
        <v>88</v>
      </c>
      <c r="AZ244" t="s">
        <v>918</v>
      </c>
      <c r="BA244">
        <v>1</v>
      </c>
      <c r="BB244">
        <v>2</v>
      </c>
    </row>
    <row r="245" spans="1:54" x14ac:dyDescent="0.2">
      <c r="A245" t="s">
        <v>2558</v>
      </c>
      <c r="B245" t="s">
        <v>2559</v>
      </c>
      <c r="C245" t="s">
        <v>2548</v>
      </c>
      <c r="D245" t="s">
        <v>2560</v>
      </c>
      <c r="E245" t="s">
        <v>2560</v>
      </c>
      <c r="F245" t="s">
        <v>2035</v>
      </c>
      <c r="G245" t="s">
        <v>56</v>
      </c>
      <c r="H245" t="s">
        <v>58</v>
      </c>
      <c r="I245" t="s">
        <v>2513</v>
      </c>
      <c r="J245" t="s">
        <v>2513</v>
      </c>
      <c r="K245" t="s">
        <v>7165</v>
      </c>
      <c r="L245" t="s">
        <v>7165</v>
      </c>
      <c r="M245" s="1" t="s">
        <v>603</v>
      </c>
      <c r="N245" t="s">
        <v>649</v>
      </c>
      <c r="O245" s="1" t="s">
        <v>605</v>
      </c>
      <c r="P245" s="1" t="s">
        <v>250</v>
      </c>
      <c r="Q245" s="11" t="s">
        <v>7194</v>
      </c>
      <c r="R245" s="1">
        <v>11</v>
      </c>
      <c r="S245" s="1">
        <v>2124</v>
      </c>
      <c r="T245" s="1" t="s">
        <v>169</v>
      </c>
      <c r="U245" s="1">
        <v>7835031</v>
      </c>
      <c r="V245" t="s">
        <v>2561</v>
      </c>
      <c r="W245" t="s">
        <v>2562</v>
      </c>
      <c r="X245" t="s">
        <v>68</v>
      </c>
      <c r="Y245" t="s">
        <v>2563</v>
      </c>
      <c r="Z245" t="s">
        <v>2564</v>
      </c>
      <c r="AA245" t="s">
        <v>2565</v>
      </c>
      <c r="AB245" t="s">
        <v>2530</v>
      </c>
      <c r="AC245" t="s">
        <v>73</v>
      </c>
      <c r="AD245" t="s">
        <v>2566</v>
      </c>
      <c r="AE245" t="s">
        <v>75</v>
      </c>
      <c r="AF245" t="s">
        <v>76</v>
      </c>
      <c r="AG245" t="s">
        <v>77</v>
      </c>
      <c r="AH245" t="s">
        <v>2567</v>
      </c>
      <c r="AI245" t="s">
        <v>615</v>
      </c>
      <c r="AJ245" t="s">
        <v>616</v>
      </c>
      <c r="AK245" t="s">
        <v>81</v>
      </c>
      <c r="AL245" t="s">
        <v>82</v>
      </c>
      <c r="AM245" t="s">
        <v>83</v>
      </c>
      <c r="AN245">
        <v>2016</v>
      </c>
      <c r="AO245">
        <v>148434</v>
      </c>
      <c r="AP245">
        <v>5369228</v>
      </c>
      <c r="AQ245">
        <v>166</v>
      </c>
      <c r="AR245" t="s">
        <v>84</v>
      </c>
      <c r="AS245">
        <v>562</v>
      </c>
      <c r="AT245" t="s">
        <v>85</v>
      </c>
      <c r="AU245" t="s">
        <v>86</v>
      </c>
      <c r="AV245">
        <v>562</v>
      </c>
      <c r="AW245" t="s">
        <v>2568</v>
      </c>
      <c r="AX245" t="s">
        <v>88</v>
      </c>
      <c r="AZ245" t="s">
        <v>918</v>
      </c>
      <c r="BA245">
        <v>1</v>
      </c>
      <c r="BB245">
        <v>2</v>
      </c>
    </row>
    <row r="246" spans="1:54" x14ac:dyDescent="0.2">
      <c r="A246" t="s">
        <v>2569</v>
      </c>
      <c r="B246" t="s">
        <v>2570</v>
      </c>
      <c r="C246" t="s">
        <v>2571</v>
      </c>
      <c r="D246" t="s">
        <v>2572</v>
      </c>
      <c r="E246" t="s">
        <v>2572</v>
      </c>
      <c r="G246" t="s">
        <v>56</v>
      </c>
      <c r="H246" t="s">
        <v>58</v>
      </c>
      <c r="I246" t="s">
        <v>2513</v>
      </c>
      <c r="J246" t="s">
        <v>2513</v>
      </c>
      <c r="K246" t="s">
        <v>7165</v>
      </c>
      <c r="L246" t="s">
        <v>7165</v>
      </c>
      <c r="M246" s="1" t="s">
        <v>603</v>
      </c>
      <c r="N246" t="s">
        <v>649</v>
      </c>
      <c r="O246" s="1" t="s">
        <v>605</v>
      </c>
      <c r="P246" s="1" t="s">
        <v>250</v>
      </c>
      <c r="Q246" s="11" t="s">
        <v>7211</v>
      </c>
      <c r="R246" s="1">
        <v>11</v>
      </c>
      <c r="S246" s="1">
        <v>2124</v>
      </c>
      <c r="T246" s="1" t="s">
        <v>169</v>
      </c>
      <c r="U246" s="1" t="s">
        <v>170</v>
      </c>
      <c r="V246" t="s">
        <v>2573</v>
      </c>
      <c r="W246" t="s">
        <v>2574</v>
      </c>
      <c r="X246" t="s">
        <v>68</v>
      </c>
      <c r="Y246" t="s">
        <v>2575</v>
      </c>
      <c r="Z246" t="s">
        <v>2576</v>
      </c>
      <c r="AA246" t="s">
        <v>2577</v>
      </c>
      <c r="AB246" t="s">
        <v>2530</v>
      </c>
      <c r="AC246" t="s">
        <v>73</v>
      </c>
      <c r="AD246" t="s">
        <v>2578</v>
      </c>
      <c r="AE246" t="s">
        <v>75</v>
      </c>
      <c r="AF246" t="s">
        <v>76</v>
      </c>
      <c r="AG246" t="s">
        <v>77</v>
      </c>
      <c r="AH246" t="s">
        <v>2520</v>
      </c>
      <c r="AI246" t="s">
        <v>615</v>
      </c>
      <c r="AJ246" t="s">
        <v>616</v>
      </c>
      <c r="AK246" t="s">
        <v>81</v>
      </c>
      <c r="AL246" t="s">
        <v>82</v>
      </c>
      <c r="AM246" t="s">
        <v>83</v>
      </c>
      <c r="AN246">
        <v>2016</v>
      </c>
      <c r="AO246">
        <v>160449</v>
      </c>
      <c r="AP246">
        <v>5361179</v>
      </c>
      <c r="AQ246">
        <v>165</v>
      </c>
      <c r="AR246" t="s">
        <v>84</v>
      </c>
      <c r="AS246">
        <v>562</v>
      </c>
      <c r="AT246" t="s">
        <v>85</v>
      </c>
      <c r="AU246" t="s">
        <v>86</v>
      </c>
      <c r="AV246">
        <v>562</v>
      </c>
      <c r="AW246" t="s">
        <v>2579</v>
      </c>
      <c r="AX246" t="s">
        <v>88</v>
      </c>
      <c r="AZ246" t="s">
        <v>918</v>
      </c>
      <c r="BA246">
        <v>0</v>
      </c>
      <c r="BB246">
        <v>1</v>
      </c>
    </row>
    <row r="247" spans="1:54" x14ac:dyDescent="0.2">
      <c r="A247" t="s">
        <v>2672</v>
      </c>
      <c r="B247" t="s">
        <v>2673</v>
      </c>
      <c r="C247" t="s">
        <v>2661</v>
      </c>
      <c r="D247" t="s">
        <v>2674</v>
      </c>
      <c r="E247" t="s">
        <v>2674</v>
      </c>
      <c r="G247" t="s">
        <v>56</v>
      </c>
      <c r="H247" t="s">
        <v>58</v>
      </c>
      <c r="I247" t="s">
        <v>2663</v>
      </c>
      <c r="J247" t="s">
        <v>2663</v>
      </c>
      <c r="K247" t="s">
        <v>7165</v>
      </c>
      <c r="L247" t="s">
        <v>7165</v>
      </c>
      <c r="M247" s="1" t="s">
        <v>603</v>
      </c>
      <c r="N247" t="s">
        <v>649</v>
      </c>
      <c r="O247" s="1" t="s">
        <v>605</v>
      </c>
      <c r="P247" s="1" t="s">
        <v>127</v>
      </c>
      <c r="Q247" s="11" t="s">
        <v>7211</v>
      </c>
      <c r="R247" s="1">
        <v>11</v>
      </c>
      <c r="S247" s="1">
        <v>2124</v>
      </c>
      <c r="T247" s="1" t="s">
        <v>169</v>
      </c>
      <c r="U247" s="1" t="s">
        <v>170</v>
      </c>
      <c r="V247" t="s">
        <v>2675</v>
      </c>
      <c r="W247" t="s">
        <v>2676</v>
      </c>
      <c r="X247" t="s">
        <v>68</v>
      </c>
      <c r="Y247" t="s">
        <v>2677</v>
      </c>
      <c r="Z247" t="s">
        <v>2678</v>
      </c>
      <c r="AA247" t="s">
        <v>2679</v>
      </c>
      <c r="AB247" t="s">
        <v>2530</v>
      </c>
      <c r="AC247" t="s">
        <v>73</v>
      </c>
      <c r="AD247" t="s">
        <v>2680</v>
      </c>
      <c r="AE247" t="s">
        <v>75</v>
      </c>
      <c r="AF247" t="s">
        <v>76</v>
      </c>
      <c r="AG247" t="s">
        <v>77</v>
      </c>
      <c r="AH247" t="s">
        <v>669</v>
      </c>
      <c r="AI247" t="s">
        <v>615</v>
      </c>
      <c r="AJ247" t="s">
        <v>616</v>
      </c>
      <c r="AK247" t="s">
        <v>81</v>
      </c>
      <c r="AL247" t="s">
        <v>82</v>
      </c>
      <c r="AM247" t="s">
        <v>83</v>
      </c>
      <c r="AN247">
        <v>2016</v>
      </c>
      <c r="AO247">
        <v>188064</v>
      </c>
      <c r="AP247">
        <v>5346724</v>
      </c>
      <c r="AQ247">
        <v>170</v>
      </c>
      <c r="AR247" t="s">
        <v>84</v>
      </c>
      <c r="AS247">
        <v>562</v>
      </c>
      <c r="AT247" t="s">
        <v>85</v>
      </c>
      <c r="AU247" t="s">
        <v>86</v>
      </c>
      <c r="AV247">
        <v>562</v>
      </c>
      <c r="AW247" t="s">
        <v>2681</v>
      </c>
      <c r="AX247" t="s">
        <v>88</v>
      </c>
      <c r="AZ247" t="s">
        <v>841</v>
      </c>
      <c r="BA247">
        <v>0</v>
      </c>
      <c r="BB247">
        <v>2</v>
      </c>
    </row>
    <row r="248" spans="1:54" x14ac:dyDescent="0.2">
      <c r="A248" t="s">
        <v>5317</v>
      </c>
      <c r="B248" t="s">
        <v>5318</v>
      </c>
      <c r="C248" t="s">
        <v>5319</v>
      </c>
      <c r="D248" t="s">
        <v>5320</v>
      </c>
      <c r="E248" t="s">
        <v>5320</v>
      </c>
      <c r="G248" t="s">
        <v>56</v>
      </c>
      <c r="H248" t="s">
        <v>93</v>
      </c>
      <c r="I248" t="s">
        <v>5321</v>
      </c>
      <c r="J248" t="s">
        <v>5321</v>
      </c>
      <c r="K248" t="s">
        <v>7165</v>
      </c>
      <c r="L248" t="s">
        <v>7165</v>
      </c>
      <c r="M248" s="1" t="s">
        <v>5322</v>
      </c>
      <c r="N248" t="s">
        <v>5323</v>
      </c>
      <c r="O248" s="1" t="s">
        <v>166</v>
      </c>
      <c r="P248" s="1" t="s">
        <v>250</v>
      </c>
      <c r="Q248" s="11" t="s">
        <v>7327</v>
      </c>
      <c r="R248" s="1">
        <v>10</v>
      </c>
      <c r="S248" s="1">
        <v>2010</v>
      </c>
      <c r="T248" s="1" t="s">
        <v>5324</v>
      </c>
      <c r="U248" s="1">
        <v>7998305</v>
      </c>
      <c r="V248" t="s">
        <v>5325</v>
      </c>
      <c r="X248" t="s">
        <v>68</v>
      </c>
      <c r="Y248" t="s">
        <v>5326</v>
      </c>
      <c r="Z248" t="s">
        <v>5327</v>
      </c>
      <c r="AA248" t="s">
        <v>5328</v>
      </c>
      <c r="AB248" t="s">
        <v>642</v>
      </c>
      <c r="AC248" t="s">
        <v>73</v>
      </c>
      <c r="AE248" t="s">
        <v>5329</v>
      </c>
      <c r="AF248" t="s">
        <v>76</v>
      </c>
      <c r="AG248" t="s">
        <v>77</v>
      </c>
      <c r="AH248" t="s">
        <v>5330</v>
      </c>
      <c r="AI248" t="s">
        <v>5331</v>
      </c>
      <c r="AJ248" t="s">
        <v>5332</v>
      </c>
      <c r="AK248" t="s">
        <v>81</v>
      </c>
      <c r="AL248" t="s">
        <v>82</v>
      </c>
      <c r="AM248" t="s">
        <v>3457</v>
      </c>
      <c r="AN248">
        <v>2016</v>
      </c>
      <c r="AO248">
        <v>210285</v>
      </c>
      <c r="AP248">
        <v>5168139</v>
      </c>
      <c r="AQ248">
        <v>75</v>
      </c>
      <c r="AR248" t="s">
        <v>84</v>
      </c>
      <c r="AS248">
        <v>562</v>
      </c>
      <c r="AV248">
        <v>562</v>
      </c>
      <c r="AX248" t="s">
        <v>88</v>
      </c>
    </row>
    <row r="249" spans="1:54" x14ac:dyDescent="0.2">
      <c r="A249" t="s">
        <v>633</v>
      </c>
      <c r="B249" t="s">
        <v>634</v>
      </c>
      <c r="C249" t="s">
        <v>635</v>
      </c>
      <c r="D249" t="s">
        <v>636</v>
      </c>
      <c r="E249" t="s">
        <v>636</v>
      </c>
      <c r="G249" t="s">
        <v>56</v>
      </c>
      <c r="H249" t="s">
        <v>58</v>
      </c>
      <c r="I249" t="s">
        <v>602</v>
      </c>
      <c r="J249" t="s">
        <v>602</v>
      </c>
      <c r="K249" t="s">
        <v>7162</v>
      </c>
      <c r="L249" t="s">
        <v>7162</v>
      </c>
      <c r="M249" s="1" t="s">
        <v>603</v>
      </c>
      <c r="N249" t="s">
        <v>604</v>
      </c>
      <c r="O249" s="1" t="s">
        <v>605</v>
      </c>
      <c r="P249" s="1" t="s">
        <v>127</v>
      </c>
      <c r="Q249" s="11" t="s">
        <v>7194</v>
      </c>
      <c r="R249" s="1">
        <v>11</v>
      </c>
      <c r="S249" s="1">
        <v>2124</v>
      </c>
      <c r="T249" s="1" t="s">
        <v>169</v>
      </c>
      <c r="U249" s="1" t="s">
        <v>170</v>
      </c>
      <c r="V249" t="s">
        <v>637</v>
      </c>
      <c r="W249" t="s">
        <v>638</v>
      </c>
      <c r="X249" t="s">
        <v>68</v>
      </c>
      <c r="Y249" t="s">
        <v>639</v>
      </c>
      <c r="Z249" t="s">
        <v>640</v>
      </c>
      <c r="AA249" t="s">
        <v>641</v>
      </c>
      <c r="AB249" t="s">
        <v>642</v>
      </c>
      <c r="AC249" t="s">
        <v>73</v>
      </c>
      <c r="AD249" t="s">
        <v>643</v>
      </c>
      <c r="AE249" t="s">
        <v>75</v>
      </c>
      <c r="AF249" t="s">
        <v>76</v>
      </c>
      <c r="AG249" t="s">
        <v>77</v>
      </c>
      <c r="AH249" t="s">
        <v>614</v>
      </c>
      <c r="AI249" t="s">
        <v>615</v>
      </c>
      <c r="AJ249" t="s">
        <v>616</v>
      </c>
      <c r="AK249" t="s">
        <v>81</v>
      </c>
      <c r="AL249" t="s">
        <v>82</v>
      </c>
      <c r="AM249" t="s">
        <v>83</v>
      </c>
      <c r="AN249">
        <v>2000</v>
      </c>
      <c r="AO249">
        <v>160449</v>
      </c>
      <c r="AP249">
        <v>5419829</v>
      </c>
      <c r="AQ249">
        <v>187</v>
      </c>
      <c r="AR249" t="s">
        <v>84</v>
      </c>
      <c r="AS249">
        <v>562</v>
      </c>
      <c r="AT249" t="s">
        <v>85</v>
      </c>
      <c r="AU249" t="s">
        <v>86</v>
      </c>
      <c r="AV249">
        <v>562</v>
      </c>
      <c r="AW249" t="s">
        <v>644</v>
      </c>
      <c r="AX249" t="s">
        <v>88</v>
      </c>
      <c r="AZ249" t="s">
        <v>618</v>
      </c>
      <c r="BA249">
        <v>1</v>
      </c>
      <c r="BB249">
        <v>32</v>
      </c>
    </row>
    <row r="250" spans="1:54" x14ac:dyDescent="0.2">
      <c r="A250" t="s">
        <v>645</v>
      </c>
      <c r="B250" t="s">
        <v>645</v>
      </c>
      <c r="C250" t="s">
        <v>646</v>
      </c>
      <c r="D250" t="s">
        <v>647</v>
      </c>
      <c r="E250" t="s">
        <v>647</v>
      </c>
      <c r="G250" t="s">
        <v>56</v>
      </c>
      <c r="H250" t="s">
        <v>58</v>
      </c>
      <c r="I250" t="s">
        <v>648</v>
      </c>
      <c r="J250" t="s">
        <v>648</v>
      </c>
      <c r="K250" t="s">
        <v>7165</v>
      </c>
      <c r="L250" t="s">
        <v>7165</v>
      </c>
      <c r="M250" s="1" t="s">
        <v>603</v>
      </c>
      <c r="N250" t="s">
        <v>649</v>
      </c>
      <c r="O250" s="1" t="s">
        <v>650</v>
      </c>
      <c r="P250" s="1" t="s">
        <v>127</v>
      </c>
      <c r="Q250" s="11" t="s">
        <v>7194</v>
      </c>
      <c r="R250" s="1">
        <v>11</v>
      </c>
      <c r="S250" s="1">
        <v>30512</v>
      </c>
      <c r="T250" s="1" t="s">
        <v>651</v>
      </c>
      <c r="U250" s="1">
        <v>0</v>
      </c>
      <c r="V250" t="s">
        <v>652</v>
      </c>
      <c r="W250" t="s">
        <v>653</v>
      </c>
      <c r="X250" t="s">
        <v>68</v>
      </c>
      <c r="Y250" t="s">
        <v>654</v>
      </c>
      <c r="Z250" t="s">
        <v>655</v>
      </c>
      <c r="AA250" t="s">
        <v>656</v>
      </c>
      <c r="AB250" t="s">
        <v>642</v>
      </c>
      <c r="AC250" t="s">
        <v>73</v>
      </c>
      <c r="AD250" t="s">
        <v>657</v>
      </c>
      <c r="AE250" t="s">
        <v>75</v>
      </c>
      <c r="AF250" t="s">
        <v>76</v>
      </c>
      <c r="AG250" t="s">
        <v>77</v>
      </c>
      <c r="AH250" t="s">
        <v>630</v>
      </c>
      <c r="AI250" t="s">
        <v>615</v>
      </c>
      <c r="AJ250" t="s">
        <v>616</v>
      </c>
      <c r="AK250" t="s">
        <v>81</v>
      </c>
      <c r="AL250" t="s">
        <v>82</v>
      </c>
      <c r="AM250" t="s">
        <v>83</v>
      </c>
      <c r="AN250">
        <v>2001</v>
      </c>
      <c r="AO250">
        <v>150261</v>
      </c>
      <c r="AP250">
        <v>5380523</v>
      </c>
      <c r="AQ250">
        <v>228</v>
      </c>
      <c r="AR250" t="s">
        <v>84</v>
      </c>
      <c r="AS250">
        <v>562</v>
      </c>
      <c r="AT250" t="s">
        <v>85</v>
      </c>
      <c r="AU250" t="s">
        <v>86</v>
      </c>
      <c r="AV250">
        <v>562</v>
      </c>
      <c r="AW250" t="s">
        <v>658</v>
      </c>
      <c r="AX250" t="s">
        <v>88</v>
      </c>
      <c r="AZ250" t="s">
        <v>659</v>
      </c>
      <c r="BA250">
        <v>18</v>
      </c>
      <c r="BB250">
        <v>15</v>
      </c>
    </row>
    <row r="251" spans="1:54" x14ac:dyDescent="0.2">
      <c r="A251" t="s">
        <v>660</v>
      </c>
      <c r="B251" t="s">
        <v>660</v>
      </c>
      <c r="C251" t="s">
        <v>661</v>
      </c>
      <c r="D251" t="s">
        <v>662</v>
      </c>
      <c r="E251" t="s">
        <v>662</v>
      </c>
      <c r="G251" t="s">
        <v>56</v>
      </c>
      <c r="H251" t="s">
        <v>58</v>
      </c>
      <c r="I251" t="s">
        <v>648</v>
      </c>
      <c r="J251" t="s">
        <v>648</v>
      </c>
      <c r="K251" t="s">
        <v>7165</v>
      </c>
      <c r="L251" t="s">
        <v>7165</v>
      </c>
      <c r="M251" s="1" t="s">
        <v>603</v>
      </c>
      <c r="N251" t="s">
        <v>649</v>
      </c>
      <c r="O251" s="1" t="s">
        <v>650</v>
      </c>
      <c r="P251" s="1" t="s">
        <v>127</v>
      </c>
      <c r="Q251" s="11" t="s">
        <v>7194</v>
      </c>
      <c r="R251" s="1">
        <v>11</v>
      </c>
      <c r="S251" s="1">
        <v>2124</v>
      </c>
      <c r="T251" s="1" t="s">
        <v>651</v>
      </c>
      <c r="U251" s="1">
        <v>0</v>
      </c>
      <c r="V251" t="s">
        <v>663</v>
      </c>
      <c r="W251" t="s">
        <v>664</v>
      </c>
      <c r="X251" t="s">
        <v>68</v>
      </c>
      <c r="Y251" t="s">
        <v>665</v>
      </c>
      <c r="Z251" t="s">
        <v>666</v>
      </c>
      <c r="AA251" t="s">
        <v>667</v>
      </c>
      <c r="AB251" t="s">
        <v>642</v>
      </c>
      <c r="AC251" t="s">
        <v>73</v>
      </c>
      <c r="AD251" t="s">
        <v>668</v>
      </c>
      <c r="AE251" t="s">
        <v>75</v>
      </c>
      <c r="AF251" t="s">
        <v>76</v>
      </c>
      <c r="AG251" t="s">
        <v>77</v>
      </c>
      <c r="AH251" t="s">
        <v>669</v>
      </c>
      <c r="AI251" t="s">
        <v>615</v>
      </c>
      <c r="AJ251" t="s">
        <v>616</v>
      </c>
      <c r="AK251" t="s">
        <v>81</v>
      </c>
      <c r="AL251" t="s">
        <v>82</v>
      </c>
      <c r="AM251" t="s">
        <v>83</v>
      </c>
      <c r="AN251">
        <v>2001</v>
      </c>
      <c r="AO251">
        <v>142555</v>
      </c>
      <c r="AP251">
        <v>5328687</v>
      </c>
      <c r="AQ251">
        <v>189</v>
      </c>
      <c r="AR251" t="s">
        <v>84</v>
      </c>
      <c r="AS251">
        <v>562</v>
      </c>
      <c r="AT251" t="s">
        <v>85</v>
      </c>
      <c r="AU251" t="s">
        <v>86</v>
      </c>
      <c r="AV251">
        <v>562</v>
      </c>
      <c r="AW251" t="s">
        <v>670</v>
      </c>
      <c r="AX251" t="s">
        <v>88</v>
      </c>
    </row>
    <row r="252" spans="1:54" x14ac:dyDescent="0.2">
      <c r="A252" t="s">
        <v>671</v>
      </c>
      <c r="B252" t="s">
        <v>671</v>
      </c>
      <c r="C252" t="s">
        <v>672</v>
      </c>
      <c r="D252" t="s">
        <v>673</v>
      </c>
      <c r="E252" t="s">
        <v>673</v>
      </c>
      <c r="G252" t="s">
        <v>56</v>
      </c>
      <c r="H252" t="s">
        <v>58</v>
      </c>
      <c r="I252" t="s">
        <v>648</v>
      </c>
      <c r="J252" t="s">
        <v>648</v>
      </c>
      <c r="K252" t="s">
        <v>7165</v>
      </c>
      <c r="L252" t="s">
        <v>7165</v>
      </c>
      <c r="M252" s="1" t="s">
        <v>603</v>
      </c>
      <c r="N252" t="s">
        <v>649</v>
      </c>
      <c r="O252" s="1" t="s">
        <v>674</v>
      </c>
      <c r="P252" s="1" t="s">
        <v>64</v>
      </c>
      <c r="Q252" s="11" t="s">
        <v>7220</v>
      </c>
      <c r="R252" s="1">
        <v>11</v>
      </c>
      <c r="S252" s="1">
        <v>2124</v>
      </c>
      <c r="T252" s="1" t="s">
        <v>651</v>
      </c>
      <c r="U252" s="1">
        <v>0</v>
      </c>
      <c r="V252" t="s">
        <v>676</v>
      </c>
      <c r="W252" t="s">
        <v>677</v>
      </c>
      <c r="X252" t="s">
        <v>68</v>
      </c>
      <c r="Y252" t="s">
        <v>678</v>
      </c>
      <c r="Z252" t="s">
        <v>679</v>
      </c>
      <c r="AA252" t="s">
        <v>680</v>
      </c>
      <c r="AB252" t="s">
        <v>642</v>
      </c>
      <c r="AC252" t="s">
        <v>73</v>
      </c>
      <c r="AD252" t="s">
        <v>681</v>
      </c>
      <c r="AE252" t="s">
        <v>75</v>
      </c>
      <c r="AF252" t="s">
        <v>76</v>
      </c>
      <c r="AG252" t="s">
        <v>77</v>
      </c>
      <c r="AH252" t="s">
        <v>682</v>
      </c>
      <c r="AI252" t="s">
        <v>615</v>
      </c>
      <c r="AJ252" t="s">
        <v>616</v>
      </c>
      <c r="AK252" t="s">
        <v>81</v>
      </c>
      <c r="AL252" t="s">
        <v>82</v>
      </c>
      <c r="AM252" t="s">
        <v>83</v>
      </c>
      <c r="AN252">
        <v>2001</v>
      </c>
      <c r="AO252">
        <v>157599</v>
      </c>
      <c r="AP252">
        <v>5373582</v>
      </c>
      <c r="AQ252">
        <v>165</v>
      </c>
      <c r="AR252" t="s">
        <v>84</v>
      </c>
      <c r="AS252">
        <v>562</v>
      </c>
      <c r="AT252" t="s">
        <v>85</v>
      </c>
      <c r="AU252" t="s">
        <v>86</v>
      </c>
      <c r="AV252">
        <v>562</v>
      </c>
      <c r="AW252" t="s">
        <v>683</v>
      </c>
      <c r="AX252" t="s">
        <v>88</v>
      </c>
      <c r="AZ252" t="s">
        <v>632</v>
      </c>
      <c r="BA252">
        <v>28</v>
      </c>
      <c r="BB252">
        <v>26</v>
      </c>
    </row>
    <row r="253" spans="1:54" x14ac:dyDescent="0.2">
      <c r="A253" t="s">
        <v>684</v>
      </c>
      <c r="B253" t="s">
        <v>684</v>
      </c>
      <c r="C253" t="s">
        <v>685</v>
      </c>
      <c r="D253" t="s">
        <v>686</v>
      </c>
      <c r="E253" t="s">
        <v>686</v>
      </c>
      <c r="G253" t="s">
        <v>56</v>
      </c>
      <c r="H253" t="s">
        <v>58</v>
      </c>
      <c r="I253" t="s">
        <v>648</v>
      </c>
      <c r="J253" t="s">
        <v>648</v>
      </c>
      <c r="K253" t="s">
        <v>7165</v>
      </c>
      <c r="L253" t="s">
        <v>7165</v>
      </c>
      <c r="M253" s="1" t="s">
        <v>603</v>
      </c>
      <c r="N253" t="s">
        <v>604</v>
      </c>
      <c r="O253" s="1" t="s">
        <v>605</v>
      </c>
      <c r="P253" s="1" t="s">
        <v>127</v>
      </c>
      <c r="Q253" s="11" t="s">
        <v>7194</v>
      </c>
      <c r="R253" s="1">
        <v>11</v>
      </c>
      <c r="S253" s="1">
        <v>2124</v>
      </c>
      <c r="T253" s="1" t="s">
        <v>169</v>
      </c>
      <c r="U253" s="1" t="s">
        <v>170</v>
      </c>
      <c r="V253" t="s">
        <v>687</v>
      </c>
      <c r="W253" t="s">
        <v>688</v>
      </c>
      <c r="X253" t="s">
        <v>68</v>
      </c>
      <c r="Y253" t="s">
        <v>689</v>
      </c>
      <c r="Z253" t="s">
        <v>690</v>
      </c>
      <c r="AA253" t="s">
        <v>691</v>
      </c>
      <c r="AB253" t="s">
        <v>692</v>
      </c>
      <c r="AC253" t="s">
        <v>73</v>
      </c>
      <c r="AD253" t="s">
        <v>693</v>
      </c>
      <c r="AE253" t="s">
        <v>75</v>
      </c>
      <c r="AF253" t="s">
        <v>76</v>
      </c>
      <c r="AG253" t="s">
        <v>77</v>
      </c>
      <c r="AH253" t="s">
        <v>694</v>
      </c>
      <c r="AI253" t="s">
        <v>615</v>
      </c>
      <c r="AJ253" t="s">
        <v>616</v>
      </c>
      <c r="AK253" t="s">
        <v>81</v>
      </c>
      <c r="AL253" t="s">
        <v>82</v>
      </c>
      <c r="AM253" t="s">
        <v>83</v>
      </c>
      <c r="AN253">
        <v>2002</v>
      </c>
      <c r="AO253">
        <v>146507</v>
      </c>
      <c r="AP253">
        <v>5443939</v>
      </c>
      <c r="AQ253">
        <v>216</v>
      </c>
      <c r="AR253" t="s">
        <v>84</v>
      </c>
      <c r="AS253">
        <v>562</v>
      </c>
      <c r="AT253" t="s">
        <v>85</v>
      </c>
      <c r="AU253" t="s">
        <v>86</v>
      </c>
      <c r="AV253">
        <v>562</v>
      </c>
      <c r="AW253" t="s">
        <v>695</v>
      </c>
      <c r="AX253" t="s">
        <v>88</v>
      </c>
      <c r="AZ253" t="s">
        <v>696</v>
      </c>
      <c r="BB253">
        <v>12</v>
      </c>
    </row>
    <row r="254" spans="1:54" x14ac:dyDescent="0.2">
      <c r="A254" t="s">
        <v>697</v>
      </c>
      <c r="B254" t="s">
        <v>697</v>
      </c>
      <c r="C254" t="s">
        <v>698</v>
      </c>
      <c r="D254" t="s">
        <v>699</v>
      </c>
      <c r="E254" t="s">
        <v>699</v>
      </c>
      <c r="G254" t="s">
        <v>56</v>
      </c>
      <c r="H254" t="s">
        <v>58</v>
      </c>
      <c r="I254" t="s">
        <v>700</v>
      </c>
      <c r="J254" t="s">
        <v>700</v>
      </c>
      <c r="K254" t="s">
        <v>7165</v>
      </c>
      <c r="L254" t="s">
        <v>7165</v>
      </c>
      <c r="M254" s="1" t="s">
        <v>603</v>
      </c>
      <c r="N254" t="s">
        <v>649</v>
      </c>
      <c r="O254" s="1" t="s">
        <v>674</v>
      </c>
      <c r="P254" s="1" t="s">
        <v>270</v>
      </c>
      <c r="Q254" s="11" t="s">
        <v>7339</v>
      </c>
      <c r="R254" s="1">
        <v>11</v>
      </c>
      <c r="S254" s="1">
        <v>2131</v>
      </c>
      <c r="T254" s="1" t="s">
        <v>651</v>
      </c>
      <c r="U254" s="1" t="s">
        <v>170</v>
      </c>
      <c r="V254" t="s">
        <v>702</v>
      </c>
      <c r="W254" t="s">
        <v>703</v>
      </c>
      <c r="X254" t="s">
        <v>68</v>
      </c>
      <c r="Y254" t="s">
        <v>704</v>
      </c>
      <c r="Z254" t="s">
        <v>705</v>
      </c>
      <c r="AA254" t="s">
        <v>706</v>
      </c>
      <c r="AB254" t="s">
        <v>692</v>
      </c>
      <c r="AC254" t="s">
        <v>73</v>
      </c>
      <c r="AD254" t="s">
        <v>707</v>
      </c>
      <c r="AE254" t="s">
        <v>75</v>
      </c>
      <c r="AF254" t="s">
        <v>76</v>
      </c>
      <c r="AG254" t="s">
        <v>77</v>
      </c>
      <c r="AH254" t="s">
        <v>708</v>
      </c>
      <c r="AI254" t="s">
        <v>615</v>
      </c>
      <c r="AJ254" t="s">
        <v>616</v>
      </c>
      <c r="AK254" t="s">
        <v>81</v>
      </c>
      <c r="AL254" t="s">
        <v>82</v>
      </c>
      <c r="AM254" t="s">
        <v>83</v>
      </c>
      <c r="AN254">
        <v>2004</v>
      </c>
      <c r="AO254">
        <v>175086</v>
      </c>
      <c r="AP254">
        <v>5306769</v>
      </c>
      <c r="AQ254">
        <v>185</v>
      </c>
      <c r="AR254" t="s">
        <v>84</v>
      </c>
      <c r="AS254">
        <v>562</v>
      </c>
      <c r="AT254" t="s">
        <v>85</v>
      </c>
      <c r="AU254" t="s">
        <v>86</v>
      </c>
      <c r="AV254">
        <v>562</v>
      </c>
      <c r="AW254" t="s">
        <v>709</v>
      </c>
      <c r="AX254" t="s">
        <v>88</v>
      </c>
      <c r="AZ254" t="s">
        <v>710</v>
      </c>
      <c r="BA254">
        <v>0</v>
      </c>
      <c r="BB254">
        <v>25</v>
      </c>
    </row>
    <row r="255" spans="1:54" x14ac:dyDescent="0.2">
      <c r="A255" t="s">
        <v>711</v>
      </c>
      <c r="B255" t="s">
        <v>711</v>
      </c>
      <c r="C255" t="s">
        <v>698</v>
      </c>
      <c r="D255" t="s">
        <v>712</v>
      </c>
      <c r="E255" t="s">
        <v>712</v>
      </c>
      <c r="G255" t="s">
        <v>56</v>
      </c>
      <c r="H255" t="s">
        <v>58</v>
      </c>
      <c r="I255" t="s">
        <v>700</v>
      </c>
      <c r="J255" t="s">
        <v>700</v>
      </c>
      <c r="K255" t="s">
        <v>7165</v>
      </c>
      <c r="L255" t="s">
        <v>7165</v>
      </c>
      <c r="M255" s="1" t="s">
        <v>603</v>
      </c>
      <c r="N255" t="s">
        <v>649</v>
      </c>
      <c r="O255" s="1" t="s">
        <v>674</v>
      </c>
      <c r="P255" s="1" t="s">
        <v>64</v>
      </c>
      <c r="Q255" s="11" t="s">
        <v>7293</v>
      </c>
      <c r="R255" s="1">
        <v>11</v>
      </c>
      <c r="S255" s="1">
        <v>2131</v>
      </c>
      <c r="T255" s="1" t="s">
        <v>651</v>
      </c>
      <c r="U255" s="1" t="s">
        <v>170</v>
      </c>
      <c r="V255" t="s">
        <v>714</v>
      </c>
      <c r="W255" t="s">
        <v>715</v>
      </c>
      <c r="X255" t="s">
        <v>68</v>
      </c>
      <c r="Y255" t="s">
        <v>716</v>
      </c>
      <c r="Z255" t="s">
        <v>717</v>
      </c>
      <c r="AA255" t="s">
        <v>718</v>
      </c>
      <c r="AB255" t="s">
        <v>692</v>
      </c>
      <c r="AC255" t="s">
        <v>73</v>
      </c>
      <c r="AD255" t="s">
        <v>719</v>
      </c>
      <c r="AF255" t="s">
        <v>76</v>
      </c>
      <c r="AG255" t="s">
        <v>77</v>
      </c>
      <c r="AH255" t="s">
        <v>720</v>
      </c>
      <c r="AI255" t="s">
        <v>615</v>
      </c>
      <c r="AJ255" t="s">
        <v>721</v>
      </c>
      <c r="AK255" t="s">
        <v>532</v>
      </c>
      <c r="AL255" t="s">
        <v>533</v>
      </c>
      <c r="AM255" t="s">
        <v>83</v>
      </c>
      <c r="AN255">
        <v>2004</v>
      </c>
      <c r="AO255">
        <v>136107</v>
      </c>
      <c r="AP255">
        <v>5361234</v>
      </c>
      <c r="AQ255">
        <v>218</v>
      </c>
      <c r="AR255" t="s">
        <v>84</v>
      </c>
      <c r="AS255">
        <v>562</v>
      </c>
      <c r="AT255" t="s">
        <v>85</v>
      </c>
      <c r="AU255" t="s">
        <v>86</v>
      </c>
      <c r="AV255">
        <v>562</v>
      </c>
      <c r="AW255" t="s">
        <v>722</v>
      </c>
      <c r="AX255" t="s">
        <v>88</v>
      </c>
      <c r="AZ255" t="s">
        <v>710</v>
      </c>
      <c r="BA255">
        <v>0</v>
      </c>
      <c r="BB255">
        <v>25</v>
      </c>
    </row>
    <row r="256" spans="1:54" x14ac:dyDescent="0.2">
      <c r="A256" t="s">
        <v>723</v>
      </c>
      <c r="B256" t="s">
        <v>723</v>
      </c>
      <c r="C256" t="s">
        <v>724</v>
      </c>
      <c r="D256" t="s">
        <v>725</v>
      </c>
      <c r="E256" t="s">
        <v>725</v>
      </c>
      <c r="G256" t="s">
        <v>56</v>
      </c>
      <c r="H256" t="s">
        <v>58</v>
      </c>
      <c r="I256" t="s">
        <v>726</v>
      </c>
      <c r="J256" t="s">
        <v>726</v>
      </c>
      <c r="K256" t="s">
        <v>7165</v>
      </c>
      <c r="L256" t="s">
        <v>7165</v>
      </c>
      <c r="M256" s="1" t="s">
        <v>603</v>
      </c>
      <c r="N256" t="s">
        <v>649</v>
      </c>
      <c r="O256" s="1" t="s">
        <v>650</v>
      </c>
      <c r="P256" s="1" t="s">
        <v>127</v>
      </c>
      <c r="Q256" s="11" t="s">
        <v>7194</v>
      </c>
      <c r="R256" s="1">
        <v>11</v>
      </c>
      <c r="S256" s="1">
        <v>2133</v>
      </c>
      <c r="T256" s="1" t="s">
        <v>651</v>
      </c>
      <c r="U256" s="1" t="s">
        <v>170</v>
      </c>
      <c r="V256" t="s">
        <v>727</v>
      </c>
      <c r="W256" t="s">
        <v>728</v>
      </c>
      <c r="X256" t="s">
        <v>68</v>
      </c>
      <c r="Y256" t="s">
        <v>729</v>
      </c>
      <c r="Z256" t="s">
        <v>730</v>
      </c>
      <c r="AA256" t="s">
        <v>731</v>
      </c>
      <c r="AB256" t="s">
        <v>692</v>
      </c>
      <c r="AC256" t="s">
        <v>73</v>
      </c>
      <c r="AD256" t="s">
        <v>732</v>
      </c>
      <c r="AE256" t="s">
        <v>75</v>
      </c>
      <c r="AF256" t="s">
        <v>76</v>
      </c>
      <c r="AG256" t="s">
        <v>77</v>
      </c>
      <c r="AH256" t="s">
        <v>733</v>
      </c>
      <c r="AI256" t="s">
        <v>615</v>
      </c>
      <c r="AJ256" t="s">
        <v>616</v>
      </c>
      <c r="AK256" t="s">
        <v>81</v>
      </c>
      <c r="AL256" t="s">
        <v>82</v>
      </c>
      <c r="AM256" t="s">
        <v>83</v>
      </c>
      <c r="AN256">
        <v>2004</v>
      </c>
      <c r="AO256">
        <v>71779</v>
      </c>
      <c r="AP256">
        <v>5333120</v>
      </c>
      <c r="AQ256">
        <v>278</v>
      </c>
      <c r="AR256" t="s">
        <v>84</v>
      </c>
      <c r="AS256">
        <v>562</v>
      </c>
      <c r="AT256" t="s">
        <v>85</v>
      </c>
      <c r="AU256" t="s">
        <v>86</v>
      </c>
      <c r="AV256">
        <v>562</v>
      </c>
      <c r="AW256" t="s">
        <v>734</v>
      </c>
      <c r="AX256" t="s">
        <v>88</v>
      </c>
      <c r="AZ256" t="s">
        <v>735</v>
      </c>
      <c r="BA256">
        <v>7</v>
      </c>
      <c r="BB256">
        <v>6</v>
      </c>
    </row>
    <row r="257" spans="1:54" x14ac:dyDescent="0.2">
      <c r="A257" t="s">
        <v>736</v>
      </c>
      <c r="B257" t="s">
        <v>736</v>
      </c>
      <c r="C257" t="s">
        <v>737</v>
      </c>
      <c r="D257" t="s">
        <v>738</v>
      </c>
      <c r="E257" t="s">
        <v>738</v>
      </c>
      <c r="G257" t="s">
        <v>56</v>
      </c>
      <c r="H257" t="s">
        <v>58</v>
      </c>
      <c r="I257" t="s">
        <v>648</v>
      </c>
      <c r="J257" t="s">
        <v>648</v>
      </c>
      <c r="K257" t="s">
        <v>7165</v>
      </c>
      <c r="L257" t="s">
        <v>7165</v>
      </c>
      <c r="M257" s="1" t="s">
        <v>603</v>
      </c>
      <c r="N257" t="s">
        <v>649</v>
      </c>
      <c r="O257" s="1" t="s">
        <v>650</v>
      </c>
      <c r="P257" s="1" t="s">
        <v>127</v>
      </c>
      <c r="Q257" s="11" t="s">
        <v>7194</v>
      </c>
      <c r="R257" s="1">
        <v>11</v>
      </c>
      <c r="S257" s="1">
        <v>2124</v>
      </c>
      <c r="T257" s="1" t="s">
        <v>651</v>
      </c>
      <c r="U257" s="1" t="s">
        <v>170</v>
      </c>
      <c r="V257" t="s">
        <v>739</v>
      </c>
      <c r="W257" t="s">
        <v>740</v>
      </c>
      <c r="X257" t="s">
        <v>68</v>
      </c>
      <c r="Y257" t="s">
        <v>741</v>
      </c>
      <c r="Z257" t="s">
        <v>742</v>
      </c>
      <c r="AA257" t="s">
        <v>743</v>
      </c>
      <c r="AB257" t="s">
        <v>692</v>
      </c>
      <c r="AC257" t="s">
        <v>73</v>
      </c>
      <c r="AD257" t="s">
        <v>744</v>
      </c>
      <c r="AE257" t="s">
        <v>75</v>
      </c>
      <c r="AF257" t="s">
        <v>76</v>
      </c>
      <c r="AG257" t="s">
        <v>77</v>
      </c>
      <c r="AH257" t="s">
        <v>745</v>
      </c>
      <c r="AI257" t="s">
        <v>615</v>
      </c>
      <c r="AJ257" t="s">
        <v>616</v>
      </c>
      <c r="AK257" t="s">
        <v>81</v>
      </c>
      <c r="AL257" t="s">
        <v>82</v>
      </c>
      <c r="AM257" t="s">
        <v>83</v>
      </c>
      <c r="AN257">
        <v>2004</v>
      </c>
      <c r="AO257">
        <v>106634</v>
      </c>
      <c r="AP257">
        <v>5414764</v>
      </c>
      <c r="AQ257">
        <v>221</v>
      </c>
      <c r="AR257" t="s">
        <v>84</v>
      </c>
      <c r="AS257">
        <v>562</v>
      </c>
      <c r="AT257" t="s">
        <v>85</v>
      </c>
      <c r="AU257" t="s">
        <v>86</v>
      </c>
      <c r="AV257">
        <v>562</v>
      </c>
      <c r="AW257" t="s">
        <v>746</v>
      </c>
      <c r="AX257" t="s">
        <v>88</v>
      </c>
    </row>
    <row r="258" spans="1:54" x14ac:dyDescent="0.2">
      <c r="A258" t="s">
        <v>4662</v>
      </c>
      <c r="B258" t="s">
        <v>4663</v>
      </c>
      <c r="C258" t="s">
        <v>4664</v>
      </c>
      <c r="D258" t="s">
        <v>4665</v>
      </c>
      <c r="E258" t="s">
        <v>4665</v>
      </c>
      <c r="G258" t="s">
        <v>56</v>
      </c>
      <c r="H258" t="s">
        <v>93</v>
      </c>
      <c r="I258" t="s">
        <v>4599</v>
      </c>
      <c r="J258" t="s">
        <v>4599</v>
      </c>
      <c r="K258" t="s">
        <v>7169</v>
      </c>
      <c r="L258" t="s">
        <v>7169</v>
      </c>
      <c r="M258" s="1" t="s">
        <v>4666</v>
      </c>
      <c r="N258" t="s">
        <v>4667</v>
      </c>
      <c r="O258" s="1" t="s">
        <v>4374</v>
      </c>
      <c r="P258" s="1" t="s">
        <v>64</v>
      </c>
      <c r="Q258" s="11" t="s">
        <v>7231</v>
      </c>
      <c r="R258" s="1">
        <v>718</v>
      </c>
      <c r="S258" s="1">
        <v>30152</v>
      </c>
      <c r="T258" s="1" t="s">
        <v>169</v>
      </c>
      <c r="U258" s="1" t="s">
        <v>170</v>
      </c>
      <c r="V258" t="s">
        <v>4668</v>
      </c>
      <c r="W258" t="s">
        <v>4669</v>
      </c>
      <c r="X258" t="s">
        <v>68</v>
      </c>
      <c r="Y258" t="s">
        <v>4670</v>
      </c>
      <c r="Z258" t="s">
        <v>4671</v>
      </c>
      <c r="AA258" t="s">
        <v>4672</v>
      </c>
      <c r="AB258" t="s">
        <v>757</v>
      </c>
      <c r="AC258" t="s">
        <v>73</v>
      </c>
      <c r="AD258" t="s">
        <v>4673</v>
      </c>
      <c r="AE258" t="s">
        <v>75</v>
      </c>
      <c r="AF258" t="s">
        <v>76</v>
      </c>
      <c r="AG258" t="s">
        <v>77</v>
      </c>
      <c r="AH258" t="s">
        <v>4674</v>
      </c>
      <c r="AI258" t="s">
        <v>156</v>
      </c>
      <c r="AJ258" t="s">
        <v>80</v>
      </c>
      <c r="AK258" t="s">
        <v>81</v>
      </c>
      <c r="AL258" t="s">
        <v>82</v>
      </c>
      <c r="AM258" t="s">
        <v>83</v>
      </c>
      <c r="AN258">
        <v>2013</v>
      </c>
      <c r="AO258">
        <v>163412</v>
      </c>
      <c r="AP258">
        <v>5277726</v>
      </c>
      <c r="AQ258">
        <v>85</v>
      </c>
      <c r="AR258" t="s">
        <v>84</v>
      </c>
      <c r="AS258">
        <v>562</v>
      </c>
      <c r="AT258" t="s">
        <v>85</v>
      </c>
      <c r="AU258" t="s">
        <v>86</v>
      </c>
      <c r="AV258">
        <v>562</v>
      </c>
      <c r="AW258" t="s">
        <v>4675</v>
      </c>
      <c r="AX258" t="s">
        <v>88</v>
      </c>
      <c r="AZ258" t="s">
        <v>4676</v>
      </c>
      <c r="BA258">
        <v>3</v>
      </c>
    </row>
    <row r="259" spans="1:54" x14ac:dyDescent="0.2">
      <c r="A259" t="s">
        <v>747</v>
      </c>
      <c r="B259" t="s">
        <v>747</v>
      </c>
      <c r="C259" t="s">
        <v>748</v>
      </c>
      <c r="D259" t="s">
        <v>749</v>
      </c>
      <c r="E259" t="s">
        <v>749</v>
      </c>
      <c r="G259" t="s">
        <v>56</v>
      </c>
      <c r="H259" t="s">
        <v>58</v>
      </c>
      <c r="I259" t="s">
        <v>648</v>
      </c>
      <c r="J259" t="s">
        <v>648</v>
      </c>
      <c r="K259" t="s">
        <v>7165</v>
      </c>
      <c r="L259" t="s">
        <v>7165</v>
      </c>
      <c r="M259" s="1" t="s">
        <v>603</v>
      </c>
      <c r="N259" t="s">
        <v>649</v>
      </c>
      <c r="O259" s="1" t="s">
        <v>750</v>
      </c>
      <c r="P259" s="1" t="s">
        <v>250</v>
      </c>
      <c r="Q259" s="11" t="s">
        <v>7207</v>
      </c>
      <c r="R259" s="1">
        <v>11</v>
      </c>
      <c r="S259" s="1">
        <v>2105</v>
      </c>
      <c r="T259" s="1" t="s">
        <v>651</v>
      </c>
      <c r="U259" s="1" t="s">
        <v>170</v>
      </c>
      <c r="V259" t="s">
        <v>752</v>
      </c>
      <c r="W259" t="s">
        <v>753</v>
      </c>
      <c r="X259" t="s">
        <v>68</v>
      </c>
      <c r="Y259" t="s">
        <v>754</v>
      </c>
      <c r="Z259" t="s">
        <v>755</v>
      </c>
      <c r="AA259" t="s">
        <v>756</v>
      </c>
      <c r="AB259" t="s">
        <v>757</v>
      </c>
      <c r="AC259" t="s">
        <v>73</v>
      </c>
      <c r="AD259" t="s">
        <v>758</v>
      </c>
      <c r="AE259" t="s">
        <v>75</v>
      </c>
      <c r="AF259" t="s">
        <v>76</v>
      </c>
      <c r="AG259" t="s">
        <v>77</v>
      </c>
      <c r="AH259" t="s">
        <v>759</v>
      </c>
      <c r="AI259" t="s">
        <v>615</v>
      </c>
      <c r="AJ259" t="s">
        <v>616</v>
      </c>
      <c r="AK259" t="s">
        <v>81</v>
      </c>
      <c r="AL259" t="s">
        <v>82</v>
      </c>
      <c r="AM259" t="s">
        <v>83</v>
      </c>
      <c r="AN259">
        <v>2004</v>
      </c>
      <c r="AO259">
        <v>106899</v>
      </c>
      <c r="AP259">
        <v>5328316</v>
      </c>
      <c r="AQ259">
        <v>208</v>
      </c>
      <c r="AR259" t="s">
        <v>84</v>
      </c>
      <c r="AS259">
        <v>562</v>
      </c>
      <c r="AT259" t="s">
        <v>85</v>
      </c>
      <c r="AU259" t="s">
        <v>86</v>
      </c>
      <c r="AV259">
        <v>562</v>
      </c>
      <c r="AW259" t="s">
        <v>760</v>
      </c>
      <c r="AX259" t="s">
        <v>88</v>
      </c>
    </row>
    <row r="260" spans="1:54" x14ac:dyDescent="0.2">
      <c r="A260" t="s">
        <v>761</v>
      </c>
      <c r="B260" t="s">
        <v>761</v>
      </c>
      <c r="C260" t="s">
        <v>762</v>
      </c>
      <c r="D260" t="s">
        <v>763</v>
      </c>
      <c r="E260" t="s">
        <v>763</v>
      </c>
      <c r="G260" t="s">
        <v>56</v>
      </c>
      <c r="H260" t="s">
        <v>58</v>
      </c>
      <c r="I260" t="s">
        <v>648</v>
      </c>
      <c r="J260" t="s">
        <v>648</v>
      </c>
      <c r="K260" t="s">
        <v>7165</v>
      </c>
      <c r="L260" t="s">
        <v>7165</v>
      </c>
      <c r="M260" s="1" t="s">
        <v>603</v>
      </c>
      <c r="N260" t="s">
        <v>649</v>
      </c>
      <c r="O260" s="1" t="s">
        <v>650</v>
      </c>
      <c r="P260" s="1" t="s">
        <v>127</v>
      </c>
      <c r="Q260" s="11" t="s">
        <v>7194</v>
      </c>
      <c r="R260" s="1">
        <v>11</v>
      </c>
      <c r="S260" s="1">
        <v>2124</v>
      </c>
      <c r="T260" s="1" t="s">
        <v>651</v>
      </c>
      <c r="U260" s="1" t="s">
        <v>170</v>
      </c>
      <c r="V260" t="s">
        <v>764</v>
      </c>
      <c r="W260" t="s">
        <v>765</v>
      </c>
      <c r="X260" t="s">
        <v>68</v>
      </c>
      <c r="Y260" t="s">
        <v>766</v>
      </c>
      <c r="Z260" t="s">
        <v>767</v>
      </c>
      <c r="AA260" t="s">
        <v>768</v>
      </c>
      <c r="AB260" t="s">
        <v>757</v>
      </c>
      <c r="AC260" t="s">
        <v>73</v>
      </c>
      <c r="AD260" t="s">
        <v>769</v>
      </c>
      <c r="AE260" t="s">
        <v>75</v>
      </c>
      <c r="AF260" t="s">
        <v>76</v>
      </c>
      <c r="AG260" t="s">
        <v>77</v>
      </c>
      <c r="AH260" t="s">
        <v>733</v>
      </c>
      <c r="AI260" t="s">
        <v>615</v>
      </c>
      <c r="AJ260" t="s">
        <v>616</v>
      </c>
      <c r="AK260" t="s">
        <v>81</v>
      </c>
      <c r="AL260" t="s">
        <v>82</v>
      </c>
      <c r="AM260" t="s">
        <v>83</v>
      </c>
      <c r="AN260">
        <v>2005</v>
      </c>
      <c r="AO260">
        <v>130120</v>
      </c>
      <c r="AP260">
        <v>5321914</v>
      </c>
      <c r="AQ260">
        <v>210</v>
      </c>
      <c r="AR260" t="s">
        <v>84</v>
      </c>
      <c r="AS260">
        <v>562</v>
      </c>
      <c r="AT260" t="s">
        <v>85</v>
      </c>
      <c r="AU260" t="s">
        <v>86</v>
      </c>
      <c r="AV260">
        <v>562</v>
      </c>
      <c r="AW260" t="s">
        <v>770</v>
      </c>
      <c r="AX260" t="s">
        <v>88</v>
      </c>
      <c r="AZ260" t="s">
        <v>659</v>
      </c>
      <c r="BA260">
        <v>8</v>
      </c>
      <c r="BB260">
        <v>11</v>
      </c>
    </row>
    <row r="261" spans="1:54" x14ac:dyDescent="0.2">
      <c r="A261" t="s">
        <v>771</v>
      </c>
      <c r="B261" t="s">
        <v>771</v>
      </c>
      <c r="C261" t="s">
        <v>772</v>
      </c>
      <c r="D261" t="s">
        <v>773</v>
      </c>
      <c r="E261" t="s">
        <v>773</v>
      </c>
      <c r="G261" t="s">
        <v>56</v>
      </c>
      <c r="H261" t="s">
        <v>58</v>
      </c>
      <c r="I261" t="s">
        <v>700</v>
      </c>
      <c r="J261" t="s">
        <v>700</v>
      </c>
      <c r="K261" t="s">
        <v>7165</v>
      </c>
      <c r="L261" t="s">
        <v>7165</v>
      </c>
      <c r="M261" s="1" t="s">
        <v>603</v>
      </c>
      <c r="N261" t="s">
        <v>649</v>
      </c>
      <c r="O261" s="1" t="s">
        <v>674</v>
      </c>
      <c r="P261" s="1" t="s">
        <v>64</v>
      </c>
      <c r="Q261" s="11" t="s">
        <v>7220</v>
      </c>
      <c r="R261" s="1">
        <v>11</v>
      </c>
      <c r="S261" s="1">
        <v>2124</v>
      </c>
      <c r="T261" s="1" t="s">
        <v>651</v>
      </c>
      <c r="U261" s="1" t="s">
        <v>170</v>
      </c>
      <c r="V261" t="s">
        <v>774</v>
      </c>
      <c r="W261" t="s">
        <v>775</v>
      </c>
      <c r="X261" t="s">
        <v>68</v>
      </c>
      <c r="Y261" t="s">
        <v>776</v>
      </c>
      <c r="Z261" t="s">
        <v>777</v>
      </c>
      <c r="AA261" t="s">
        <v>778</v>
      </c>
      <c r="AB261" t="s">
        <v>757</v>
      </c>
      <c r="AC261" t="s">
        <v>73</v>
      </c>
      <c r="AD261" t="s">
        <v>779</v>
      </c>
      <c r="AE261" t="s">
        <v>75</v>
      </c>
      <c r="AF261" t="s">
        <v>76</v>
      </c>
      <c r="AG261" t="s">
        <v>77</v>
      </c>
      <c r="AH261" t="s">
        <v>780</v>
      </c>
      <c r="AI261" t="s">
        <v>615</v>
      </c>
      <c r="AJ261" t="s">
        <v>616</v>
      </c>
      <c r="AK261" t="s">
        <v>81</v>
      </c>
      <c r="AL261" t="s">
        <v>82</v>
      </c>
      <c r="AM261" t="s">
        <v>83</v>
      </c>
      <c r="AN261">
        <v>2007</v>
      </c>
      <c r="AO261">
        <v>159425</v>
      </c>
      <c r="AP261">
        <v>5385439</v>
      </c>
      <c r="AQ261">
        <v>195</v>
      </c>
      <c r="AR261" t="s">
        <v>84</v>
      </c>
      <c r="AS261">
        <v>562</v>
      </c>
      <c r="AT261" t="s">
        <v>85</v>
      </c>
      <c r="AU261" t="s">
        <v>86</v>
      </c>
      <c r="AV261">
        <v>562</v>
      </c>
      <c r="AW261" t="s">
        <v>781</v>
      </c>
      <c r="AX261" t="s">
        <v>88</v>
      </c>
      <c r="AZ261" t="s">
        <v>782</v>
      </c>
      <c r="BA261">
        <v>2</v>
      </c>
      <c r="BB261">
        <v>2</v>
      </c>
    </row>
    <row r="262" spans="1:54" x14ac:dyDescent="0.2">
      <c r="A262" t="s">
        <v>783</v>
      </c>
      <c r="B262" t="s">
        <v>783</v>
      </c>
      <c r="C262" t="s">
        <v>784</v>
      </c>
      <c r="D262" t="s">
        <v>785</v>
      </c>
      <c r="E262" t="s">
        <v>785</v>
      </c>
      <c r="G262" t="s">
        <v>56</v>
      </c>
      <c r="H262" t="s">
        <v>58</v>
      </c>
      <c r="I262" t="s">
        <v>700</v>
      </c>
      <c r="J262" t="s">
        <v>700</v>
      </c>
      <c r="K262" t="s">
        <v>7165</v>
      </c>
      <c r="L262" t="s">
        <v>7165</v>
      </c>
      <c r="M262" s="1" t="s">
        <v>603</v>
      </c>
      <c r="N262" t="s">
        <v>649</v>
      </c>
      <c r="O262" s="1" t="s">
        <v>674</v>
      </c>
      <c r="P262" s="1" t="s">
        <v>64</v>
      </c>
      <c r="Q262" s="11" t="s">
        <v>7220</v>
      </c>
      <c r="R262" s="1">
        <v>11</v>
      </c>
      <c r="S262" s="1">
        <v>2124</v>
      </c>
      <c r="T262" s="1" t="s">
        <v>651</v>
      </c>
      <c r="U262" s="1" t="s">
        <v>170</v>
      </c>
      <c r="V262" t="s">
        <v>786</v>
      </c>
      <c r="W262" t="s">
        <v>787</v>
      </c>
      <c r="X262" t="s">
        <v>68</v>
      </c>
      <c r="Y262" t="s">
        <v>788</v>
      </c>
      <c r="Z262" t="s">
        <v>789</v>
      </c>
      <c r="AA262" t="s">
        <v>790</v>
      </c>
      <c r="AB262" t="s">
        <v>757</v>
      </c>
      <c r="AC262" t="s">
        <v>73</v>
      </c>
      <c r="AD262" t="s">
        <v>791</v>
      </c>
      <c r="AE262" t="s">
        <v>75</v>
      </c>
      <c r="AF262" t="s">
        <v>76</v>
      </c>
      <c r="AG262" t="s">
        <v>77</v>
      </c>
      <c r="AH262" t="s">
        <v>792</v>
      </c>
      <c r="AI262" t="s">
        <v>615</v>
      </c>
      <c r="AJ262" t="s">
        <v>616</v>
      </c>
      <c r="AK262" t="s">
        <v>81</v>
      </c>
      <c r="AL262" t="s">
        <v>82</v>
      </c>
      <c r="AM262" t="s">
        <v>83</v>
      </c>
      <c r="AN262">
        <v>2007</v>
      </c>
      <c r="AO262">
        <v>110448</v>
      </c>
      <c r="AP262">
        <v>5368017</v>
      </c>
      <c r="AQ262">
        <v>193</v>
      </c>
      <c r="AR262" t="s">
        <v>84</v>
      </c>
      <c r="AS262">
        <v>562</v>
      </c>
      <c r="AT262" t="s">
        <v>85</v>
      </c>
      <c r="AU262" t="s">
        <v>86</v>
      </c>
      <c r="AV262">
        <v>562</v>
      </c>
      <c r="AW262" t="s">
        <v>793</v>
      </c>
      <c r="AX262" t="s">
        <v>88</v>
      </c>
      <c r="AZ262" t="s">
        <v>782</v>
      </c>
      <c r="BA262">
        <v>1</v>
      </c>
      <c r="BB262">
        <v>1</v>
      </c>
    </row>
    <row r="263" spans="1:54" x14ac:dyDescent="0.2">
      <c r="A263" t="s">
        <v>794</v>
      </c>
      <c r="B263" t="s">
        <v>794</v>
      </c>
      <c r="C263" t="s">
        <v>795</v>
      </c>
      <c r="D263" t="s">
        <v>796</v>
      </c>
      <c r="E263" t="s">
        <v>796</v>
      </c>
      <c r="G263" t="s">
        <v>56</v>
      </c>
      <c r="H263" t="s">
        <v>58</v>
      </c>
      <c r="I263" t="s">
        <v>700</v>
      </c>
      <c r="J263" t="s">
        <v>700</v>
      </c>
      <c r="K263" t="s">
        <v>7165</v>
      </c>
      <c r="L263" t="s">
        <v>7165</v>
      </c>
      <c r="M263" s="1" t="s">
        <v>603</v>
      </c>
      <c r="N263" t="s">
        <v>649</v>
      </c>
      <c r="O263" s="1" t="s">
        <v>650</v>
      </c>
      <c r="P263" s="1" t="s">
        <v>127</v>
      </c>
      <c r="Q263" s="11" t="s">
        <v>7194</v>
      </c>
      <c r="R263" s="1">
        <v>11</v>
      </c>
      <c r="S263" s="1">
        <v>2124</v>
      </c>
      <c r="T263" s="1" t="s">
        <v>651</v>
      </c>
      <c r="U263" s="1" t="s">
        <v>170</v>
      </c>
      <c r="V263" t="s">
        <v>797</v>
      </c>
      <c r="W263" t="s">
        <v>798</v>
      </c>
      <c r="X263" t="s">
        <v>68</v>
      </c>
      <c r="Y263" t="s">
        <v>799</v>
      </c>
      <c r="Z263" t="s">
        <v>800</v>
      </c>
      <c r="AA263" t="s">
        <v>801</v>
      </c>
      <c r="AB263" t="s">
        <v>802</v>
      </c>
      <c r="AC263" t="s">
        <v>73</v>
      </c>
      <c r="AD263" t="s">
        <v>803</v>
      </c>
      <c r="AE263" t="s">
        <v>75</v>
      </c>
      <c r="AF263" t="s">
        <v>76</v>
      </c>
      <c r="AG263" t="s">
        <v>77</v>
      </c>
      <c r="AH263" t="s">
        <v>669</v>
      </c>
      <c r="AI263" t="s">
        <v>615</v>
      </c>
      <c r="AJ263" t="s">
        <v>616</v>
      </c>
      <c r="AK263" t="s">
        <v>81</v>
      </c>
      <c r="AL263" t="s">
        <v>82</v>
      </c>
      <c r="AM263" t="s">
        <v>83</v>
      </c>
      <c r="AN263">
        <v>2007</v>
      </c>
      <c r="AO263">
        <v>99553</v>
      </c>
      <c r="AP263">
        <v>5380309</v>
      </c>
      <c r="AQ263">
        <v>213</v>
      </c>
      <c r="AR263" t="s">
        <v>84</v>
      </c>
      <c r="AS263">
        <v>562</v>
      </c>
      <c r="AT263" t="s">
        <v>85</v>
      </c>
      <c r="AU263" t="s">
        <v>86</v>
      </c>
      <c r="AV263">
        <v>562</v>
      </c>
      <c r="AW263" t="s">
        <v>804</v>
      </c>
      <c r="AX263" t="s">
        <v>88</v>
      </c>
      <c r="AZ263" t="s">
        <v>659</v>
      </c>
      <c r="BA263">
        <v>25</v>
      </c>
      <c r="BB263">
        <v>28</v>
      </c>
    </row>
    <row r="264" spans="1:54" x14ac:dyDescent="0.2">
      <c r="A264" t="s">
        <v>805</v>
      </c>
      <c r="B264" t="s">
        <v>805</v>
      </c>
      <c r="C264" t="s">
        <v>806</v>
      </c>
      <c r="D264" t="s">
        <v>807</v>
      </c>
      <c r="E264" t="s">
        <v>807</v>
      </c>
      <c r="G264" t="s">
        <v>56</v>
      </c>
      <c r="H264" t="s">
        <v>58</v>
      </c>
      <c r="I264" t="s">
        <v>700</v>
      </c>
      <c r="J264" t="s">
        <v>700</v>
      </c>
      <c r="K264" t="s">
        <v>7165</v>
      </c>
      <c r="L264" t="s">
        <v>7165</v>
      </c>
      <c r="M264" s="1" t="s">
        <v>603</v>
      </c>
      <c r="N264" t="s">
        <v>649</v>
      </c>
      <c r="O264" s="1" t="s">
        <v>650</v>
      </c>
      <c r="P264" s="1" t="s">
        <v>127</v>
      </c>
      <c r="Q264" s="11" t="s">
        <v>7294</v>
      </c>
      <c r="R264" s="1">
        <v>11</v>
      </c>
      <c r="S264" s="1">
        <v>2124</v>
      </c>
      <c r="T264" s="1" t="s">
        <v>651</v>
      </c>
      <c r="U264" s="1" t="s">
        <v>170</v>
      </c>
      <c r="V264" t="s">
        <v>809</v>
      </c>
      <c r="W264" t="s">
        <v>810</v>
      </c>
      <c r="X264" t="s">
        <v>68</v>
      </c>
      <c r="Y264" t="s">
        <v>811</v>
      </c>
      <c r="Z264" t="s">
        <v>812</v>
      </c>
      <c r="AA264" t="s">
        <v>813</v>
      </c>
      <c r="AB264" t="s">
        <v>802</v>
      </c>
      <c r="AC264" t="s">
        <v>73</v>
      </c>
      <c r="AD264" t="s">
        <v>814</v>
      </c>
      <c r="AE264" t="s">
        <v>75</v>
      </c>
      <c r="AF264" t="s">
        <v>76</v>
      </c>
      <c r="AG264" t="s">
        <v>77</v>
      </c>
      <c r="AH264" t="s">
        <v>815</v>
      </c>
      <c r="AI264" t="s">
        <v>615</v>
      </c>
      <c r="AJ264" t="s">
        <v>616</v>
      </c>
      <c r="AK264" t="s">
        <v>81</v>
      </c>
      <c r="AL264" t="s">
        <v>82</v>
      </c>
      <c r="AM264" t="s">
        <v>83</v>
      </c>
      <c r="AN264">
        <v>2007</v>
      </c>
      <c r="AO264">
        <v>95524</v>
      </c>
      <c r="AP264">
        <v>5388714</v>
      </c>
      <c r="AQ264">
        <v>224</v>
      </c>
      <c r="AR264" t="s">
        <v>84</v>
      </c>
      <c r="AS264">
        <v>562</v>
      </c>
      <c r="AT264" t="s">
        <v>85</v>
      </c>
      <c r="AU264" t="s">
        <v>86</v>
      </c>
      <c r="AV264">
        <v>562</v>
      </c>
      <c r="AW264" t="s">
        <v>816</v>
      </c>
      <c r="AX264" t="s">
        <v>88</v>
      </c>
    </row>
    <row r="265" spans="1:54" x14ac:dyDescent="0.2">
      <c r="A265" t="s">
        <v>817</v>
      </c>
      <c r="B265" t="s">
        <v>817</v>
      </c>
      <c r="C265" t="s">
        <v>818</v>
      </c>
      <c r="D265" t="s">
        <v>819</v>
      </c>
      <c r="E265" t="s">
        <v>819</v>
      </c>
      <c r="G265" t="s">
        <v>56</v>
      </c>
      <c r="H265" t="s">
        <v>58</v>
      </c>
      <c r="I265" t="s">
        <v>648</v>
      </c>
      <c r="J265" t="s">
        <v>648</v>
      </c>
      <c r="K265" t="s">
        <v>7165</v>
      </c>
      <c r="L265" t="s">
        <v>7165</v>
      </c>
      <c r="M265" s="1" t="s">
        <v>603</v>
      </c>
      <c r="N265" t="s">
        <v>649</v>
      </c>
      <c r="O265" s="1" t="s">
        <v>650</v>
      </c>
      <c r="P265" s="1" t="s">
        <v>820</v>
      </c>
      <c r="Q265" s="11" t="s">
        <v>7323</v>
      </c>
      <c r="R265" s="1">
        <v>11</v>
      </c>
      <c r="S265" s="1">
        <v>29913</v>
      </c>
      <c r="T265" s="1" t="s">
        <v>651</v>
      </c>
      <c r="U265" s="1" t="s">
        <v>170</v>
      </c>
      <c r="V265" t="s">
        <v>822</v>
      </c>
      <c r="W265" t="s">
        <v>823</v>
      </c>
      <c r="X265" t="s">
        <v>68</v>
      </c>
      <c r="Y265" t="s">
        <v>824</v>
      </c>
      <c r="Z265" t="s">
        <v>825</v>
      </c>
      <c r="AA265" t="s">
        <v>826</v>
      </c>
      <c r="AB265" t="s">
        <v>802</v>
      </c>
      <c r="AC265" t="s">
        <v>73</v>
      </c>
      <c r="AD265" t="s">
        <v>827</v>
      </c>
      <c r="AE265" t="s">
        <v>75</v>
      </c>
      <c r="AF265" t="s">
        <v>76</v>
      </c>
      <c r="AG265" t="s">
        <v>77</v>
      </c>
      <c r="AH265" t="s">
        <v>828</v>
      </c>
      <c r="AI265" t="s">
        <v>615</v>
      </c>
      <c r="AJ265" t="s">
        <v>616</v>
      </c>
      <c r="AK265" t="s">
        <v>81</v>
      </c>
      <c r="AL265" t="s">
        <v>82</v>
      </c>
      <c r="AM265" t="s">
        <v>83</v>
      </c>
      <c r="AN265">
        <v>2007</v>
      </c>
      <c r="AO265">
        <v>167990</v>
      </c>
      <c r="AP265">
        <v>5377633</v>
      </c>
      <c r="AQ265">
        <v>193</v>
      </c>
      <c r="AR265" t="s">
        <v>84</v>
      </c>
      <c r="AS265">
        <v>562</v>
      </c>
      <c r="AT265" t="s">
        <v>85</v>
      </c>
      <c r="AU265" t="s">
        <v>86</v>
      </c>
      <c r="AV265">
        <v>562</v>
      </c>
      <c r="AW265" t="s">
        <v>829</v>
      </c>
      <c r="AX265" t="s">
        <v>88</v>
      </c>
      <c r="AZ265" t="s">
        <v>830</v>
      </c>
      <c r="BA265">
        <v>9</v>
      </c>
      <c r="BB265">
        <v>7</v>
      </c>
    </row>
    <row r="266" spans="1:54" x14ac:dyDescent="0.2">
      <c r="A266" t="s">
        <v>831</v>
      </c>
      <c r="B266" t="s">
        <v>831</v>
      </c>
      <c r="C266" t="s">
        <v>818</v>
      </c>
      <c r="D266" t="s">
        <v>832</v>
      </c>
      <c r="E266" t="s">
        <v>832</v>
      </c>
      <c r="G266" t="s">
        <v>56</v>
      </c>
      <c r="H266" t="s">
        <v>58</v>
      </c>
      <c r="I266" t="s">
        <v>648</v>
      </c>
      <c r="J266" t="s">
        <v>648</v>
      </c>
      <c r="K266" t="s">
        <v>7165</v>
      </c>
      <c r="L266" t="s">
        <v>7165</v>
      </c>
      <c r="M266" s="1" t="s">
        <v>603</v>
      </c>
      <c r="N266" t="s">
        <v>649</v>
      </c>
      <c r="O266" s="1" t="s">
        <v>650</v>
      </c>
      <c r="P266" s="1" t="s">
        <v>127</v>
      </c>
      <c r="Q266" s="11" t="s">
        <v>7194</v>
      </c>
      <c r="R266" s="1">
        <v>11</v>
      </c>
      <c r="S266" s="1" t="s">
        <v>833</v>
      </c>
      <c r="T266" s="1" t="s">
        <v>169</v>
      </c>
      <c r="U266" s="1" t="s">
        <v>170</v>
      </c>
      <c r="V266" t="s">
        <v>834</v>
      </c>
      <c r="W266" t="s">
        <v>835</v>
      </c>
      <c r="X266" t="s">
        <v>68</v>
      </c>
      <c r="Y266" t="s">
        <v>836</v>
      </c>
      <c r="Z266" t="s">
        <v>837</v>
      </c>
      <c r="AA266" t="s">
        <v>838</v>
      </c>
      <c r="AB266" t="s">
        <v>802</v>
      </c>
      <c r="AC266" t="s">
        <v>73</v>
      </c>
      <c r="AD266" t="s">
        <v>839</v>
      </c>
      <c r="AE266" t="s">
        <v>75</v>
      </c>
      <c r="AF266" t="s">
        <v>76</v>
      </c>
      <c r="AG266" t="s">
        <v>77</v>
      </c>
      <c r="AH266" t="s">
        <v>630</v>
      </c>
      <c r="AI266" t="s">
        <v>615</v>
      </c>
      <c r="AJ266" t="s">
        <v>616</v>
      </c>
      <c r="AK266" t="s">
        <v>81</v>
      </c>
      <c r="AL266" t="s">
        <v>82</v>
      </c>
      <c r="AM266" t="s">
        <v>83</v>
      </c>
      <c r="AN266">
        <v>2007</v>
      </c>
      <c r="AO266">
        <v>187928</v>
      </c>
      <c r="AP266">
        <v>5383381</v>
      </c>
      <c r="AQ266">
        <v>179</v>
      </c>
      <c r="AR266" t="s">
        <v>84</v>
      </c>
      <c r="AS266">
        <v>562</v>
      </c>
      <c r="AT266" t="s">
        <v>85</v>
      </c>
      <c r="AU266" t="s">
        <v>86</v>
      </c>
      <c r="AV266">
        <v>562</v>
      </c>
      <c r="AW266" t="s">
        <v>840</v>
      </c>
      <c r="AX266" t="s">
        <v>88</v>
      </c>
      <c r="AZ266" t="s">
        <v>841</v>
      </c>
      <c r="BA266">
        <v>22</v>
      </c>
      <c r="BB266">
        <v>23</v>
      </c>
    </row>
    <row r="267" spans="1:54" x14ac:dyDescent="0.2">
      <c r="A267" t="s">
        <v>842</v>
      </c>
      <c r="B267" t="s">
        <v>842</v>
      </c>
      <c r="C267" t="s">
        <v>843</v>
      </c>
      <c r="D267" t="s">
        <v>844</v>
      </c>
      <c r="E267" t="s">
        <v>844</v>
      </c>
      <c r="G267" t="s">
        <v>56</v>
      </c>
      <c r="H267" t="s">
        <v>58</v>
      </c>
      <c r="I267" t="s">
        <v>700</v>
      </c>
      <c r="J267" t="s">
        <v>700</v>
      </c>
      <c r="K267" t="s">
        <v>7165</v>
      </c>
      <c r="L267" t="s">
        <v>7165</v>
      </c>
      <c r="M267" s="1" t="s">
        <v>603</v>
      </c>
      <c r="N267" t="s">
        <v>649</v>
      </c>
      <c r="O267" s="1" t="s">
        <v>650</v>
      </c>
      <c r="P267" s="1" t="s">
        <v>127</v>
      </c>
      <c r="Q267" s="11" t="s">
        <v>7194</v>
      </c>
      <c r="R267" s="1">
        <v>11</v>
      </c>
      <c r="S267" s="1">
        <v>2124</v>
      </c>
      <c r="T267" s="1" t="s">
        <v>651</v>
      </c>
      <c r="U267" s="1" t="s">
        <v>170</v>
      </c>
      <c r="V267" t="s">
        <v>845</v>
      </c>
      <c r="W267" t="s">
        <v>846</v>
      </c>
      <c r="X267" t="s">
        <v>68</v>
      </c>
      <c r="Y267" t="s">
        <v>847</v>
      </c>
      <c r="Z267" t="s">
        <v>848</v>
      </c>
      <c r="AA267" t="s">
        <v>849</v>
      </c>
      <c r="AB267" t="s">
        <v>802</v>
      </c>
      <c r="AC267" t="s">
        <v>73</v>
      </c>
      <c r="AD267" t="s">
        <v>850</v>
      </c>
      <c r="AE267" t="s">
        <v>75</v>
      </c>
      <c r="AF267" t="s">
        <v>76</v>
      </c>
      <c r="AG267" t="s">
        <v>77</v>
      </c>
      <c r="AH267" t="s">
        <v>745</v>
      </c>
      <c r="AI267" t="s">
        <v>615</v>
      </c>
      <c r="AJ267" t="s">
        <v>616</v>
      </c>
      <c r="AK267" t="s">
        <v>81</v>
      </c>
      <c r="AL267" t="s">
        <v>82</v>
      </c>
      <c r="AM267" t="s">
        <v>83</v>
      </c>
      <c r="AN267">
        <v>2007</v>
      </c>
      <c r="AO267">
        <v>145327</v>
      </c>
      <c r="AP267">
        <v>5311272</v>
      </c>
      <c r="AQ267">
        <v>198</v>
      </c>
      <c r="AR267" t="s">
        <v>84</v>
      </c>
      <c r="AS267">
        <v>562</v>
      </c>
      <c r="AT267" t="s">
        <v>85</v>
      </c>
      <c r="AU267" t="s">
        <v>86</v>
      </c>
      <c r="AV267">
        <v>562</v>
      </c>
      <c r="AW267" t="s">
        <v>851</v>
      </c>
      <c r="AX267" t="s">
        <v>88</v>
      </c>
      <c r="AZ267" t="s">
        <v>852</v>
      </c>
      <c r="BA267">
        <v>8</v>
      </c>
      <c r="BB267">
        <v>26</v>
      </c>
    </row>
    <row r="268" spans="1:54" x14ac:dyDescent="0.2">
      <c r="A268" t="s">
        <v>870</v>
      </c>
      <c r="B268" t="s">
        <v>871</v>
      </c>
      <c r="C268" t="s">
        <v>872</v>
      </c>
      <c r="D268" t="s">
        <v>873</v>
      </c>
      <c r="E268" t="s">
        <v>873</v>
      </c>
      <c r="G268" t="s">
        <v>56</v>
      </c>
      <c r="H268" t="s">
        <v>58</v>
      </c>
      <c r="I268" t="s">
        <v>874</v>
      </c>
      <c r="J268" t="s">
        <v>874</v>
      </c>
      <c r="K268" t="s">
        <v>7165</v>
      </c>
      <c r="L268" t="s">
        <v>7165</v>
      </c>
      <c r="M268" s="1" t="s">
        <v>603</v>
      </c>
      <c r="N268" t="s">
        <v>649</v>
      </c>
      <c r="O268" s="1" t="s">
        <v>875</v>
      </c>
      <c r="P268" s="1" t="s">
        <v>270</v>
      </c>
      <c r="Q268" s="11" t="s">
        <v>7339</v>
      </c>
      <c r="R268" s="1">
        <v>11</v>
      </c>
      <c r="S268" s="1">
        <v>2124</v>
      </c>
      <c r="T268" s="1" t="s">
        <v>169</v>
      </c>
      <c r="U268" s="1" t="s">
        <v>170</v>
      </c>
      <c r="V268" t="s">
        <v>876</v>
      </c>
      <c r="W268" t="s">
        <v>877</v>
      </c>
      <c r="X268" t="s">
        <v>68</v>
      </c>
      <c r="Y268" t="s">
        <v>878</v>
      </c>
      <c r="Z268" t="s">
        <v>879</v>
      </c>
      <c r="AA268" t="s">
        <v>880</v>
      </c>
      <c r="AB268" t="s">
        <v>802</v>
      </c>
      <c r="AC268" t="s">
        <v>73</v>
      </c>
      <c r="AD268" t="s">
        <v>881</v>
      </c>
      <c r="AE268" t="s">
        <v>75</v>
      </c>
      <c r="AF268" t="s">
        <v>76</v>
      </c>
      <c r="AG268" t="s">
        <v>77</v>
      </c>
      <c r="AH268" t="s">
        <v>882</v>
      </c>
      <c r="AI268" t="s">
        <v>615</v>
      </c>
      <c r="AJ268" t="s">
        <v>616</v>
      </c>
      <c r="AK268" t="s">
        <v>81</v>
      </c>
      <c r="AL268" t="s">
        <v>82</v>
      </c>
      <c r="AM268" t="s">
        <v>83</v>
      </c>
      <c r="AN268">
        <v>2008</v>
      </c>
      <c r="AO268">
        <v>188530</v>
      </c>
      <c r="AP268">
        <v>5463791</v>
      </c>
      <c r="AQ268">
        <v>144</v>
      </c>
      <c r="AR268" t="s">
        <v>84</v>
      </c>
      <c r="AS268">
        <v>562</v>
      </c>
      <c r="AT268" t="s">
        <v>85</v>
      </c>
      <c r="AU268" t="s">
        <v>86</v>
      </c>
      <c r="AV268">
        <v>562</v>
      </c>
      <c r="AW268" t="s">
        <v>883</v>
      </c>
      <c r="AX268" t="s">
        <v>88</v>
      </c>
    </row>
    <row r="269" spans="1:54" x14ac:dyDescent="0.2">
      <c r="A269" t="s">
        <v>4649</v>
      </c>
      <c r="B269" t="s">
        <v>4650</v>
      </c>
      <c r="C269" t="s">
        <v>4651</v>
      </c>
      <c r="D269" t="s">
        <v>4652</v>
      </c>
      <c r="E269" t="s">
        <v>4652</v>
      </c>
      <c r="G269" t="s">
        <v>56</v>
      </c>
      <c r="H269" t="s">
        <v>93</v>
      </c>
      <c r="I269" t="s">
        <v>4653</v>
      </c>
      <c r="J269" t="s">
        <v>4653</v>
      </c>
      <c r="K269" t="s">
        <v>7169</v>
      </c>
      <c r="L269" t="s">
        <v>7169</v>
      </c>
      <c r="M269" s="1" t="s">
        <v>268</v>
      </c>
      <c r="N269" t="s">
        <v>269</v>
      </c>
      <c r="O269" s="1" t="s">
        <v>4374</v>
      </c>
      <c r="P269" s="1" t="s">
        <v>270</v>
      </c>
      <c r="Q269" s="11" t="s">
        <v>7204</v>
      </c>
      <c r="R269" s="1">
        <v>677</v>
      </c>
      <c r="S269" s="1">
        <v>30630</v>
      </c>
      <c r="T269" s="1" t="s">
        <v>169</v>
      </c>
      <c r="U269" s="1" t="s">
        <v>170</v>
      </c>
      <c r="V269" t="s">
        <v>4654</v>
      </c>
      <c r="W269" t="s">
        <v>4655</v>
      </c>
      <c r="X269" t="s">
        <v>68</v>
      </c>
      <c r="Y269" t="s">
        <v>4656</v>
      </c>
      <c r="Z269" t="s">
        <v>4657</v>
      </c>
      <c r="AA269" t="s">
        <v>4658</v>
      </c>
      <c r="AB269" t="s">
        <v>892</v>
      </c>
      <c r="AC269" t="s">
        <v>73</v>
      </c>
      <c r="AD269" t="s">
        <v>4659</v>
      </c>
      <c r="AE269" t="s">
        <v>75</v>
      </c>
      <c r="AF269" t="s">
        <v>76</v>
      </c>
      <c r="AG269" t="s">
        <v>77</v>
      </c>
      <c r="AH269" t="s">
        <v>4660</v>
      </c>
      <c r="AI269" t="s">
        <v>156</v>
      </c>
      <c r="AJ269" t="s">
        <v>80</v>
      </c>
      <c r="AK269" t="s">
        <v>81</v>
      </c>
      <c r="AL269" t="s">
        <v>82</v>
      </c>
      <c r="AM269" t="s">
        <v>83</v>
      </c>
      <c r="AN269">
        <v>2013</v>
      </c>
      <c r="AO269">
        <v>235848</v>
      </c>
      <c r="AP269">
        <v>5088543</v>
      </c>
      <c r="AQ269">
        <v>77</v>
      </c>
      <c r="AR269" t="s">
        <v>84</v>
      </c>
      <c r="AS269">
        <v>562</v>
      </c>
      <c r="AT269" t="s">
        <v>85</v>
      </c>
      <c r="AU269" t="s">
        <v>86</v>
      </c>
      <c r="AV269">
        <v>562</v>
      </c>
      <c r="AW269" t="s">
        <v>4661</v>
      </c>
      <c r="AX269" t="s">
        <v>88</v>
      </c>
    </row>
    <row r="270" spans="1:54" x14ac:dyDescent="0.2">
      <c r="A270" t="s">
        <v>884</v>
      </c>
      <c r="B270" t="s">
        <v>884</v>
      </c>
      <c r="C270" t="s">
        <v>885</v>
      </c>
      <c r="D270" t="s">
        <v>886</v>
      </c>
      <c r="E270" t="s">
        <v>886</v>
      </c>
      <c r="G270" t="s">
        <v>56</v>
      </c>
      <c r="H270" t="s">
        <v>58</v>
      </c>
      <c r="I270" t="s">
        <v>648</v>
      </c>
      <c r="J270" t="s">
        <v>648</v>
      </c>
      <c r="K270" t="s">
        <v>7165</v>
      </c>
      <c r="L270" t="s">
        <v>7165</v>
      </c>
      <c r="M270" s="1" t="s">
        <v>603</v>
      </c>
      <c r="N270" t="s">
        <v>604</v>
      </c>
      <c r="O270" s="1" t="s">
        <v>605</v>
      </c>
      <c r="P270" s="1" t="s">
        <v>127</v>
      </c>
      <c r="Q270" s="11" t="s">
        <v>7194</v>
      </c>
      <c r="R270" s="1">
        <v>11</v>
      </c>
      <c r="S270" s="1">
        <v>2124</v>
      </c>
      <c r="T270" s="1" t="s">
        <v>169</v>
      </c>
      <c r="U270" s="1" t="s">
        <v>170</v>
      </c>
      <c r="V270" t="s">
        <v>887</v>
      </c>
      <c r="W270" t="s">
        <v>888</v>
      </c>
      <c r="X270" t="s">
        <v>68</v>
      </c>
      <c r="Y270" t="s">
        <v>889</v>
      </c>
      <c r="Z270" t="s">
        <v>890</v>
      </c>
      <c r="AA270" t="s">
        <v>891</v>
      </c>
      <c r="AB270" t="s">
        <v>892</v>
      </c>
      <c r="AC270" t="s">
        <v>73</v>
      </c>
      <c r="AD270" t="s">
        <v>893</v>
      </c>
      <c r="AE270" t="s">
        <v>75</v>
      </c>
      <c r="AF270" t="s">
        <v>76</v>
      </c>
      <c r="AG270" t="s">
        <v>77</v>
      </c>
      <c r="AH270" t="s">
        <v>669</v>
      </c>
      <c r="AI270" t="s">
        <v>615</v>
      </c>
      <c r="AJ270" t="s">
        <v>616</v>
      </c>
      <c r="AK270" t="s">
        <v>81</v>
      </c>
      <c r="AL270" t="s">
        <v>82</v>
      </c>
      <c r="AM270" t="s">
        <v>83</v>
      </c>
      <c r="AN270">
        <v>2008</v>
      </c>
      <c r="AO270">
        <v>157712</v>
      </c>
      <c r="AP270">
        <v>5355064</v>
      </c>
      <c r="AQ270">
        <v>174</v>
      </c>
      <c r="AR270" t="s">
        <v>84</v>
      </c>
      <c r="AS270">
        <v>562</v>
      </c>
      <c r="AT270" t="s">
        <v>85</v>
      </c>
      <c r="AU270" t="s">
        <v>86</v>
      </c>
      <c r="AV270">
        <v>562</v>
      </c>
      <c r="AW270" t="s">
        <v>894</v>
      </c>
      <c r="AX270" t="s">
        <v>88</v>
      </c>
      <c r="AZ270" t="s">
        <v>895</v>
      </c>
      <c r="BA270">
        <v>10</v>
      </c>
      <c r="BB270">
        <v>19</v>
      </c>
    </row>
    <row r="271" spans="1:54" x14ac:dyDescent="0.2">
      <c r="A271" t="s">
        <v>896</v>
      </c>
      <c r="B271" t="s">
        <v>896</v>
      </c>
      <c r="C271" t="s">
        <v>897</v>
      </c>
      <c r="D271" t="s">
        <v>898</v>
      </c>
      <c r="E271" t="s">
        <v>898</v>
      </c>
      <c r="G271" t="s">
        <v>56</v>
      </c>
      <c r="H271" t="s">
        <v>58</v>
      </c>
      <c r="I271" t="s">
        <v>648</v>
      </c>
      <c r="J271" t="s">
        <v>648</v>
      </c>
      <c r="K271" t="s">
        <v>7165</v>
      </c>
      <c r="L271" t="s">
        <v>7165</v>
      </c>
      <c r="M271" s="1" t="s">
        <v>603</v>
      </c>
      <c r="N271" t="s">
        <v>604</v>
      </c>
      <c r="O271" s="1" t="s">
        <v>605</v>
      </c>
      <c r="P271" s="1" t="s">
        <v>127</v>
      </c>
      <c r="Q271" s="11" t="s">
        <v>7194</v>
      </c>
      <c r="R271" s="1">
        <v>11</v>
      </c>
      <c r="S271" s="1">
        <v>2124</v>
      </c>
      <c r="T271" s="1" t="s">
        <v>169</v>
      </c>
      <c r="U271" s="1" t="s">
        <v>170</v>
      </c>
      <c r="V271" t="s">
        <v>899</v>
      </c>
      <c r="W271" t="s">
        <v>900</v>
      </c>
      <c r="X271" t="s">
        <v>68</v>
      </c>
      <c r="Y271" t="s">
        <v>901</v>
      </c>
      <c r="Z271" t="s">
        <v>902</v>
      </c>
      <c r="AA271" t="s">
        <v>903</v>
      </c>
      <c r="AB271" t="s">
        <v>892</v>
      </c>
      <c r="AC271" t="s">
        <v>73</v>
      </c>
      <c r="AD271" t="s">
        <v>904</v>
      </c>
      <c r="AE271" t="s">
        <v>75</v>
      </c>
      <c r="AF271" t="s">
        <v>76</v>
      </c>
      <c r="AG271" t="s">
        <v>77</v>
      </c>
      <c r="AH271" t="s">
        <v>905</v>
      </c>
      <c r="AI271" t="s">
        <v>615</v>
      </c>
      <c r="AJ271" t="s">
        <v>616</v>
      </c>
      <c r="AK271" t="s">
        <v>81</v>
      </c>
      <c r="AL271" t="s">
        <v>82</v>
      </c>
      <c r="AM271" t="s">
        <v>83</v>
      </c>
      <c r="AN271">
        <v>2008</v>
      </c>
      <c r="AO271">
        <v>160454</v>
      </c>
      <c r="AP271">
        <v>5388257</v>
      </c>
      <c r="AQ271">
        <v>152</v>
      </c>
      <c r="AR271" t="s">
        <v>84</v>
      </c>
      <c r="AS271">
        <v>562</v>
      </c>
      <c r="AT271" t="s">
        <v>85</v>
      </c>
      <c r="AU271" t="s">
        <v>86</v>
      </c>
      <c r="AV271">
        <v>562</v>
      </c>
      <c r="AW271" t="s">
        <v>906</v>
      </c>
      <c r="AX271" t="s">
        <v>88</v>
      </c>
      <c r="AZ271" t="s">
        <v>841</v>
      </c>
      <c r="BA271">
        <v>0</v>
      </c>
      <c r="BB271">
        <v>4</v>
      </c>
    </row>
    <row r="272" spans="1:54" x14ac:dyDescent="0.2">
      <c r="A272" t="s">
        <v>907</v>
      </c>
      <c r="B272" t="s">
        <v>907</v>
      </c>
      <c r="C272" t="s">
        <v>908</v>
      </c>
      <c r="D272" t="s">
        <v>909</v>
      </c>
      <c r="E272" t="s">
        <v>909</v>
      </c>
      <c r="G272" t="s">
        <v>56</v>
      </c>
      <c r="H272" t="s">
        <v>58</v>
      </c>
      <c r="I272" t="s">
        <v>910</v>
      </c>
      <c r="J272" t="s">
        <v>910</v>
      </c>
      <c r="K272" t="s">
        <v>7165</v>
      </c>
      <c r="L272" t="s">
        <v>7165</v>
      </c>
      <c r="M272" s="1" t="s">
        <v>603</v>
      </c>
      <c r="N272" t="s">
        <v>649</v>
      </c>
      <c r="O272" s="1" t="s">
        <v>650</v>
      </c>
      <c r="P272" s="1" t="s">
        <v>127</v>
      </c>
      <c r="Q272" s="11" t="s">
        <v>7194</v>
      </c>
      <c r="R272" s="1">
        <v>11</v>
      </c>
      <c r="S272" s="1">
        <v>2124</v>
      </c>
      <c r="T272" s="1" t="s">
        <v>651</v>
      </c>
      <c r="U272" s="1" t="s">
        <v>170</v>
      </c>
      <c r="V272" t="s">
        <v>911</v>
      </c>
      <c r="W272" t="s">
        <v>912</v>
      </c>
      <c r="X272" t="s">
        <v>68</v>
      </c>
      <c r="Y272" t="s">
        <v>913</v>
      </c>
      <c r="Z272" t="s">
        <v>914</v>
      </c>
      <c r="AA272" t="s">
        <v>915</v>
      </c>
      <c r="AB272" t="s">
        <v>892</v>
      </c>
      <c r="AC272" t="s">
        <v>73</v>
      </c>
      <c r="AD272" t="s">
        <v>916</v>
      </c>
      <c r="AE272" t="s">
        <v>75</v>
      </c>
      <c r="AF272" t="s">
        <v>76</v>
      </c>
      <c r="AG272" t="s">
        <v>77</v>
      </c>
      <c r="AH272" t="s">
        <v>630</v>
      </c>
      <c r="AI272" t="s">
        <v>615</v>
      </c>
      <c r="AJ272" t="s">
        <v>616</v>
      </c>
      <c r="AK272" t="s">
        <v>81</v>
      </c>
      <c r="AL272" t="s">
        <v>82</v>
      </c>
      <c r="AM272" t="s">
        <v>83</v>
      </c>
      <c r="AN272">
        <v>2008</v>
      </c>
      <c r="AO272">
        <v>176865</v>
      </c>
      <c r="AP272">
        <v>5365144</v>
      </c>
      <c r="AQ272">
        <v>174</v>
      </c>
      <c r="AR272" t="s">
        <v>84</v>
      </c>
      <c r="AS272">
        <v>562</v>
      </c>
      <c r="AT272" t="s">
        <v>85</v>
      </c>
      <c r="AU272" t="s">
        <v>86</v>
      </c>
      <c r="AV272">
        <v>562</v>
      </c>
      <c r="AW272" t="s">
        <v>917</v>
      </c>
      <c r="AX272" t="s">
        <v>88</v>
      </c>
      <c r="AZ272" t="s">
        <v>918</v>
      </c>
      <c r="BA272">
        <v>1</v>
      </c>
      <c r="BB272">
        <v>21</v>
      </c>
    </row>
    <row r="273" spans="1:54" x14ac:dyDescent="0.2">
      <c r="A273" t="s">
        <v>919</v>
      </c>
      <c r="B273" t="s">
        <v>919</v>
      </c>
      <c r="C273" t="s">
        <v>920</v>
      </c>
      <c r="D273" t="s">
        <v>921</v>
      </c>
      <c r="E273" t="s">
        <v>921</v>
      </c>
      <c r="G273" t="s">
        <v>56</v>
      </c>
      <c r="H273" t="s">
        <v>58</v>
      </c>
      <c r="I273" t="s">
        <v>922</v>
      </c>
      <c r="J273" t="s">
        <v>922</v>
      </c>
      <c r="K273" t="s">
        <v>7165</v>
      </c>
      <c r="L273" t="s">
        <v>7165</v>
      </c>
      <c r="M273" s="1" t="s">
        <v>603</v>
      </c>
      <c r="N273" t="s">
        <v>649</v>
      </c>
      <c r="O273" s="1" t="s">
        <v>650</v>
      </c>
      <c r="P273" s="1" t="s">
        <v>127</v>
      </c>
      <c r="Q273" s="11" t="s">
        <v>7211</v>
      </c>
      <c r="R273" s="1">
        <v>11</v>
      </c>
      <c r="S273" s="1">
        <v>2124</v>
      </c>
      <c r="T273" s="1" t="s">
        <v>651</v>
      </c>
      <c r="U273" s="1" t="s">
        <v>170</v>
      </c>
      <c r="V273" t="s">
        <v>923</v>
      </c>
      <c r="W273" t="s">
        <v>924</v>
      </c>
      <c r="X273" t="s">
        <v>68</v>
      </c>
      <c r="Y273" t="s">
        <v>925</v>
      </c>
      <c r="Z273" t="s">
        <v>926</v>
      </c>
      <c r="AA273" t="s">
        <v>927</v>
      </c>
      <c r="AB273" t="s">
        <v>892</v>
      </c>
      <c r="AC273" t="s">
        <v>73</v>
      </c>
      <c r="AD273" t="s">
        <v>928</v>
      </c>
      <c r="AE273" t="s">
        <v>75</v>
      </c>
      <c r="AF273" t="s">
        <v>76</v>
      </c>
      <c r="AG273" t="s">
        <v>77</v>
      </c>
      <c r="AH273" t="s">
        <v>929</v>
      </c>
      <c r="AI273" t="s">
        <v>615</v>
      </c>
      <c r="AJ273" t="s">
        <v>616</v>
      </c>
      <c r="AK273" t="s">
        <v>81</v>
      </c>
      <c r="AL273" t="s">
        <v>82</v>
      </c>
      <c r="AM273" t="s">
        <v>83</v>
      </c>
      <c r="AN273">
        <v>2008</v>
      </c>
      <c r="AO273">
        <v>149646</v>
      </c>
      <c r="AP273">
        <v>5359097</v>
      </c>
      <c r="AQ273">
        <v>186</v>
      </c>
      <c r="AR273" t="s">
        <v>84</v>
      </c>
      <c r="AS273">
        <v>562</v>
      </c>
      <c r="AT273" t="s">
        <v>85</v>
      </c>
      <c r="AU273" t="s">
        <v>86</v>
      </c>
      <c r="AV273">
        <v>562</v>
      </c>
      <c r="AW273" t="s">
        <v>930</v>
      </c>
      <c r="AX273" t="s">
        <v>88</v>
      </c>
      <c r="AZ273" t="s">
        <v>918</v>
      </c>
      <c r="BA273">
        <v>1</v>
      </c>
      <c r="BB273">
        <v>20</v>
      </c>
    </row>
    <row r="274" spans="1:54" x14ac:dyDescent="0.2">
      <c r="A274" t="s">
        <v>931</v>
      </c>
      <c r="B274" t="s">
        <v>932</v>
      </c>
      <c r="C274" t="s">
        <v>933</v>
      </c>
      <c r="D274" t="s">
        <v>934</v>
      </c>
      <c r="E274" t="s">
        <v>934</v>
      </c>
      <c r="G274" t="s">
        <v>56</v>
      </c>
      <c r="H274" t="s">
        <v>58</v>
      </c>
      <c r="I274" t="s">
        <v>935</v>
      </c>
      <c r="J274" t="s">
        <v>935</v>
      </c>
      <c r="K274" t="s">
        <v>7165</v>
      </c>
      <c r="L274" t="s">
        <v>7165</v>
      </c>
      <c r="M274" s="1" t="s">
        <v>603</v>
      </c>
      <c r="N274" t="s">
        <v>604</v>
      </c>
      <c r="O274" s="1" t="s">
        <v>605</v>
      </c>
      <c r="P274" s="1" t="s">
        <v>127</v>
      </c>
      <c r="Q274" s="11" t="s">
        <v>7194</v>
      </c>
      <c r="R274" s="1">
        <v>11</v>
      </c>
      <c r="S274" s="1">
        <v>2124</v>
      </c>
      <c r="T274" s="1" t="s">
        <v>169</v>
      </c>
      <c r="U274" s="1" t="s">
        <v>170</v>
      </c>
      <c r="V274" t="s">
        <v>936</v>
      </c>
      <c r="W274" t="s">
        <v>937</v>
      </c>
      <c r="X274" t="s">
        <v>68</v>
      </c>
      <c r="Y274" t="s">
        <v>938</v>
      </c>
      <c r="Z274" t="s">
        <v>939</v>
      </c>
      <c r="AA274" t="s">
        <v>940</v>
      </c>
      <c r="AB274" t="s">
        <v>941</v>
      </c>
      <c r="AC274" t="s">
        <v>73</v>
      </c>
      <c r="AD274" t="s">
        <v>942</v>
      </c>
      <c r="AE274" t="s">
        <v>75</v>
      </c>
      <c r="AF274" t="s">
        <v>76</v>
      </c>
      <c r="AG274" t="s">
        <v>77</v>
      </c>
      <c r="AH274" t="s">
        <v>745</v>
      </c>
      <c r="AI274" t="s">
        <v>615</v>
      </c>
      <c r="AJ274" t="s">
        <v>616</v>
      </c>
      <c r="AK274" t="s">
        <v>81</v>
      </c>
      <c r="AL274" t="s">
        <v>82</v>
      </c>
      <c r="AM274" t="s">
        <v>83</v>
      </c>
      <c r="AN274">
        <v>2009</v>
      </c>
      <c r="AO274">
        <v>160454</v>
      </c>
      <c r="AP274">
        <v>5401745</v>
      </c>
      <c r="AQ274">
        <v>144</v>
      </c>
      <c r="AR274" t="s">
        <v>84</v>
      </c>
      <c r="AS274">
        <v>562</v>
      </c>
      <c r="AT274" t="s">
        <v>85</v>
      </c>
      <c r="AU274" t="s">
        <v>86</v>
      </c>
      <c r="AV274">
        <v>562</v>
      </c>
      <c r="AW274" t="s">
        <v>943</v>
      </c>
      <c r="AX274" t="s">
        <v>88</v>
      </c>
      <c r="AZ274" t="s">
        <v>841</v>
      </c>
      <c r="BA274">
        <v>0</v>
      </c>
      <c r="BB274">
        <v>4</v>
      </c>
    </row>
    <row r="275" spans="1:54" x14ac:dyDescent="0.2">
      <c r="A275" t="s">
        <v>944</v>
      </c>
      <c r="B275" t="s">
        <v>945</v>
      </c>
      <c r="C275" t="s">
        <v>946</v>
      </c>
      <c r="D275" t="s">
        <v>947</v>
      </c>
      <c r="E275" t="s">
        <v>947</v>
      </c>
      <c r="G275" t="s">
        <v>56</v>
      </c>
      <c r="H275" t="s">
        <v>58</v>
      </c>
      <c r="I275" t="s">
        <v>935</v>
      </c>
      <c r="J275" t="s">
        <v>935</v>
      </c>
      <c r="K275" t="s">
        <v>7165</v>
      </c>
      <c r="L275" t="s">
        <v>7165</v>
      </c>
      <c r="M275" s="1" t="s">
        <v>603</v>
      </c>
      <c r="N275" t="s">
        <v>604</v>
      </c>
      <c r="O275" s="1" t="s">
        <v>605</v>
      </c>
      <c r="P275" s="1" t="s">
        <v>127</v>
      </c>
      <c r="Q275" s="11" t="s">
        <v>7194</v>
      </c>
      <c r="R275" s="1">
        <v>11</v>
      </c>
      <c r="S275" s="1">
        <v>2124</v>
      </c>
      <c r="T275" s="1" t="s">
        <v>169</v>
      </c>
      <c r="U275" s="1" t="s">
        <v>170</v>
      </c>
      <c r="V275" t="s">
        <v>948</v>
      </c>
      <c r="W275" t="s">
        <v>949</v>
      </c>
      <c r="X275" t="s">
        <v>68</v>
      </c>
      <c r="Y275" t="s">
        <v>950</v>
      </c>
      <c r="Z275" t="s">
        <v>951</v>
      </c>
      <c r="AA275" t="s">
        <v>952</v>
      </c>
      <c r="AB275" t="s">
        <v>941</v>
      </c>
      <c r="AC275" t="s">
        <v>73</v>
      </c>
      <c r="AD275" t="s">
        <v>953</v>
      </c>
      <c r="AE275" t="s">
        <v>75</v>
      </c>
      <c r="AF275" t="s">
        <v>76</v>
      </c>
      <c r="AG275" t="s">
        <v>77</v>
      </c>
      <c r="AH275" t="s">
        <v>745</v>
      </c>
      <c r="AI275" t="s">
        <v>615</v>
      </c>
      <c r="AJ275" t="s">
        <v>616</v>
      </c>
      <c r="AK275" t="s">
        <v>81</v>
      </c>
      <c r="AL275" t="s">
        <v>82</v>
      </c>
      <c r="AM275" t="s">
        <v>83</v>
      </c>
      <c r="AN275">
        <v>2009</v>
      </c>
      <c r="AO275">
        <v>155737</v>
      </c>
      <c r="AP275">
        <v>5375609</v>
      </c>
      <c r="AQ275">
        <v>144</v>
      </c>
      <c r="AR275" t="s">
        <v>84</v>
      </c>
      <c r="AS275">
        <v>562</v>
      </c>
      <c r="AT275" t="s">
        <v>85</v>
      </c>
      <c r="AU275" t="s">
        <v>86</v>
      </c>
      <c r="AV275">
        <v>562</v>
      </c>
      <c r="AW275" t="s">
        <v>954</v>
      </c>
      <c r="AX275" t="s">
        <v>88</v>
      </c>
      <c r="AZ275" t="s">
        <v>841</v>
      </c>
      <c r="BA275">
        <v>2</v>
      </c>
      <c r="BB275">
        <v>6</v>
      </c>
    </row>
    <row r="276" spans="1:54" x14ac:dyDescent="0.2">
      <c r="A276" t="s">
        <v>955</v>
      </c>
      <c r="B276" t="s">
        <v>956</v>
      </c>
      <c r="C276" t="s">
        <v>957</v>
      </c>
      <c r="D276" t="s">
        <v>958</v>
      </c>
      <c r="E276" t="s">
        <v>958</v>
      </c>
      <c r="G276" t="s">
        <v>56</v>
      </c>
      <c r="H276" t="s">
        <v>58</v>
      </c>
      <c r="I276" t="s">
        <v>959</v>
      </c>
      <c r="J276" t="s">
        <v>959</v>
      </c>
      <c r="K276" t="s">
        <v>7165</v>
      </c>
      <c r="L276" t="s">
        <v>7165</v>
      </c>
      <c r="M276" s="1" t="s">
        <v>603</v>
      </c>
      <c r="N276" t="s">
        <v>604</v>
      </c>
      <c r="O276" s="1" t="s">
        <v>605</v>
      </c>
      <c r="P276" s="1" t="s">
        <v>127</v>
      </c>
      <c r="Q276" s="11" t="s">
        <v>7211</v>
      </c>
      <c r="R276" s="1">
        <v>11</v>
      </c>
      <c r="S276" s="1" t="s">
        <v>833</v>
      </c>
      <c r="T276" s="1" t="s">
        <v>960</v>
      </c>
      <c r="U276" s="1" t="s">
        <v>170</v>
      </c>
      <c r="V276" t="s">
        <v>961</v>
      </c>
      <c r="W276" t="s">
        <v>962</v>
      </c>
      <c r="X276" t="s">
        <v>68</v>
      </c>
      <c r="Y276" t="s">
        <v>963</v>
      </c>
      <c r="Z276" t="s">
        <v>964</v>
      </c>
      <c r="AA276" t="s">
        <v>965</v>
      </c>
      <c r="AB276" t="s">
        <v>941</v>
      </c>
      <c r="AC276" t="s">
        <v>73</v>
      </c>
      <c r="AD276" t="s">
        <v>966</v>
      </c>
      <c r="AE276" t="s">
        <v>967</v>
      </c>
      <c r="AF276" t="s">
        <v>76</v>
      </c>
      <c r="AG276" t="s">
        <v>77</v>
      </c>
      <c r="AH276" t="s">
        <v>968</v>
      </c>
      <c r="AI276" t="s">
        <v>969</v>
      </c>
      <c r="AJ276" t="s">
        <v>970</v>
      </c>
      <c r="AK276" t="s">
        <v>81</v>
      </c>
      <c r="AL276" t="s">
        <v>82</v>
      </c>
      <c r="AM276" t="s">
        <v>83</v>
      </c>
      <c r="AN276">
        <v>2009</v>
      </c>
      <c r="AO276">
        <v>145327</v>
      </c>
      <c r="AP276">
        <v>5506744</v>
      </c>
      <c r="AQ276">
        <v>180</v>
      </c>
      <c r="AR276" t="s">
        <v>84</v>
      </c>
      <c r="AS276">
        <v>562</v>
      </c>
      <c r="AT276" t="s">
        <v>85</v>
      </c>
      <c r="AU276" t="s">
        <v>86</v>
      </c>
      <c r="AV276">
        <v>562</v>
      </c>
      <c r="AW276" t="s">
        <v>971</v>
      </c>
      <c r="AX276" t="s">
        <v>88</v>
      </c>
      <c r="AZ276" t="s">
        <v>632</v>
      </c>
      <c r="BA276">
        <v>42</v>
      </c>
      <c r="BB276">
        <v>24</v>
      </c>
    </row>
    <row r="277" spans="1:54" x14ac:dyDescent="0.2">
      <c r="A277" t="s">
        <v>972</v>
      </c>
      <c r="B277" t="s">
        <v>973</v>
      </c>
      <c r="C277" t="s">
        <v>974</v>
      </c>
      <c r="D277" t="s">
        <v>975</v>
      </c>
      <c r="E277" t="s">
        <v>975</v>
      </c>
      <c r="G277" t="s">
        <v>56</v>
      </c>
      <c r="H277" t="s">
        <v>58</v>
      </c>
      <c r="I277" t="s">
        <v>976</v>
      </c>
      <c r="J277" t="s">
        <v>976</v>
      </c>
      <c r="K277" t="s">
        <v>7165</v>
      </c>
      <c r="L277" t="s">
        <v>7165</v>
      </c>
      <c r="M277" s="1" t="s">
        <v>603</v>
      </c>
      <c r="N277" t="s">
        <v>604</v>
      </c>
      <c r="O277" s="1" t="s">
        <v>875</v>
      </c>
      <c r="P277" s="1" t="s">
        <v>64</v>
      </c>
      <c r="Q277" s="11" t="s">
        <v>7220</v>
      </c>
      <c r="R277" s="1">
        <v>11</v>
      </c>
      <c r="S277" s="1">
        <v>2130</v>
      </c>
      <c r="T277" s="1" t="s">
        <v>169</v>
      </c>
      <c r="U277" s="1" t="s">
        <v>170</v>
      </c>
      <c r="V277" t="s">
        <v>977</v>
      </c>
      <c r="W277" t="s">
        <v>978</v>
      </c>
      <c r="X277" t="s">
        <v>68</v>
      </c>
      <c r="Y277" t="s">
        <v>979</v>
      </c>
      <c r="Z277" t="s">
        <v>980</v>
      </c>
      <c r="AA277" t="s">
        <v>981</v>
      </c>
      <c r="AB277" t="s">
        <v>941</v>
      </c>
      <c r="AC277" t="s">
        <v>73</v>
      </c>
      <c r="AD277" t="s">
        <v>982</v>
      </c>
      <c r="AE277" t="s">
        <v>75</v>
      </c>
      <c r="AF277" t="s">
        <v>76</v>
      </c>
      <c r="AG277" t="s">
        <v>77</v>
      </c>
      <c r="AH277" t="s">
        <v>780</v>
      </c>
      <c r="AI277" t="s">
        <v>615</v>
      </c>
      <c r="AJ277" t="s">
        <v>616</v>
      </c>
      <c r="AK277" t="s">
        <v>81</v>
      </c>
      <c r="AL277" t="s">
        <v>82</v>
      </c>
      <c r="AM277" t="s">
        <v>83</v>
      </c>
      <c r="AN277">
        <v>2009</v>
      </c>
      <c r="AO277">
        <v>185727</v>
      </c>
      <c r="AP277">
        <v>5369989</v>
      </c>
      <c r="AQ277">
        <v>165</v>
      </c>
      <c r="AR277" t="s">
        <v>84</v>
      </c>
      <c r="AS277">
        <v>562</v>
      </c>
      <c r="AT277" t="s">
        <v>85</v>
      </c>
      <c r="AU277" t="s">
        <v>86</v>
      </c>
      <c r="AV277">
        <v>562</v>
      </c>
      <c r="AW277" t="s">
        <v>983</v>
      </c>
      <c r="AX277" t="s">
        <v>88</v>
      </c>
      <c r="AZ277" t="s">
        <v>984</v>
      </c>
      <c r="BB277">
        <v>21</v>
      </c>
    </row>
    <row r="278" spans="1:54" x14ac:dyDescent="0.2">
      <c r="A278" t="s">
        <v>985</v>
      </c>
      <c r="B278" t="s">
        <v>986</v>
      </c>
      <c r="C278" t="s">
        <v>987</v>
      </c>
      <c r="D278" t="s">
        <v>988</v>
      </c>
      <c r="E278" t="s">
        <v>988</v>
      </c>
      <c r="G278" t="s">
        <v>56</v>
      </c>
      <c r="H278" t="s">
        <v>58</v>
      </c>
      <c r="I278" t="s">
        <v>989</v>
      </c>
      <c r="J278" t="s">
        <v>989</v>
      </c>
      <c r="K278" t="s">
        <v>7165</v>
      </c>
      <c r="L278" t="s">
        <v>7165</v>
      </c>
      <c r="M278" s="1" t="s">
        <v>603</v>
      </c>
      <c r="N278" t="s">
        <v>604</v>
      </c>
      <c r="O278" s="1" t="s">
        <v>605</v>
      </c>
      <c r="P278" s="1" t="s">
        <v>127</v>
      </c>
      <c r="Q278" s="11" t="s">
        <v>7194</v>
      </c>
      <c r="R278" s="1">
        <v>11</v>
      </c>
      <c r="S278" s="1">
        <v>2124</v>
      </c>
      <c r="T278" s="1" t="s">
        <v>169</v>
      </c>
      <c r="U278" s="1" t="s">
        <v>170</v>
      </c>
      <c r="V278" t="s">
        <v>990</v>
      </c>
      <c r="W278" t="s">
        <v>991</v>
      </c>
      <c r="X278" t="s">
        <v>68</v>
      </c>
      <c r="Y278" t="s">
        <v>992</v>
      </c>
      <c r="Z278" t="s">
        <v>993</v>
      </c>
      <c r="AA278" t="s">
        <v>994</v>
      </c>
      <c r="AB278" t="s">
        <v>941</v>
      </c>
      <c r="AC278" t="s">
        <v>73</v>
      </c>
      <c r="AD278" t="s">
        <v>995</v>
      </c>
      <c r="AE278" t="s">
        <v>75</v>
      </c>
      <c r="AF278" t="s">
        <v>76</v>
      </c>
      <c r="AG278" t="s">
        <v>77</v>
      </c>
      <c r="AH278" t="s">
        <v>669</v>
      </c>
      <c r="AI278" t="s">
        <v>615</v>
      </c>
      <c r="AJ278" t="s">
        <v>616</v>
      </c>
      <c r="AK278" t="s">
        <v>81</v>
      </c>
      <c r="AL278" t="s">
        <v>82</v>
      </c>
      <c r="AM278" t="s">
        <v>83</v>
      </c>
      <c r="AN278">
        <v>2009</v>
      </c>
      <c r="AO278">
        <v>150861</v>
      </c>
      <c r="AP278">
        <v>5378914</v>
      </c>
      <c r="AQ278">
        <v>167</v>
      </c>
      <c r="AR278" t="s">
        <v>84</v>
      </c>
      <c r="AS278">
        <v>562</v>
      </c>
      <c r="AT278" t="s">
        <v>85</v>
      </c>
      <c r="AU278" t="s">
        <v>86</v>
      </c>
      <c r="AV278">
        <v>562</v>
      </c>
      <c r="AW278" t="s">
        <v>996</v>
      </c>
      <c r="AX278" t="s">
        <v>88</v>
      </c>
      <c r="AZ278" t="s">
        <v>841</v>
      </c>
      <c r="BA278">
        <v>2</v>
      </c>
      <c r="BB278">
        <v>14</v>
      </c>
    </row>
    <row r="279" spans="1:54" x14ac:dyDescent="0.2">
      <c r="A279" t="s">
        <v>3572</v>
      </c>
      <c r="B279" t="s">
        <v>3572</v>
      </c>
      <c r="C279" t="s">
        <v>3573</v>
      </c>
      <c r="D279" t="s">
        <v>3574</v>
      </c>
      <c r="E279" t="s">
        <v>3574</v>
      </c>
      <c r="G279" t="s">
        <v>56</v>
      </c>
      <c r="H279" t="s">
        <v>93</v>
      </c>
      <c r="I279" t="s">
        <v>602</v>
      </c>
      <c r="K279" t="s">
        <v>7162</v>
      </c>
      <c r="L279" t="s">
        <v>7162</v>
      </c>
      <c r="M279" s="1" t="s">
        <v>603</v>
      </c>
      <c r="N279" t="s">
        <v>3575</v>
      </c>
      <c r="O279" s="1" t="s">
        <v>875</v>
      </c>
      <c r="P279" s="1" t="s">
        <v>64</v>
      </c>
      <c r="Q279" t="s">
        <v>7194</v>
      </c>
      <c r="R279" s="1">
        <v>11</v>
      </c>
      <c r="S279" s="1">
        <v>2114</v>
      </c>
      <c r="T279" s="1"/>
      <c r="U279" s="1"/>
      <c r="V279" t="s">
        <v>3577</v>
      </c>
      <c r="W279" t="s">
        <v>3578</v>
      </c>
      <c r="X279" t="s">
        <v>3579</v>
      </c>
      <c r="Z279" t="s">
        <v>3580</v>
      </c>
    </row>
    <row r="280" spans="1:54" x14ac:dyDescent="0.2">
      <c r="A280" t="s">
        <v>997</v>
      </c>
      <c r="B280" t="s">
        <v>998</v>
      </c>
      <c r="C280" t="s">
        <v>987</v>
      </c>
      <c r="D280" t="s">
        <v>999</v>
      </c>
      <c r="E280" t="s">
        <v>999</v>
      </c>
      <c r="G280" t="s">
        <v>56</v>
      </c>
      <c r="H280" t="s">
        <v>58</v>
      </c>
      <c r="I280" t="s">
        <v>989</v>
      </c>
      <c r="J280" t="s">
        <v>989</v>
      </c>
      <c r="K280" t="s">
        <v>7165</v>
      </c>
      <c r="L280" t="s">
        <v>7165</v>
      </c>
      <c r="M280" s="1" t="s">
        <v>603</v>
      </c>
      <c r="N280" t="s">
        <v>604</v>
      </c>
      <c r="O280" s="1" t="s">
        <v>605</v>
      </c>
      <c r="P280" s="1" t="s">
        <v>127</v>
      </c>
      <c r="Q280" s="11" t="s">
        <v>7194</v>
      </c>
      <c r="R280" s="1">
        <v>11</v>
      </c>
      <c r="S280" s="1">
        <v>2124</v>
      </c>
      <c r="T280" s="1" t="s">
        <v>169</v>
      </c>
      <c r="U280" s="1" t="s">
        <v>170</v>
      </c>
      <c r="V280" t="s">
        <v>1000</v>
      </c>
      <c r="W280" t="s">
        <v>1001</v>
      </c>
      <c r="X280" t="s">
        <v>68</v>
      </c>
      <c r="Y280" t="s">
        <v>1002</v>
      </c>
      <c r="Z280" t="s">
        <v>1003</v>
      </c>
      <c r="AA280" t="s">
        <v>1004</v>
      </c>
      <c r="AB280" t="s">
        <v>1005</v>
      </c>
      <c r="AC280" t="s">
        <v>73</v>
      </c>
      <c r="AD280" t="s">
        <v>1006</v>
      </c>
      <c r="AE280" t="s">
        <v>75</v>
      </c>
      <c r="AF280" t="s">
        <v>76</v>
      </c>
      <c r="AG280" t="s">
        <v>77</v>
      </c>
      <c r="AH280" t="s">
        <v>630</v>
      </c>
      <c r="AI280" t="s">
        <v>615</v>
      </c>
      <c r="AJ280" t="s">
        <v>616</v>
      </c>
      <c r="AK280" t="s">
        <v>81</v>
      </c>
      <c r="AL280" t="s">
        <v>82</v>
      </c>
      <c r="AM280" t="s">
        <v>83</v>
      </c>
      <c r="AN280">
        <v>2009</v>
      </c>
      <c r="AO280">
        <v>124148</v>
      </c>
      <c r="AP280">
        <v>5391397</v>
      </c>
      <c r="AQ280">
        <v>158</v>
      </c>
      <c r="AR280" t="s">
        <v>84</v>
      </c>
      <c r="AS280">
        <v>562</v>
      </c>
      <c r="AT280" t="s">
        <v>85</v>
      </c>
      <c r="AU280" t="s">
        <v>86</v>
      </c>
      <c r="AV280">
        <v>562</v>
      </c>
      <c r="AW280" t="s">
        <v>1007</v>
      </c>
      <c r="AX280" t="s">
        <v>88</v>
      </c>
      <c r="AZ280" t="s">
        <v>841</v>
      </c>
      <c r="BA280">
        <v>2</v>
      </c>
      <c r="BB280">
        <v>14</v>
      </c>
    </row>
    <row r="281" spans="1:54" x14ac:dyDescent="0.2">
      <c r="A281" t="s">
        <v>4611</v>
      </c>
      <c r="B281" t="s">
        <v>4612</v>
      </c>
      <c r="C281" t="s">
        <v>4597</v>
      </c>
      <c r="D281" t="s">
        <v>4613</v>
      </c>
      <c r="E281" t="s">
        <v>4613</v>
      </c>
      <c r="G281" t="s">
        <v>56</v>
      </c>
      <c r="H281" t="s">
        <v>93</v>
      </c>
      <c r="I281" t="s">
        <v>4599</v>
      </c>
      <c r="J281" t="s">
        <v>4599</v>
      </c>
      <c r="K281" t="s">
        <v>7169</v>
      </c>
      <c r="L281" t="s">
        <v>7169</v>
      </c>
      <c r="M281" s="1" t="s">
        <v>4600</v>
      </c>
      <c r="N281" t="s">
        <v>4614</v>
      </c>
      <c r="O281" s="1" t="s">
        <v>126</v>
      </c>
      <c r="P281" s="1" t="s">
        <v>127</v>
      </c>
      <c r="Q281" s="11" t="s">
        <v>7296</v>
      </c>
      <c r="R281" s="1">
        <v>657</v>
      </c>
      <c r="S281" s="1">
        <v>30109</v>
      </c>
      <c r="T281" s="1" t="s">
        <v>169</v>
      </c>
      <c r="U281" s="1" t="s">
        <v>170</v>
      </c>
      <c r="V281" t="s">
        <v>4615</v>
      </c>
      <c r="W281" t="s">
        <v>4616</v>
      </c>
      <c r="X281" t="s">
        <v>68</v>
      </c>
      <c r="Y281" t="s">
        <v>4617</v>
      </c>
      <c r="Z281" t="s">
        <v>4618</v>
      </c>
      <c r="AA281" t="s">
        <v>4619</v>
      </c>
      <c r="AB281" t="s">
        <v>1005</v>
      </c>
      <c r="AC281" t="s">
        <v>73</v>
      </c>
      <c r="AD281" t="s">
        <v>4620</v>
      </c>
      <c r="AE281" t="s">
        <v>3341</v>
      </c>
      <c r="AF281" t="s">
        <v>76</v>
      </c>
      <c r="AG281" t="s">
        <v>77</v>
      </c>
      <c r="AH281" t="s">
        <v>4608</v>
      </c>
      <c r="AI281" t="s">
        <v>107</v>
      </c>
      <c r="AJ281" t="s">
        <v>3343</v>
      </c>
      <c r="AK281" t="s">
        <v>81</v>
      </c>
      <c r="AL281" t="s">
        <v>82</v>
      </c>
      <c r="AM281" t="s">
        <v>83</v>
      </c>
      <c r="AN281">
        <v>2013</v>
      </c>
      <c r="AO281">
        <v>97186</v>
      </c>
      <c r="AP281">
        <v>5036560</v>
      </c>
      <c r="AQ281">
        <v>134</v>
      </c>
      <c r="AR281" t="s">
        <v>84</v>
      </c>
      <c r="AS281">
        <v>562</v>
      </c>
      <c r="AT281" t="s">
        <v>85</v>
      </c>
      <c r="AU281" t="s">
        <v>86</v>
      </c>
      <c r="AV281">
        <v>562</v>
      </c>
      <c r="AW281" t="s">
        <v>4621</v>
      </c>
      <c r="AX281" t="s">
        <v>88</v>
      </c>
      <c r="AZ281" t="s">
        <v>4610</v>
      </c>
      <c r="BA281">
        <v>2</v>
      </c>
    </row>
    <row r="282" spans="1:54" x14ac:dyDescent="0.2">
      <c r="A282" t="s">
        <v>1008</v>
      </c>
      <c r="B282" t="s">
        <v>1009</v>
      </c>
      <c r="C282" t="s">
        <v>1010</v>
      </c>
      <c r="D282" t="s">
        <v>1011</v>
      </c>
      <c r="E282" t="s">
        <v>1011</v>
      </c>
      <c r="G282" t="s">
        <v>56</v>
      </c>
      <c r="H282" t="s">
        <v>58</v>
      </c>
      <c r="I282" t="s">
        <v>1012</v>
      </c>
      <c r="J282" t="s">
        <v>1012</v>
      </c>
      <c r="K282" t="s">
        <v>7165</v>
      </c>
      <c r="L282" t="s">
        <v>7165</v>
      </c>
      <c r="M282" s="1" t="s">
        <v>603</v>
      </c>
      <c r="N282" t="s">
        <v>604</v>
      </c>
      <c r="O282" s="1" t="s">
        <v>605</v>
      </c>
      <c r="P282" s="1" t="s">
        <v>127</v>
      </c>
      <c r="Q282" s="11" t="s">
        <v>7194</v>
      </c>
      <c r="R282" s="1">
        <v>11</v>
      </c>
      <c r="S282" s="1">
        <v>2124</v>
      </c>
      <c r="T282" s="1" t="s">
        <v>169</v>
      </c>
      <c r="U282" s="1" t="s">
        <v>170</v>
      </c>
      <c r="V282" t="s">
        <v>1013</v>
      </c>
      <c r="W282" t="s">
        <v>1014</v>
      </c>
      <c r="X282" t="s">
        <v>68</v>
      </c>
      <c r="Y282" t="s">
        <v>1015</v>
      </c>
      <c r="Z282" t="s">
        <v>1016</v>
      </c>
      <c r="AA282" t="s">
        <v>1017</v>
      </c>
      <c r="AB282" t="s">
        <v>1005</v>
      </c>
      <c r="AC282" t="s">
        <v>73</v>
      </c>
      <c r="AD282" t="s">
        <v>1018</v>
      </c>
      <c r="AE282" t="s">
        <v>75</v>
      </c>
      <c r="AF282" t="s">
        <v>76</v>
      </c>
      <c r="AG282" t="s">
        <v>77</v>
      </c>
      <c r="AH282" t="s">
        <v>1019</v>
      </c>
      <c r="AI282" t="s">
        <v>615</v>
      </c>
      <c r="AJ282" t="s">
        <v>616</v>
      </c>
      <c r="AK282" t="s">
        <v>81</v>
      </c>
      <c r="AL282" t="s">
        <v>82</v>
      </c>
      <c r="AM282" t="s">
        <v>83</v>
      </c>
      <c r="AN282">
        <v>2009</v>
      </c>
      <c r="AO282">
        <v>101552</v>
      </c>
      <c r="AP282">
        <v>5367350</v>
      </c>
      <c r="AQ282">
        <v>203</v>
      </c>
      <c r="AR282" t="s">
        <v>84</v>
      </c>
      <c r="AS282">
        <v>562</v>
      </c>
      <c r="AT282" t="s">
        <v>85</v>
      </c>
      <c r="AU282" t="s">
        <v>86</v>
      </c>
      <c r="AV282">
        <v>562</v>
      </c>
      <c r="AW282" t="s">
        <v>1020</v>
      </c>
      <c r="AX282" t="s">
        <v>88</v>
      </c>
      <c r="AZ282" t="s">
        <v>841</v>
      </c>
      <c r="BA282">
        <v>2</v>
      </c>
      <c r="BB282">
        <v>14</v>
      </c>
    </row>
    <row r="283" spans="1:54" x14ac:dyDescent="0.2">
      <c r="A283" t="s">
        <v>1021</v>
      </c>
      <c r="B283" t="s">
        <v>1022</v>
      </c>
      <c r="C283" t="s">
        <v>1023</v>
      </c>
      <c r="D283" t="s">
        <v>1024</v>
      </c>
      <c r="E283" t="s">
        <v>1024</v>
      </c>
      <c r="G283" t="s">
        <v>56</v>
      </c>
      <c r="H283" t="s">
        <v>58</v>
      </c>
      <c r="I283" t="s">
        <v>1025</v>
      </c>
      <c r="J283" t="s">
        <v>1025</v>
      </c>
      <c r="K283" t="s">
        <v>7165</v>
      </c>
      <c r="L283" t="s">
        <v>7165</v>
      </c>
      <c r="M283" s="1" t="s">
        <v>603</v>
      </c>
      <c r="N283" t="s">
        <v>604</v>
      </c>
      <c r="O283" s="1" t="s">
        <v>875</v>
      </c>
      <c r="P283" s="1" t="s">
        <v>64</v>
      </c>
      <c r="Q283" s="11" t="s">
        <v>7220</v>
      </c>
      <c r="R283" s="1">
        <v>11</v>
      </c>
      <c r="S283" s="1">
        <v>2124</v>
      </c>
      <c r="T283" s="1" t="s">
        <v>169</v>
      </c>
      <c r="U283" s="1" t="s">
        <v>170</v>
      </c>
      <c r="V283" t="s">
        <v>1026</v>
      </c>
      <c r="W283" t="s">
        <v>1027</v>
      </c>
      <c r="X283" t="s">
        <v>68</v>
      </c>
      <c r="Y283" t="s">
        <v>1028</v>
      </c>
      <c r="Z283" t="s">
        <v>1029</v>
      </c>
      <c r="AA283" t="s">
        <v>1030</v>
      </c>
      <c r="AB283" t="s">
        <v>1005</v>
      </c>
      <c r="AC283" t="s">
        <v>73</v>
      </c>
      <c r="AD283" t="s">
        <v>1031</v>
      </c>
      <c r="AE283" t="s">
        <v>75</v>
      </c>
      <c r="AF283" t="s">
        <v>76</v>
      </c>
      <c r="AG283" t="s">
        <v>77</v>
      </c>
      <c r="AH283" t="s">
        <v>1032</v>
      </c>
      <c r="AI283" t="s">
        <v>615</v>
      </c>
      <c r="AJ283" t="s">
        <v>616</v>
      </c>
      <c r="AK283" t="s">
        <v>81</v>
      </c>
      <c r="AL283" t="s">
        <v>82</v>
      </c>
      <c r="AM283" t="s">
        <v>83</v>
      </c>
      <c r="AN283">
        <v>2009</v>
      </c>
      <c r="AO283">
        <v>124149</v>
      </c>
      <c r="AP283">
        <v>5310525</v>
      </c>
      <c r="AQ283">
        <v>136</v>
      </c>
      <c r="AR283" t="s">
        <v>84</v>
      </c>
      <c r="AS283">
        <v>562</v>
      </c>
      <c r="AT283" t="s">
        <v>85</v>
      </c>
      <c r="AU283" t="s">
        <v>86</v>
      </c>
      <c r="AV283">
        <v>562</v>
      </c>
      <c r="AW283" t="s">
        <v>1033</v>
      </c>
      <c r="AX283" t="s">
        <v>88</v>
      </c>
      <c r="AZ283" t="s">
        <v>1034</v>
      </c>
      <c r="BA283">
        <v>54</v>
      </c>
      <c r="BB283">
        <v>36</v>
      </c>
    </row>
    <row r="284" spans="1:54" x14ac:dyDescent="0.2">
      <c r="A284" t="s">
        <v>1035</v>
      </c>
      <c r="B284" t="s">
        <v>1036</v>
      </c>
      <c r="C284" t="s">
        <v>1037</v>
      </c>
      <c r="D284" t="s">
        <v>1038</v>
      </c>
      <c r="E284" t="s">
        <v>1038</v>
      </c>
      <c r="G284" t="s">
        <v>56</v>
      </c>
      <c r="H284" t="s">
        <v>58</v>
      </c>
      <c r="I284" t="s">
        <v>1039</v>
      </c>
      <c r="J284" t="s">
        <v>700</v>
      </c>
      <c r="K284" t="s">
        <v>7165</v>
      </c>
      <c r="L284" t="s">
        <v>7165</v>
      </c>
      <c r="M284" s="1" t="s">
        <v>603</v>
      </c>
      <c r="N284" t="s">
        <v>649</v>
      </c>
      <c r="O284" s="1" t="s">
        <v>650</v>
      </c>
      <c r="P284" s="1" t="s">
        <v>127</v>
      </c>
      <c r="Q284" s="11" t="s">
        <v>7211</v>
      </c>
      <c r="R284" s="1">
        <v>11</v>
      </c>
      <c r="S284" s="1">
        <v>2124</v>
      </c>
      <c r="T284" s="1" t="s">
        <v>1040</v>
      </c>
      <c r="U284" s="1" t="s">
        <v>170</v>
      </c>
      <c r="V284" t="s">
        <v>1041</v>
      </c>
      <c r="W284" t="s">
        <v>1042</v>
      </c>
      <c r="X284" t="s">
        <v>68</v>
      </c>
      <c r="Y284" t="s">
        <v>1043</v>
      </c>
      <c r="Z284" t="s">
        <v>1044</v>
      </c>
      <c r="AA284" t="s">
        <v>1045</v>
      </c>
      <c r="AB284" t="s">
        <v>1005</v>
      </c>
      <c r="AC284" t="s">
        <v>73</v>
      </c>
      <c r="AD284" t="s">
        <v>1046</v>
      </c>
      <c r="AE284" t="s">
        <v>1047</v>
      </c>
      <c r="AF284" t="s">
        <v>76</v>
      </c>
      <c r="AG284" t="s">
        <v>77</v>
      </c>
      <c r="AH284" t="s">
        <v>669</v>
      </c>
      <c r="AI284" t="s">
        <v>615</v>
      </c>
      <c r="AJ284" t="s">
        <v>1048</v>
      </c>
      <c r="AK284" t="s">
        <v>81</v>
      </c>
      <c r="AL284" t="s">
        <v>82</v>
      </c>
      <c r="AM284" t="s">
        <v>83</v>
      </c>
      <c r="AN284">
        <v>2009</v>
      </c>
      <c r="AO284">
        <v>184055</v>
      </c>
      <c r="AP284">
        <v>5382021</v>
      </c>
      <c r="AQ284">
        <v>180</v>
      </c>
      <c r="AR284" t="s">
        <v>84</v>
      </c>
      <c r="AS284">
        <v>562</v>
      </c>
      <c r="AT284" t="s">
        <v>85</v>
      </c>
      <c r="AU284" t="s">
        <v>86</v>
      </c>
      <c r="AV284">
        <v>562</v>
      </c>
      <c r="AW284" t="s">
        <v>1049</v>
      </c>
      <c r="AX284" t="s">
        <v>88</v>
      </c>
    </row>
    <row r="285" spans="1:54" x14ac:dyDescent="0.2">
      <c r="A285" t="s">
        <v>1050</v>
      </c>
      <c r="B285" t="s">
        <v>1051</v>
      </c>
      <c r="C285" t="s">
        <v>1052</v>
      </c>
      <c r="D285" t="s">
        <v>1053</v>
      </c>
      <c r="E285" t="s">
        <v>1053</v>
      </c>
      <c r="G285" t="s">
        <v>56</v>
      </c>
      <c r="H285" t="s">
        <v>58</v>
      </c>
      <c r="I285" t="s">
        <v>1054</v>
      </c>
      <c r="J285" t="s">
        <v>1054</v>
      </c>
      <c r="K285" t="s">
        <v>7165</v>
      </c>
      <c r="L285" t="s">
        <v>7165</v>
      </c>
      <c r="M285" s="1" t="s">
        <v>603</v>
      </c>
      <c r="N285" t="s">
        <v>604</v>
      </c>
      <c r="O285" s="1" t="s">
        <v>605</v>
      </c>
      <c r="P285" s="1" t="s">
        <v>127</v>
      </c>
      <c r="Q285" s="11" t="s">
        <v>7194</v>
      </c>
      <c r="R285" s="1">
        <v>11</v>
      </c>
      <c r="S285" s="1" t="s">
        <v>833</v>
      </c>
      <c r="T285" s="1" t="s">
        <v>1055</v>
      </c>
      <c r="U285" s="1" t="s">
        <v>170</v>
      </c>
      <c r="V285" t="s">
        <v>1056</v>
      </c>
      <c r="W285" t="s">
        <v>1057</v>
      </c>
      <c r="X285" t="s">
        <v>68</v>
      </c>
      <c r="Y285" t="s">
        <v>1058</v>
      </c>
      <c r="Z285" t="s">
        <v>1059</v>
      </c>
      <c r="AA285" t="s">
        <v>1060</v>
      </c>
      <c r="AB285" t="s">
        <v>1061</v>
      </c>
      <c r="AC285" t="s">
        <v>73</v>
      </c>
      <c r="AD285" t="s">
        <v>1062</v>
      </c>
      <c r="AE285" t="s">
        <v>1063</v>
      </c>
      <c r="AF285" t="s">
        <v>76</v>
      </c>
      <c r="AG285" t="s">
        <v>77</v>
      </c>
      <c r="AH285" t="s">
        <v>669</v>
      </c>
      <c r="AI285" t="s">
        <v>866</v>
      </c>
      <c r="AJ285" t="s">
        <v>1064</v>
      </c>
      <c r="AK285" t="s">
        <v>81</v>
      </c>
      <c r="AL285" t="s">
        <v>82</v>
      </c>
      <c r="AM285" t="s">
        <v>83</v>
      </c>
      <c r="AN285">
        <v>2010</v>
      </c>
      <c r="AO285">
        <v>149646</v>
      </c>
      <c r="AP285">
        <v>5526533</v>
      </c>
      <c r="AQ285">
        <v>174</v>
      </c>
      <c r="AR285" t="s">
        <v>84</v>
      </c>
      <c r="AS285">
        <v>562</v>
      </c>
      <c r="AT285" t="s">
        <v>85</v>
      </c>
      <c r="AU285" t="s">
        <v>86</v>
      </c>
      <c r="AV285">
        <v>562</v>
      </c>
      <c r="AW285" t="s">
        <v>1065</v>
      </c>
      <c r="AX285" t="s">
        <v>88</v>
      </c>
      <c r="AZ285" t="s">
        <v>869</v>
      </c>
      <c r="BA285">
        <v>28</v>
      </c>
    </row>
    <row r="286" spans="1:54" ht="16" thickBot="1" x14ac:dyDescent="0.25">
      <c r="A286" t="s">
        <v>1066</v>
      </c>
      <c r="B286" t="s">
        <v>1067</v>
      </c>
      <c r="C286" t="s">
        <v>1068</v>
      </c>
      <c r="D286" t="s">
        <v>1069</v>
      </c>
      <c r="E286" t="s">
        <v>1069</v>
      </c>
      <c r="G286" t="s">
        <v>56</v>
      </c>
      <c r="H286" t="s">
        <v>58</v>
      </c>
      <c r="I286" t="s">
        <v>1070</v>
      </c>
      <c r="J286" t="s">
        <v>1070</v>
      </c>
      <c r="K286" t="s">
        <v>7165</v>
      </c>
      <c r="L286" t="s">
        <v>7165</v>
      </c>
      <c r="M286" s="1" t="s">
        <v>603</v>
      </c>
      <c r="N286" t="s">
        <v>649</v>
      </c>
      <c r="O286" s="1" t="s">
        <v>605</v>
      </c>
      <c r="P286" s="1" t="s">
        <v>127</v>
      </c>
      <c r="Q286" s="11" t="s">
        <v>7211</v>
      </c>
      <c r="R286" s="1">
        <v>11</v>
      </c>
      <c r="S286" s="1">
        <v>2124</v>
      </c>
      <c r="T286" s="1" t="s">
        <v>169</v>
      </c>
      <c r="U286" s="1" t="s">
        <v>170</v>
      </c>
      <c r="V286" t="s">
        <v>1071</v>
      </c>
      <c r="W286" t="s">
        <v>1072</v>
      </c>
      <c r="X286" t="s">
        <v>68</v>
      </c>
      <c r="Y286" t="s">
        <v>1073</v>
      </c>
      <c r="Z286" t="s">
        <v>1074</v>
      </c>
      <c r="AA286" t="s">
        <v>1075</v>
      </c>
      <c r="AB286" t="s">
        <v>1061</v>
      </c>
      <c r="AC286" t="s">
        <v>73</v>
      </c>
      <c r="AD286" t="s">
        <v>1076</v>
      </c>
      <c r="AE286" t="s">
        <v>75</v>
      </c>
      <c r="AF286" t="s">
        <v>76</v>
      </c>
      <c r="AG286" t="s">
        <v>77</v>
      </c>
      <c r="AH286" t="s">
        <v>929</v>
      </c>
      <c r="AI286" t="s">
        <v>615</v>
      </c>
      <c r="AJ286" t="s">
        <v>616</v>
      </c>
      <c r="AK286" t="s">
        <v>81</v>
      </c>
      <c r="AL286" t="s">
        <v>82</v>
      </c>
      <c r="AM286" t="s">
        <v>83</v>
      </c>
      <c r="AN286">
        <v>2010</v>
      </c>
      <c r="AO286">
        <v>160336</v>
      </c>
      <c r="AP286">
        <v>5362644</v>
      </c>
      <c r="AQ286">
        <v>164</v>
      </c>
      <c r="AR286" t="s">
        <v>84</v>
      </c>
      <c r="AS286">
        <v>562</v>
      </c>
      <c r="AT286" t="s">
        <v>85</v>
      </c>
      <c r="AU286" t="s">
        <v>86</v>
      </c>
      <c r="AV286">
        <v>562</v>
      </c>
      <c r="AW286" t="s">
        <v>1077</v>
      </c>
      <c r="AX286" t="s">
        <v>88</v>
      </c>
      <c r="AZ286" t="s">
        <v>1078</v>
      </c>
      <c r="BA286">
        <v>1</v>
      </c>
    </row>
    <row r="287" spans="1:54" x14ac:dyDescent="0.2">
      <c r="A287" t="s">
        <v>1079</v>
      </c>
      <c r="B287" t="s">
        <v>1080</v>
      </c>
      <c r="C287" s="7" t="s">
        <v>1081</v>
      </c>
      <c r="D287" t="s">
        <v>1082</v>
      </c>
      <c r="E287" t="s">
        <v>1082</v>
      </c>
      <c r="G287" t="s">
        <v>56</v>
      </c>
      <c r="H287" t="s">
        <v>58</v>
      </c>
      <c r="I287" t="s">
        <v>1070</v>
      </c>
      <c r="J287" t="s">
        <v>1070</v>
      </c>
      <c r="K287" t="s">
        <v>7165</v>
      </c>
      <c r="L287" t="s">
        <v>7165</v>
      </c>
      <c r="M287" s="1" t="s">
        <v>603</v>
      </c>
      <c r="N287" t="s">
        <v>604</v>
      </c>
      <c r="O287" s="1" t="s">
        <v>605</v>
      </c>
      <c r="P287" s="1" t="s">
        <v>127</v>
      </c>
      <c r="Q287" s="11" t="s">
        <v>7194</v>
      </c>
      <c r="R287" s="1">
        <v>11</v>
      </c>
      <c r="S287" s="1">
        <v>2124</v>
      </c>
      <c r="T287" s="1" t="s">
        <v>169</v>
      </c>
      <c r="U287" s="1" t="s">
        <v>170</v>
      </c>
      <c r="V287" t="s">
        <v>1083</v>
      </c>
      <c r="W287" t="s">
        <v>1084</v>
      </c>
      <c r="X287" t="s">
        <v>68</v>
      </c>
      <c r="Y287" t="s">
        <v>1085</v>
      </c>
      <c r="Z287" t="s">
        <v>1086</v>
      </c>
      <c r="AA287" t="s">
        <v>1087</v>
      </c>
      <c r="AB287" t="s">
        <v>1061</v>
      </c>
      <c r="AC287" t="s">
        <v>73</v>
      </c>
      <c r="AD287" t="s">
        <v>1088</v>
      </c>
      <c r="AE287" t="s">
        <v>75</v>
      </c>
      <c r="AF287" t="s">
        <v>76</v>
      </c>
      <c r="AG287" t="s">
        <v>77</v>
      </c>
      <c r="AH287" t="s">
        <v>669</v>
      </c>
      <c r="AI287" t="s">
        <v>615</v>
      </c>
      <c r="AJ287" t="s">
        <v>616</v>
      </c>
      <c r="AK287" t="s">
        <v>81</v>
      </c>
      <c r="AL287" t="s">
        <v>82</v>
      </c>
      <c r="AM287" t="s">
        <v>83</v>
      </c>
      <c r="AN287">
        <v>2010</v>
      </c>
      <c r="AO287">
        <v>145327</v>
      </c>
      <c r="AP287">
        <v>5348581</v>
      </c>
      <c r="AQ287">
        <v>147</v>
      </c>
      <c r="AR287" t="s">
        <v>84</v>
      </c>
      <c r="AS287">
        <v>562</v>
      </c>
      <c r="AT287" t="s">
        <v>85</v>
      </c>
      <c r="AU287" t="s">
        <v>86</v>
      </c>
      <c r="AV287">
        <v>562</v>
      </c>
      <c r="AW287" t="s">
        <v>1089</v>
      </c>
      <c r="AX287" t="s">
        <v>88</v>
      </c>
      <c r="AZ287" t="s">
        <v>1078</v>
      </c>
      <c r="BA287">
        <v>1</v>
      </c>
    </row>
    <row r="288" spans="1:54" x14ac:dyDescent="0.2">
      <c r="A288" t="s">
        <v>1090</v>
      </c>
      <c r="B288" t="s">
        <v>1091</v>
      </c>
      <c r="C288" t="s">
        <v>1092</v>
      </c>
      <c r="D288" t="s">
        <v>1093</v>
      </c>
      <c r="E288" t="s">
        <v>1093</v>
      </c>
      <c r="G288" t="s">
        <v>56</v>
      </c>
      <c r="H288" t="s">
        <v>58</v>
      </c>
      <c r="I288" t="s">
        <v>1094</v>
      </c>
      <c r="J288" t="s">
        <v>1094</v>
      </c>
      <c r="K288" t="s">
        <v>7165</v>
      </c>
      <c r="L288" t="s">
        <v>7165</v>
      </c>
      <c r="M288" s="1" t="s">
        <v>603</v>
      </c>
      <c r="N288" t="s">
        <v>604</v>
      </c>
      <c r="O288" s="1" t="s">
        <v>605</v>
      </c>
      <c r="P288" s="1" t="s">
        <v>127</v>
      </c>
      <c r="Q288" s="11" t="s">
        <v>7194</v>
      </c>
      <c r="R288" s="1">
        <v>11</v>
      </c>
      <c r="S288" s="1">
        <v>2124</v>
      </c>
      <c r="T288" s="1" t="s">
        <v>1095</v>
      </c>
      <c r="U288" s="1" t="s">
        <v>170</v>
      </c>
      <c r="V288" t="s">
        <v>1096</v>
      </c>
      <c r="W288" t="s">
        <v>1097</v>
      </c>
      <c r="X288" t="s">
        <v>68</v>
      </c>
      <c r="Y288" t="s">
        <v>1098</v>
      </c>
      <c r="Z288" t="s">
        <v>1099</v>
      </c>
      <c r="AA288" t="s">
        <v>1100</v>
      </c>
      <c r="AB288" t="s">
        <v>1061</v>
      </c>
      <c r="AC288" t="s">
        <v>73</v>
      </c>
      <c r="AD288" t="s">
        <v>1101</v>
      </c>
      <c r="AE288" t="s">
        <v>1102</v>
      </c>
      <c r="AF288" t="s">
        <v>76</v>
      </c>
      <c r="AG288" t="s">
        <v>77</v>
      </c>
      <c r="AH288" t="s">
        <v>1103</v>
      </c>
      <c r="AI288" t="s">
        <v>1104</v>
      </c>
      <c r="AJ288" t="s">
        <v>1105</v>
      </c>
      <c r="AK288" t="s">
        <v>158</v>
      </c>
      <c r="AL288" t="s">
        <v>159</v>
      </c>
      <c r="AM288" t="s">
        <v>83</v>
      </c>
      <c r="AN288">
        <v>2010</v>
      </c>
      <c r="AO288">
        <v>92036</v>
      </c>
      <c r="AP288">
        <v>5442287</v>
      </c>
      <c r="AQ288">
        <v>181</v>
      </c>
      <c r="AR288" t="s">
        <v>84</v>
      </c>
      <c r="AS288">
        <v>562</v>
      </c>
      <c r="AT288" t="s">
        <v>85</v>
      </c>
      <c r="AU288" t="s">
        <v>86</v>
      </c>
      <c r="AV288">
        <v>562</v>
      </c>
      <c r="AW288" t="s">
        <v>1106</v>
      </c>
      <c r="AX288" t="s">
        <v>88</v>
      </c>
      <c r="AZ288" t="s">
        <v>1107</v>
      </c>
      <c r="BA288">
        <v>5</v>
      </c>
    </row>
    <row r="289" spans="1:54" x14ac:dyDescent="0.2">
      <c r="A289" t="s">
        <v>1108</v>
      </c>
      <c r="B289" t="s">
        <v>1109</v>
      </c>
      <c r="C289" t="s">
        <v>1110</v>
      </c>
      <c r="D289" t="s">
        <v>1111</v>
      </c>
      <c r="E289" t="s">
        <v>1111</v>
      </c>
      <c r="G289" t="s">
        <v>56</v>
      </c>
      <c r="H289" t="s">
        <v>58</v>
      </c>
      <c r="I289" t="s">
        <v>1112</v>
      </c>
      <c r="J289" t="s">
        <v>1112</v>
      </c>
      <c r="K289" t="s">
        <v>7165</v>
      </c>
      <c r="L289" t="s">
        <v>7165</v>
      </c>
      <c r="M289" s="1" t="s">
        <v>603</v>
      </c>
      <c r="N289" t="s">
        <v>604</v>
      </c>
      <c r="O289" s="1" t="s">
        <v>875</v>
      </c>
      <c r="P289" s="1" t="s">
        <v>270</v>
      </c>
      <c r="Q289" s="11" t="s">
        <v>7339</v>
      </c>
      <c r="R289" s="1">
        <v>11</v>
      </c>
      <c r="S289" s="1" t="s">
        <v>833</v>
      </c>
      <c r="T289" s="1" t="s">
        <v>1113</v>
      </c>
      <c r="U289" s="1" t="s">
        <v>170</v>
      </c>
      <c r="V289" t="s">
        <v>1114</v>
      </c>
      <c r="W289" t="s">
        <v>1115</v>
      </c>
      <c r="X289" t="s">
        <v>68</v>
      </c>
      <c r="Y289" t="s">
        <v>1116</v>
      </c>
      <c r="Z289" t="s">
        <v>1117</v>
      </c>
      <c r="AA289" t="s">
        <v>1118</v>
      </c>
      <c r="AB289" t="s">
        <v>1061</v>
      </c>
      <c r="AC289" t="s">
        <v>73</v>
      </c>
      <c r="AD289" t="s">
        <v>1119</v>
      </c>
      <c r="AE289" t="s">
        <v>1120</v>
      </c>
      <c r="AF289" t="s">
        <v>76</v>
      </c>
      <c r="AG289" t="s">
        <v>77</v>
      </c>
      <c r="AH289" t="s">
        <v>1121</v>
      </c>
      <c r="AI289" t="s">
        <v>1122</v>
      </c>
      <c r="AJ289" t="s">
        <v>1123</v>
      </c>
      <c r="AK289" t="s">
        <v>158</v>
      </c>
      <c r="AL289" t="s">
        <v>159</v>
      </c>
      <c r="AM289" t="s">
        <v>83</v>
      </c>
      <c r="AN289">
        <v>2010</v>
      </c>
      <c r="AO289">
        <v>54804</v>
      </c>
      <c r="AP289">
        <v>5369996</v>
      </c>
      <c r="AQ289">
        <v>301</v>
      </c>
      <c r="AR289" t="s">
        <v>84</v>
      </c>
      <c r="AS289">
        <v>562</v>
      </c>
      <c r="AT289" t="s">
        <v>85</v>
      </c>
      <c r="AU289" t="s">
        <v>86</v>
      </c>
      <c r="AV289">
        <v>562</v>
      </c>
      <c r="AW289" t="s">
        <v>1124</v>
      </c>
      <c r="AX289" t="s">
        <v>88</v>
      </c>
      <c r="AZ289" t="s">
        <v>1125</v>
      </c>
      <c r="BA289">
        <v>7</v>
      </c>
    </row>
    <row r="290" spans="1:54" x14ac:dyDescent="0.2">
      <c r="A290" t="s">
        <v>1126</v>
      </c>
      <c r="B290" t="s">
        <v>1127</v>
      </c>
      <c r="C290" t="s">
        <v>1128</v>
      </c>
      <c r="D290" t="s">
        <v>1129</v>
      </c>
      <c r="E290" t="s">
        <v>1129</v>
      </c>
      <c r="G290" t="s">
        <v>56</v>
      </c>
      <c r="H290" t="s">
        <v>58</v>
      </c>
      <c r="I290" t="s">
        <v>1112</v>
      </c>
      <c r="J290" t="s">
        <v>1112</v>
      </c>
      <c r="K290" t="s">
        <v>7165</v>
      </c>
      <c r="L290" t="s">
        <v>7165</v>
      </c>
      <c r="M290" s="1" t="s">
        <v>603</v>
      </c>
      <c r="N290" t="s">
        <v>604</v>
      </c>
      <c r="O290" s="1" t="s">
        <v>875</v>
      </c>
      <c r="P290" s="1" t="s">
        <v>270</v>
      </c>
      <c r="Q290" s="11" t="s">
        <v>7339</v>
      </c>
      <c r="R290" s="1">
        <v>11</v>
      </c>
      <c r="S290" s="1" t="s">
        <v>833</v>
      </c>
      <c r="T290" s="1" t="s">
        <v>1113</v>
      </c>
      <c r="U290" s="1" t="s">
        <v>170</v>
      </c>
      <c r="V290" t="s">
        <v>1130</v>
      </c>
      <c r="W290" t="s">
        <v>1131</v>
      </c>
      <c r="X290" t="s">
        <v>68</v>
      </c>
      <c r="Y290" t="s">
        <v>1132</v>
      </c>
      <c r="Z290" t="s">
        <v>1133</v>
      </c>
      <c r="AA290" t="s">
        <v>1134</v>
      </c>
      <c r="AB290" t="s">
        <v>1135</v>
      </c>
      <c r="AC290" t="s">
        <v>73</v>
      </c>
      <c r="AD290" t="s">
        <v>1136</v>
      </c>
      <c r="AE290" t="s">
        <v>1120</v>
      </c>
      <c r="AF290" t="s">
        <v>76</v>
      </c>
      <c r="AG290" t="s">
        <v>77</v>
      </c>
      <c r="AH290" t="s">
        <v>1137</v>
      </c>
      <c r="AI290" t="s">
        <v>1138</v>
      </c>
      <c r="AJ290" t="s">
        <v>1123</v>
      </c>
      <c r="AK290" t="s">
        <v>81</v>
      </c>
      <c r="AL290" t="s">
        <v>82</v>
      </c>
      <c r="AM290" t="s">
        <v>83</v>
      </c>
      <c r="AN290">
        <v>2010</v>
      </c>
      <c r="AO290">
        <v>138860</v>
      </c>
      <c r="AP290">
        <v>5400252</v>
      </c>
      <c r="AQ290">
        <v>204</v>
      </c>
      <c r="AR290" t="s">
        <v>84</v>
      </c>
      <c r="AS290">
        <v>562</v>
      </c>
      <c r="AT290" t="s">
        <v>85</v>
      </c>
      <c r="AU290" t="s">
        <v>86</v>
      </c>
      <c r="AV290">
        <v>562</v>
      </c>
      <c r="AW290" t="s">
        <v>1139</v>
      </c>
      <c r="AX290" t="s">
        <v>88</v>
      </c>
      <c r="AZ290" t="s">
        <v>1125</v>
      </c>
      <c r="BA290">
        <v>7</v>
      </c>
    </row>
    <row r="291" spans="1:54" x14ac:dyDescent="0.2">
      <c r="A291" t="s">
        <v>1140</v>
      </c>
      <c r="B291" t="s">
        <v>1141</v>
      </c>
      <c r="C291" t="s">
        <v>1142</v>
      </c>
      <c r="D291" t="s">
        <v>1143</v>
      </c>
      <c r="E291" t="s">
        <v>1143</v>
      </c>
      <c r="G291" t="s">
        <v>56</v>
      </c>
      <c r="H291" t="s">
        <v>58</v>
      </c>
      <c r="I291" t="s">
        <v>1070</v>
      </c>
      <c r="J291" t="s">
        <v>1070</v>
      </c>
      <c r="K291" t="s">
        <v>7165</v>
      </c>
      <c r="L291" t="s">
        <v>7165</v>
      </c>
      <c r="M291" s="1" t="s">
        <v>603</v>
      </c>
      <c r="N291" t="s">
        <v>649</v>
      </c>
      <c r="O291" s="1" t="s">
        <v>605</v>
      </c>
      <c r="P291" s="1" t="s">
        <v>127</v>
      </c>
      <c r="Q291" s="11" t="s">
        <v>7194</v>
      </c>
      <c r="R291" s="1">
        <v>11</v>
      </c>
      <c r="S291" s="1" t="s">
        <v>833</v>
      </c>
      <c r="T291" s="1" t="s">
        <v>1095</v>
      </c>
      <c r="U291" s="1" t="s">
        <v>170</v>
      </c>
      <c r="V291" t="s">
        <v>1144</v>
      </c>
      <c r="W291" t="s">
        <v>1145</v>
      </c>
      <c r="X291" t="s">
        <v>68</v>
      </c>
      <c r="Y291" t="s">
        <v>1146</v>
      </c>
      <c r="Z291" t="s">
        <v>1147</v>
      </c>
      <c r="AA291" t="s">
        <v>1148</v>
      </c>
      <c r="AB291" t="s">
        <v>1135</v>
      </c>
      <c r="AC291" t="s">
        <v>73</v>
      </c>
      <c r="AD291" t="s">
        <v>1149</v>
      </c>
      <c r="AE291" t="s">
        <v>1102</v>
      </c>
      <c r="AF291" t="s">
        <v>76</v>
      </c>
      <c r="AG291" t="s">
        <v>77</v>
      </c>
      <c r="AH291" t="s">
        <v>1103</v>
      </c>
      <c r="AI291" t="s">
        <v>1104</v>
      </c>
      <c r="AJ291" t="s">
        <v>1105</v>
      </c>
      <c r="AK291" t="s">
        <v>158</v>
      </c>
      <c r="AL291" t="s">
        <v>159</v>
      </c>
      <c r="AM291" t="s">
        <v>83</v>
      </c>
      <c r="AN291">
        <v>2010</v>
      </c>
      <c r="AO291">
        <v>149646</v>
      </c>
      <c r="AP291">
        <v>5478981</v>
      </c>
      <c r="AQ291">
        <v>171</v>
      </c>
      <c r="AR291" t="s">
        <v>84</v>
      </c>
      <c r="AS291">
        <v>562</v>
      </c>
      <c r="AT291" t="s">
        <v>85</v>
      </c>
      <c r="AU291" t="s">
        <v>86</v>
      </c>
      <c r="AV291">
        <v>562</v>
      </c>
      <c r="AW291" t="s">
        <v>1150</v>
      </c>
      <c r="AX291" t="s">
        <v>88</v>
      </c>
      <c r="AZ291" t="s">
        <v>1107</v>
      </c>
      <c r="BA291">
        <v>0</v>
      </c>
    </row>
    <row r="292" spans="1:54" x14ac:dyDescent="0.2">
      <c r="A292" t="s">
        <v>4628</v>
      </c>
      <c r="B292" t="s">
        <v>4629</v>
      </c>
      <c r="C292" t="s">
        <v>4597</v>
      </c>
      <c r="D292" t="s">
        <v>4630</v>
      </c>
      <c r="E292" t="s">
        <v>4630</v>
      </c>
      <c r="G292" t="s">
        <v>56</v>
      </c>
      <c r="H292" t="s">
        <v>93</v>
      </c>
      <c r="I292" t="s">
        <v>4599</v>
      </c>
      <c r="J292" t="s">
        <v>4599</v>
      </c>
      <c r="K292" t="s">
        <v>7169</v>
      </c>
      <c r="L292" t="s">
        <v>7169</v>
      </c>
      <c r="M292" s="1" t="s">
        <v>4600</v>
      </c>
      <c r="N292" t="s">
        <v>4614</v>
      </c>
      <c r="O292" s="1" t="s">
        <v>126</v>
      </c>
      <c r="P292" s="1" t="s">
        <v>127</v>
      </c>
      <c r="Q292" s="11" t="s">
        <v>7296</v>
      </c>
      <c r="R292" s="1">
        <v>657</v>
      </c>
      <c r="S292" s="1">
        <v>30109</v>
      </c>
      <c r="T292" s="1" t="s">
        <v>169</v>
      </c>
      <c r="U292" s="1" t="s">
        <v>170</v>
      </c>
      <c r="V292" t="s">
        <v>4631</v>
      </c>
      <c r="W292" t="s">
        <v>4632</v>
      </c>
      <c r="X292" t="s">
        <v>68</v>
      </c>
      <c r="Y292" t="s">
        <v>4633</v>
      </c>
      <c r="Z292" t="s">
        <v>4634</v>
      </c>
      <c r="AA292" t="s">
        <v>4635</v>
      </c>
      <c r="AB292" t="s">
        <v>1135</v>
      </c>
      <c r="AC292" t="s">
        <v>73</v>
      </c>
      <c r="AD292" t="s">
        <v>4636</v>
      </c>
      <c r="AE292" t="s">
        <v>3341</v>
      </c>
      <c r="AF292" t="s">
        <v>76</v>
      </c>
      <c r="AG292" t="s">
        <v>77</v>
      </c>
      <c r="AH292" t="s">
        <v>4637</v>
      </c>
      <c r="AI292" t="s">
        <v>107</v>
      </c>
      <c r="AJ292" t="s">
        <v>3343</v>
      </c>
      <c r="AK292" t="s">
        <v>81</v>
      </c>
      <c r="AL292" t="s">
        <v>82</v>
      </c>
      <c r="AM292" t="s">
        <v>83</v>
      </c>
      <c r="AN292">
        <v>2013</v>
      </c>
      <c r="AO292">
        <v>65328</v>
      </c>
      <c r="AP292">
        <v>5035872</v>
      </c>
      <c r="AQ292">
        <v>178</v>
      </c>
      <c r="AR292" t="s">
        <v>84</v>
      </c>
      <c r="AS292">
        <v>562</v>
      </c>
      <c r="AT292" t="s">
        <v>85</v>
      </c>
      <c r="AU292" t="s">
        <v>86</v>
      </c>
      <c r="AV292">
        <v>562</v>
      </c>
      <c r="AW292" t="s">
        <v>4638</v>
      </c>
      <c r="AX292" t="s">
        <v>88</v>
      </c>
      <c r="AZ292" t="s">
        <v>4610</v>
      </c>
      <c r="BA292">
        <v>3</v>
      </c>
    </row>
    <row r="293" spans="1:54" x14ac:dyDescent="0.2">
      <c r="A293" t="s">
        <v>1151</v>
      </c>
      <c r="B293" t="s">
        <v>1152</v>
      </c>
      <c r="C293" t="s">
        <v>1153</v>
      </c>
      <c r="D293" t="s">
        <v>1154</v>
      </c>
      <c r="E293" t="s">
        <v>1154</v>
      </c>
      <c r="G293" t="s">
        <v>56</v>
      </c>
      <c r="H293" t="s">
        <v>58</v>
      </c>
      <c r="I293" t="s">
        <v>989</v>
      </c>
      <c r="J293" t="s">
        <v>989</v>
      </c>
      <c r="K293" t="s">
        <v>7165</v>
      </c>
      <c r="L293" t="s">
        <v>7165</v>
      </c>
      <c r="M293" s="1" t="s">
        <v>603</v>
      </c>
      <c r="N293" t="s">
        <v>604</v>
      </c>
      <c r="O293" s="1" t="s">
        <v>605</v>
      </c>
      <c r="P293" s="1" t="s">
        <v>127</v>
      </c>
      <c r="Q293" s="11" t="s">
        <v>7194</v>
      </c>
      <c r="R293" s="1">
        <v>11</v>
      </c>
      <c r="S293" s="1" t="s">
        <v>833</v>
      </c>
      <c r="T293" s="1" t="s">
        <v>1095</v>
      </c>
      <c r="U293" s="1" t="s">
        <v>170</v>
      </c>
      <c r="V293" t="s">
        <v>1155</v>
      </c>
      <c r="W293" t="s">
        <v>1156</v>
      </c>
      <c r="X293" t="s">
        <v>68</v>
      </c>
      <c r="Y293" t="s">
        <v>1157</v>
      </c>
      <c r="Z293" t="s">
        <v>1158</v>
      </c>
      <c r="AA293" t="s">
        <v>1159</v>
      </c>
      <c r="AB293" t="s">
        <v>1135</v>
      </c>
      <c r="AC293" t="s">
        <v>73</v>
      </c>
      <c r="AD293" t="s">
        <v>1160</v>
      </c>
      <c r="AE293" t="s">
        <v>1102</v>
      </c>
      <c r="AF293" t="s">
        <v>76</v>
      </c>
      <c r="AG293" t="s">
        <v>77</v>
      </c>
      <c r="AH293" t="s">
        <v>1161</v>
      </c>
      <c r="AI293" t="s">
        <v>1104</v>
      </c>
      <c r="AJ293" t="s">
        <v>1105</v>
      </c>
      <c r="AK293" t="s">
        <v>158</v>
      </c>
      <c r="AL293" t="s">
        <v>159</v>
      </c>
      <c r="AM293" t="s">
        <v>83</v>
      </c>
      <c r="AN293">
        <v>2010</v>
      </c>
      <c r="AO293">
        <v>108473</v>
      </c>
      <c r="AP293">
        <v>5490787</v>
      </c>
      <c r="AQ293">
        <v>193</v>
      </c>
      <c r="AR293" t="s">
        <v>84</v>
      </c>
      <c r="AS293">
        <v>562</v>
      </c>
      <c r="AT293" t="s">
        <v>85</v>
      </c>
      <c r="AU293" t="s">
        <v>86</v>
      </c>
      <c r="AV293">
        <v>562</v>
      </c>
      <c r="AW293" t="s">
        <v>1162</v>
      </c>
      <c r="AX293" t="s">
        <v>88</v>
      </c>
      <c r="AZ293" t="s">
        <v>1107</v>
      </c>
      <c r="BA293">
        <v>2</v>
      </c>
    </row>
    <row r="294" spans="1:54" x14ac:dyDescent="0.2">
      <c r="A294" t="s">
        <v>1163</v>
      </c>
      <c r="B294" t="s">
        <v>1164</v>
      </c>
      <c r="C294" t="s">
        <v>1165</v>
      </c>
      <c r="D294" t="s">
        <v>1166</v>
      </c>
      <c r="E294" t="s">
        <v>1166</v>
      </c>
      <c r="G294" t="s">
        <v>56</v>
      </c>
      <c r="H294" t="s">
        <v>58</v>
      </c>
      <c r="I294" t="s">
        <v>1167</v>
      </c>
      <c r="J294" t="s">
        <v>1167</v>
      </c>
      <c r="K294" t="s">
        <v>7165</v>
      </c>
      <c r="L294" t="s">
        <v>7165</v>
      </c>
      <c r="M294" s="1" t="s">
        <v>603</v>
      </c>
      <c r="N294" t="s">
        <v>649</v>
      </c>
      <c r="O294" s="1" t="s">
        <v>605</v>
      </c>
      <c r="P294" s="1" t="s">
        <v>127</v>
      </c>
      <c r="Q294" s="11" t="s">
        <v>7211</v>
      </c>
      <c r="R294" s="1">
        <v>11</v>
      </c>
      <c r="S294" s="1" t="s">
        <v>833</v>
      </c>
      <c r="T294" s="1" t="s">
        <v>169</v>
      </c>
      <c r="U294" s="1" t="s">
        <v>170</v>
      </c>
      <c r="V294" t="s">
        <v>1168</v>
      </c>
      <c r="W294" t="s">
        <v>1169</v>
      </c>
      <c r="X294" t="s">
        <v>68</v>
      </c>
      <c r="Y294" t="s">
        <v>1170</v>
      </c>
      <c r="Z294" t="s">
        <v>1171</v>
      </c>
      <c r="AA294" t="s">
        <v>1172</v>
      </c>
      <c r="AB294" t="s">
        <v>1135</v>
      </c>
      <c r="AC294" t="s">
        <v>73</v>
      </c>
      <c r="AD294" t="s">
        <v>1173</v>
      </c>
      <c r="AE294" t="s">
        <v>75</v>
      </c>
      <c r="AF294" t="s">
        <v>76</v>
      </c>
      <c r="AG294" t="s">
        <v>77</v>
      </c>
      <c r="AH294" t="s">
        <v>1174</v>
      </c>
      <c r="AI294" t="s">
        <v>615</v>
      </c>
      <c r="AJ294" t="s">
        <v>616</v>
      </c>
      <c r="AK294" t="s">
        <v>81</v>
      </c>
      <c r="AL294" t="s">
        <v>82</v>
      </c>
      <c r="AM294" t="s">
        <v>83</v>
      </c>
      <c r="AN294">
        <v>2010</v>
      </c>
      <c r="AO294">
        <v>168238</v>
      </c>
      <c r="AP294">
        <v>5375432</v>
      </c>
      <c r="AQ294">
        <v>139</v>
      </c>
      <c r="AR294" t="s">
        <v>84</v>
      </c>
      <c r="AS294">
        <v>562</v>
      </c>
      <c r="AT294" t="s">
        <v>85</v>
      </c>
      <c r="AU294" t="s">
        <v>86</v>
      </c>
      <c r="AV294">
        <v>562</v>
      </c>
      <c r="AW294" t="s">
        <v>1175</v>
      </c>
      <c r="AX294" t="s">
        <v>88</v>
      </c>
      <c r="AZ294" t="s">
        <v>659</v>
      </c>
      <c r="BA294">
        <v>0</v>
      </c>
      <c r="BB294">
        <v>25</v>
      </c>
    </row>
    <row r="295" spans="1:54" x14ac:dyDescent="0.2">
      <c r="A295" t="s">
        <v>1176</v>
      </c>
      <c r="B295" t="s">
        <v>1177</v>
      </c>
      <c r="C295" t="s">
        <v>1165</v>
      </c>
      <c r="D295" t="s">
        <v>1178</v>
      </c>
      <c r="E295" t="s">
        <v>1178</v>
      </c>
      <c r="G295" t="s">
        <v>56</v>
      </c>
      <c r="H295" t="s">
        <v>58</v>
      </c>
      <c r="I295" t="s">
        <v>1167</v>
      </c>
      <c r="J295" t="s">
        <v>1167</v>
      </c>
      <c r="K295" t="s">
        <v>7165</v>
      </c>
      <c r="L295" t="s">
        <v>7165</v>
      </c>
      <c r="M295" s="1" t="s">
        <v>603</v>
      </c>
      <c r="N295" t="s">
        <v>649</v>
      </c>
      <c r="O295" s="1" t="s">
        <v>605</v>
      </c>
      <c r="P295" s="1" t="s">
        <v>127</v>
      </c>
      <c r="Q295" s="11" t="s">
        <v>7211</v>
      </c>
      <c r="R295" s="1">
        <v>11</v>
      </c>
      <c r="S295" s="1" t="s">
        <v>833</v>
      </c>
      <c r="T295" s="1" t="s">
        <v>169</v>
      </c>
      <c r="U295" s="1" t="s">
        <v>170</v>
      </c>
      <c r="V295" t="s">
        <v>1179</v>
      </c>
      <c r="W295" t="s">
        <v>1180</v>
      </c>
      <c r="X295" t="s">
        <v>68</v>
      </c>
      <c r="Y295" t="s">
        <v>1181</v>
      </c>
      <c r="Z295" t="s">
        <v>1182</v>
      </c>
      <c r="AA295" t="s">
        <v>1183</v>
      </c>
      <c r="AB295" t="s">
        <v>612</v>
      </c>
      <c r="AC295" t="s">
        <v>73</v>
      </c>
      <c r="AD295" t="s">
        <v>1184</v>
      </c>
      <c r="AE295" t="s">
        <v>75</v>
      </c>
      <c r="AF295" t="s">
        <v>76</v>
      </c>
      <c r="AG295" t="s">
        <v>77</v>
      </c>
      <c r="AH295" t="s">
        <v>905</v>
      </c>
      <c r="AI295" t="s">
        <v>615</v>
      </c>
      <c r="AJ295" t="s">
        <v>616</v>
      </c>
      <c r="AK295" t="s">
        <v>81</v>
      </c>
      <c r="AL295" t="s">
        <v>82</v>
      </c>
      <c r="AM295" t="s">
        <v>83</v>
      </c>
      <c r="AN295">
        <v>2010</v>
      </c>
      <c r="AO295">
        <v>160336</v>
      </c>
      <c r="AP295">
        <v>5374763</v>
      </c>
      <c r="AQ295">
        <v>139</v>
      </c>
      <c r="AR295" t="s">
        <v>84</v>
      </c>
      <c r="AS295">
        <v>562</v>
      </c>
      <c r="AT295" t="s">
        <v>85</v>
      </c>
      <c r="AU295" t="s">
        <v>86</v>
      </c>
      <c r="AV295">
        <v>562</v>
      </c>
      <c r="AW295" t="s">
        <v>1185</v>
      </c>
      <c r="AX295" t="s">
        <v>88</v>
      </c>
      <c r="AZ295" t="s">
        <v>659</v>
      </c>
      <c r="BA295">
        <v>0</v>
      </c>
      <c r="BB295">
        <v>25</v>
      </c>
    </row>
    <row r="296" spans="1:54" x14ac:dyDescent="0.2">
      <c r="A296" t="s">
        <v>1186</v>
      </c>
      <c r="B296" t="s">
        <v>1187</v>
      </c>
      <c r="C296" t="s">
        <v>1165</v>
      </c>
      <c r="D296" t="s">
        <v>1188</v>
      </c>
      <c r="E296" t="s">
        <v>1188</v>
      </c>
      <c r="G296" t="s">
        <v>56</v>
      </c>
      <c r="H296" t="s">
        <v>58</v>
      </c>
      <c r="I296" t="s">
        <v>1167</v>
      </c>
      <c r="J296" t="s">
        <v>1167</v>
      </c>
      <c r="K296" t="s">
        <v>7165</v>
      </c>
      <c r="L296" t="s">
        <v>7165</v>
      </c>
      <c r="M296" s="1" t="s">
        <v>603</v>
      </c>
      <c r="N296" t="s">
        <v>649</v>
      </c>
      <c r="O296" s="1" t="s">
        <v>605</v>
      </c>
      <c r="P296" s="1" t="s">
        <v>127</v>
      </c>
      <c r="Q296" s="11" t="s">
        <v>7194</v>
      </c>
      <c r="R296" s="1">
        <v>11</v>
      </c>
      <c r="S296" s="1" t="s">
        <v>833</v>
      </c>
      <c r="T296" s="1" t="s">
        <v>169</v>
      </c>
      <c r="U296" s="1" t="s">
        <v>170</v>
      </c>
      <c r="V296" t="s">
        <v>1189</v>
      </c>
      <c r="W296" t="s">
        <v>1190</v>
      </c>
      <c r="X296" t="s">
        <v>68</v>
      </c>
      <c r="Y296" t="s">
        <v>1191</v>
      </c>
      <c r="Z296" t="s">
        <v>1192</v>
      </c>
      <c r="AA296" t="s">
        <v>1193</v>
      </c>
      <c r="AB296" t="s">
        <v>612</v>
      </c>
      <c r="AC296" t="s">
        <v>73</v>
      </c>
      <c r="AD296" t="s">
        <v>1194</v>
      </c>
      <c r="AE296" t="s">
        <v>75</v>
      </c>
      <c r="AF296" t="s">
        <v>76</v>
      </c>
      <c r="AG296" t="s">
        <v>77</v>
      </c>
      <c r="AH296" t="s">
        <v>1195</v>
      </c>
      <c r="AI296" t="s">
        <v>615</v>
      </c>
      <c r="AJ296" t="s">
        <v>616</v>
      </c>
      <c r="AK296" t="s">
        <v>81</v>
      </c>
      <c r="AL296" t="s">
        <v>82</v>
      </c>
      <c r="AM296" t="s">
        <v>83</v>
      </c>
      <c r="AN296">
        <v>2010</v>
      </c>
      <c r="AO296">
        <v>160336</v>
      </c>
      <c r="AP296">
        <v>5363489</v>
      </c>
      <c r="AQ296">
        <v>143</v>
      </c>
      <c r="AR296" t="s">
        <v>84</v>
      </c>
      <c r="AS296">
        <v>562</v>
      </c>
      <c r="AT296" t="s">
        <v>85</v>
      </c>
      <c r="AU296" t="s">
        <v>86</v>
      </c>
      <c r="AV296">
        <v>562</v>
      </c>
      <c r="AW296" t="s">
        <v>1196</v>
      </c>
      <c r="AX296" t="s">
        <v>88</v>
      </c>
      <c r="AZ296" t="s">
        <v>659</v>
      </c>
      <c r="BA296">
        <v>0</v>
      </c>
      <c r="BB296">
        <v>25</v>
      </c>
    </row>
    <row r="297" spans="1:54" x14ac:dyDescent="0.2">
      <c r="A297" t="s">
        <v>1197</v>
      </c>
      <c r="B297" t="s">
        <v>1198</v>
      </c>
      <c r="C297" t="s">
        <v>1142</v>
      </c>
      <c r="D297" t="s">
        <v>1199</v>
      </c>
      <c r="E297" t="s">
        <v>1199</v>
      </c>
      <c r="G297" t="s">
        <v>56</v>
      </c>
      <c r="H297" t="s">
        <v>58</v>
      </c>
      <c r="I297" t="s">
        <v>1200</v>
      </c>
      <c r="J297" t="s">
        <v>1200</v>
      </c>
      <c r="K297" t="s">
        <v>7165</v>
      </c>
      <c r="L297" t="s">
        <v>7165</v>
      </c>
      <c r="M297" s="1" t="s">
        <v>603</v>
      </c>
      <c r="N297" t="s">
        <v>649</v>
      </c>
      <c r="O297" s="1" t="s">
        <v>605</v>
      </c>
      <c r="P297" s="1" t="s">
        <v>127</v>
      </c>
      <c r="Q297" s="11" t="s">
        <v>7194</v>
      </c>
      <c r="R297" s="1">
        <v>11</v>
      </c>
      <c r="S297" s="1" t="s">
        <v>833</v>
      </c>
      <c r="T297" s="1" t="s">
        <v>1095</v>
      </c>
      <c r="U297" s="1" t="s">
        <v>170</v>
      </c>
      <c r="V297" t="s">
        <v>1201</v>
      </c>
      <c r="W297" t="s">
        <v>1202</v>
      </c>
      <c r="X297" t="s">
        <v>68</v>
      </c>
      <c r="Y297" t="s">
        <v>1203</v>
      </c>
      <c r="Z297" t="s">
        <v>1204</v>
      </c>
      <c r="AA297" t="s">
        <v>1205</v>
      </c>
      <c r="AB297" t="s">
        <v>612</v>
      </c>
      <c r="AC297" t="s">
        <v>73</v>
      </c>
      <c r="AD297" t="s">
        <v>1206</v>
      </c>
      <c r="AE297" t="s">
        <v>1102</v>
      </c>
      <c r="AF297" t="s">
        <v>76</v>
      </c>
      <c r="AG297" t="s">
        <v>77</v>
      </c>
      <c r="AH297" t="s">
        <v>669</v>
      </c>
      <c r="AI297" t="s">
        <v>1104</v>
      </c>
      <c r="AJ297" t="s">
        <v>1105</v>
      </c>
      <c r="AK297" t="s">
        <v>81</v>
      </c>
      <c r="AL297" t="s">
        <v>82</v>
      </c>
      <c r="AM297" t="s">
        <v>83</v>
      </c>
      <c r="AN297">
        <v>2010</v>
      </c>
      <c r="AO297">
        <v>112344</v>
      </c>
      <c r="AP297">
        <v>5472887</v>
      </c>
      <c r="AQ297">
        <v>229</v>
      </c>
      <c r="AR297" t="s">
        <v>84</v>
      </c>
      <c r="AS297">
        <v>562</v>
      </c>
      <c r="AT297" t="s">
        <v>85</v>
      </c>
      <c r="AU297" t="s">
        <v>86</v>
      </c>
      <c r="AV297">
        <v>562</v>
      </c>
      <c r="AW297" t="s">
        <v>1207</v>
      </c>
      <c r="AX297" t="s">
        <v>88</v>
      </c>
      <c r="AZ297" t="s">
        <v>1107</v>
      </c>
      <c r="BA297">
        <v>1</v>
      </c>
    </row>
    <row r="298" spans="1:54" x14ac:dyDescent="0.2">
      <c r="A298" t="s">
        <v>1573</v>
      </c>
      <c r="B298" t="s">
        <v>1574</v>
      </c>
      <c r="C298" t="s">
        <v>1575</v>
      </c>
      <c r="D298" t="s">
        <v>1576</v>
      </c>
      <c r="E298" t="s">
        <v>1576</v>
      </c>
      <c r="G298" t="s">
        <v>56</v>
      </c>
      <c r="H298" t="s">
        <v>58</v>
      </c>
      <c r="I298" t="s">
        <v>1094</v>
      </c>
      <c r="J298" t="s">
        <v>1094</v>
      </c>
      <c r="K298" t="s">
        <v>7165</v>
      </c>
      <c r="L298" t="s">
        <v>7165</v>
      </c>
      <c r="M298" s="1" t="s">
        <v>603</v>
      </c>
      <c r="N298" t="s">
        <v>604</v>
      </c>
      <c r="O298" s="1" t="s">
        <v>605</v>
      </c>
      <c r="P298" s="1" t="s">
        <v>127</v>
      </c>
      <c r="Q298" s="11" t="s">
        <v>7194</v>
      </c>
      <c r="R298" s="1">
        <v>11</v>
      </c>
      <c r="S298" s="1">
        <v>2124</v>
      </c>
      <c r="T298" s="1" t="s">
        <v>169</v>
      </c>
      <c r="U298" s="1" t="s">
        <v>170</v>
      </c>
      <c r="V298" t="s">
        <v>1577</v>
      </c>
      <c r="W298" t="s">
        <v>1578</v>
      </c>
      <c r="X298" t="s">
        <v>68</v>
      </c>
      <c r="Y298" t="s">
        <v>1579</v>
      </c>
      <c r="Z298" t="s">
        <v>1580</v>
      </c>
      <c r="AA298" t="s">
        <v>1581</v>
      </c>
      <c r="AB298" t="s">
        <v>612</v>
      </c>
      <c r="AC298" t="s">
        <v>73</v>
      </c>
      <c r="AD298" t="s">
        <v>1582</v>
      </c>
      <c r="AE298" t="s">
        <v>75</v>
      </c>
      <c r="AF298" t="s">
        <v>76</v>
      </c>
      <c r="AG298" t="s">
        <v>77</v>
      </c>
      <c r="AH298" t="s">
        <v>1583</v>
      </c>
      <c r="AI298" t="s">
        <v>615</v>
      </c>
      <c r="AJ298" t="s">
        <v>616</v>
      </c>
      <c r="AK298" t="s">
        <v>81</v>
      </c>
      <c r="AL298" t="s">
        <v>82</v>
      </c>
      <c r="AM298" t="s">
        <v>83</v>
      </c>
      <c r="AN298">
        <v>2012</v>
      </c>
      <c r="AO298">
        <v>58656</v>
      </c>
      <c r="AP298">
        <v>5383579</v>
      </c>
      <c r="AQ298">
        <v>298</v>
      </c>
      <c r="AR298" t="s">
        <v>84</v>
      </c>
      <c r="AS298">
        <v>562</v>
      </c>
      <c r="AT298" t="s">
        <v>85</v>
      </c>
      <c r="AU298" t="s">
        <v>86</v>
      </c>
      <c r="AV298">
        <v>562</v>
      </c>
      <c r="AW298" t="s">
        <v>1584</v>
      </c>
      <c r="AX298" t="s">
        <v>88</v>
      </c>
    </row>
    <row r="299" spans="1:54" x14ac:dyDescent="0.2">
      <c r="A299" t="s">
        <v>2007</v>
      </c>
      <c r="B299" t="s">
        <v>2008</v>
      </c>
      <c r="C299" t="s">
        <v>2009</v>
      </c>
      <c r="D299" t="s">
        <v>2010</v>
      </c>
      <c r="E299" t="s">
        <v>2010</v>
      </c>
      <c r="G299" t="s">
        <v>56</v>
      </c>
      <c r="H299" t="s">
        <v>58</v>
      </c>
      <c r="I299" t="s">
        <v>1094</v>
      </c>
      <c r="J299" t="s">
        <v>1094</v>
      </c>
      <c r="K299" t="s">
        <v>7165</v>
      </c>
      <c r="L299" t="s">
        <v>7165</v>
      </c>
      <c r="M299" s="1" t="s">
        <v>603</v>
      </c>
      <c r="N299" t="s">
        <v>649</v>
      </c>
      <c r="O299" s="1" t="s">
        <v>605</v>
      </c>
      <c r="P299" s="1" t="s">
        <v>127</v>
      </c>
      <c r="Q299" s="11" t="s">
        <v>7194</v>
      </c>
      <c r="R299" s="1">
        <v>11</v>
      </c>
      <c r="S299" s="1">
        <v>2124</v>
      </c>
      <c r="T299" s="1" t="s">
        <v>169</v>
      </c>
      <c r="U299" s="1" t="s">
        <v>170</v>
      </c>
      <c r="V299" t="s">
        <v>2011</v>
      </c>
      <c r="W299" t="s">
        <v>2012</v>
      </c>
      <c r="X299" t="s">
        <v>68</v>
      </c>
      <c r="Y299" t="s">
        <v>2013</v>
      </c>
      <c r="Z299" t="s">
        <v>2014</v>
      </c>
      <c r="AA299" t="s">
        <v>2015</v>
      </c>
      <c r="AB299" t="s">
        <v>612</v>
      </c>
      <c r="AC299" t="s">
        <v>73</v>
      </c>
      <c r="AD299" t="s">
        <v>2016</v>
      </c>
      <c r="AE299" t="s">
        <v>75</v>
      </c>
      <c r="AF299" t="s">
        <v>76</v>
      </c>
      <c r="AG299" t="s">
        <v>77</v>
      </c>
      <c r="AH299" t="s">
        <v>630</v>
      </c>
      <c r="AI299" t="s">
        <v>615</v>
      </c>
      <c r="AJ299" t="s">
        <v>616</v>
      </c>
      <c r="AK299" t="s">
        <v>81</v>
      </c>
      <c r="AL299" t="s">
        <v>82</v>
      </c>
      <c r="AM299" t="s">
        <v>83</v>
      </c>
      <c r="AN299">
        <v>2013</v>
      </c>
      <c r="AO299">
        <v>129212</v>
      </c>
      <c r="AP299">
        <v>5389800</v>
      </c>
      <c r="AQ299">
        <v>200</v>
      </c>
      <c r="AR299" t="s">
        <v>84</v>
      </c>
      <c r="AS299">
        <v>562</v>
      </c>
      <c r="AT299" t="s">
        <v>85</v>
      </c>
      <c r="AU299" t="s">
        <v>86</v>
      </c>
      <c r="AV299">
        <v>562</v>
      </c>
      <c r="AW299" t="s">
        <v>2017</v>
      </c>
      <c r="AX299" t="s">
        <v>88</v>
      </c>
      <c r="AZ299" t="s">
        <v>841</v>
      </c>
      <c r="BA299">
        <v>18</v>
      </c>
      <c r="BB299">
        <v>19</v>
      </c>
    </row>
    <row r="300" spans="1:54" x14ac:dyDescent="0.2">
      <c r="A300" t="s">
        <v>598</v>
      </c>
      <c r="B300" t="s">
        <v>599</v>
      </c>
      <c r="C300" t="s">
        <v>600</v>
      </c>
      <c r="D300" t="s">
        <v>601</v>
      </c>
      <c r="E300" t="s">
        <v>601</v>
      </c>
      <c r="G300" t="s">
        <v>56</v>
      </c>
      <c r="H300" t="s">
        <v>58</v>
      </c>
      <c r="I300" t="s">
        <v>602</v>
      </c>
      <c r="J300" t="s">
        <v>602</v>
      </c>
      <c r="K300" t="s">
        <v>7165</v>
      </c>
      <c r="L300" t="s">
        <v>7165</v>
      </c>
      <c r="M300" s="1" t="s">
        <v>603</v>
      </c>
      <c r="N300" t="s">
        <v>604</v>
      </c>
      <c r="O300" s="1" t="s">
        <v>605</v>
      </c>
      <c r="P300" s="1" t="s">
        <v>127</v>
      </c>
      <c r="Q300" s="11" t="s">
        <v>7194</v>
      </c>
      <c r="R300" s="1">
        <v>11</v>
      </c>
      <c r="S300" s="1">
        <v>2124</v>
      </c>
      <c r="T300" s="1" t="s">
        <v>169</v>
      </c>
      <c r="U300" s="1" t="s">
        <v>170</v>
      </c>
      <c r="V300" t="s">
        <v>607</v>
      </c>
      <c r="W300" t="s">
        <v>608</v>
      </c>
      <c r="X300" t="s">
        <v>68</v>
      </c>
      <c r="Y300" t="s">
        <v>609</v>
      </c>
      <c r="Z300" t="s">
        <v>610</v>
      </c>
      <c r="AA300" t="s">
        <v>611</v>
      </c>
      <c r="AB300" t="s">
        <v>612</v>
      </c>
      <c r="AC300" t="s">
        <v>73</v>
      </c>
      <c r="AD300" t="s">
        <v>613</v>
      </c>
      <c r="AE300" t="s">
        <v>75</v>
      </c>
      <c r="AF300" t="s">
        <v>76</v>
      </c>
      <c r="AG300" t="s">
        <v>77</v>
      </c>
      <c r="AH300" t="s">
        <v>614</v>
      </c>
      <c r="AI300" t="s">
        <v>615</v>
      </c>
      <c r="AJ300" t="s">
        <v>616</v>
      </c>
      <c r="AK300" t="s">
        <v>81</v>
      </c>
      <c r="AL300" t="s">
        <v>82</v>
      </c>
      <c r="AM300" t="s">
        <v>83</v>
      </c>
      <c r="AN300">
        <v>2000</v>
      </c>
      <c r="AO300">
        <v>157712</v>
      </c>
      <c r="AP300">
        <v>5408618</v>
      </c>
      <c r="AQ300">
        <v>217</v>
      </c>
      <c r="AR300" t="s">
        <v>84</v>
      </c>
      <c r="AS300">
        <v>562</v>
      </c>
      <c r="AT300" t="s">
        <v>85</v>
      </c>
      <c r="AU300" t="s">
        <v>86</v>
      </c>
      <c r="AV300">
        <v>562</v>
      </c>
      <c r="AW300" t="s">
        <v>617</v>
      </c>
      <c r="AX300" t="s">
        <v>88</v>
      </c>
      <c r="AZ300" t="s">
        <v>618</v>
      </c>
      <c r="BA300">
        <v>1</v>
      </c>
      <c r="BB300">
        <v>33</v>
      </c>
    </row>
    <row r="301" spans="1:54" x14ac:dyDescent="0.2">
      <c r="A301" t="s">
        <v>2018</v>
      </c>
      <c r="B301" t="s">
        <v>2019</v>
      </c>
      <c r="C301" t="s">
        <v>2020</v>
      </c>
      <c r="D301" t="s">
        <v>2021</v>
      </c>
      <c r="E301" t="s">
        <v>2021</v>
      </c>
      <c r="G301" t="s">
        <v>56</v>
      </c>
      <c r="H301" t="s">
        <v>58</v>
      </c>
      <c r="I301" t="s">
        <v>2022</v>
      </c>
      <c r="J301" t="s">
        <v>2022</v>
      </c>
      <c r="K301" t="s">
        <v>7165</v>
      </c>
      <c r="L301" t="s">
        <v>7165</v>
      </c>
      <c r="M301" s="1" t="s">
        <v>603</v>
      </c>
      <c r="N301" t="s">
        <v>649</v>
      </c>
      <c r="O301" s="1" t="s">
        <v>875</v>
      </c>
      <c r="P301" s="1" t="s">
        <v>270</v>
      </c>
      <c r="Q301" s="11" t="s">
        <v>7339</v>
      </c>
      <c r="R301" s="1">
        <v>11</v>
      </c>
      <c r="S301" s="1">
        <v>2117</v>
      </c>
      <c r="T301" s="1" t="s">
        <v>1113</v>
      </c>
      <c r="U301" s="1" t="s">
        <v>170</v>
      </c>
      <c r="V301" t="s">
        <v>2023</v>
      </c>
      <c r="W301" t="s">
        <v>2024</v>
      </c>
      <c r="X301" t="s">
        <v>68</v>
      </c>
      <c r="Y301" t="s">
        <v>2025</v>
      </c>
      <c r="Z301" t="s">
        <v>2026</v>
      </c>
      <c r="AA301" t="s">
        <v>2027</v>
      </c>
      <c r="AB301" t="s">
        <v>628</v>
      </c>
      <c r="AC301" t="s">
        <v>73</v>
      </c>
      <c r="AD301" t="s">
        <v>2028</v>
      </c>
      <c r="AE301" t="s">
        <v>1120</v>
      </c>
      <c r="AF301" t="s">
        <v>76</v>
      </c>
      <c r="AG301" t="s">
        <v>77</v>
      </c>
      <c r="AH301" t="s">
        <v>2029</v>
      </c>
      <c r="AI301" t="s">
        <v>1138</v>
      </c>
      <c r="AJ301" t="s">
        <v>1123</v>
      </c>
      <c r="AK301" t="s">
        <v>158</v>
      </c>
      <c r="AL301" t="s">
        <v>159</v>
      </c>
      <c r="AM301" t="s">
        <v>83</v>
      </c>
      <c r="AN301">
        <v>2013</v>
      </c>
      <c r="AO301">
        <v>103655</v>
      </c>
      <c r="AP301">
        <v>5400506</v>
      </c>
      <c r="AQ301">
        <v>224</v>
      </c>
      <c r="AR301" t="s">
        <v>84</v>
      </c>
      <c r="AS301">
        <v>562</v>
      </c>
      <c r="AT301" t="s">
        <v>85</v>
      </c>
      <c r="AU301" t="s">
        <v>86</v>
      </c>
      <c r="AV301">
        <v>562</v>
      </c>
      <c r="AW301" t="s">
        <v>2030</v>
      </c>
      <c r="AX301" t="s">
        <v>88</v>
      </c>
      <c r="AZ301" t="s">
        <v>1125</v>
      </c>
      <c r="BA301">
        <v>27</v>
      </c>
    </row>
    <row r="302" spans="1:54" x14ac:dyDescent="0.2">
      <c r="A302" t="s">
        <v>619</v>
      </c>
      <c r="B302" t="s">
        <v>620</v>
      </c>
      <c r="C302" t="s">
        <v>621</v>
      </c>
      <c r="D302" t="s">
        <v>622</v>
      </c>
      <c r="E302" t="s">
        <v>622</v>
      </c>
      <c r="G302" t="s">
        <v>56</v>
      </c>
      <c r="H302" t="s">
        <v>58</v>
      </c>
      <c r="I302" t="s">
        <v>602</v>
      </c>
      <c r="J302" t="s">
        <v>602</v>
      </c>
      <c r="K302" t="s">
        <v>7165</v>
      </c>
      <c r="L302" t="s">
        <v>7165</v>
      </c>
      <c r="M302" s="1" t="s">
        <v>603</v>
      </c>
      <c r="N302" t="s">
        <v>604</v>
      </c>
      <c r="O302" s="1" t="s">
        <v>605</v>
      </c>
      <c r="P302" s="1" t="s">
        <v>127</v>
      </c>
      <c r="Q302" s="11" t="s">
        <v>7194</v>
      </c>
      <c r="R302" s="1">
        <v>11</v>
      </c>
      <c r="S302" s="1">
        <v>2124</v>
      </c>
      <c r="T302" s="1" t="s">
        <v>169</v>
      </c>
      <c r="U302" s="1" t="s">
        <v>170</v>
      </c>
      <c r="V302" t="s">
        <v>623</v>
      </c>
      <c r="W302" t="s">
        <v>624</v>
      </c>
      <c r="X302" t="s">
        <v>68</v>
      </c>
      <c r="Y302" t="s">
        <v>625</v>
      </c>
      <c r="Z302" t="s">
        <v>626</v>
      </c>
      <c r="AA302" t="s">
        <v>627</v>
      </c>
      <c r="AB302" t="s">
        <v>628</v>
      </c>
      <c r="AC302" t="s">
        <v>73</v>
      </c>
      <c r="AD302" t="s">
        <v>629</v>
      </c>
      <c r="AE302" t="s">
        <v>75</v>
      </c>
      <c r="AF302" t="s">
        <v>76</v>
      </c>
      <c r="AG302" t="s">
        <v>77</v>
      </c>
      <c r="AH302" t="s">
        <v>630</v>
      </c>
      <c r="AI302" t="s">
        <v>615</v>
      </c>
      <c r="AJ302" t="s">
        <v>616</v>
      </c>
      <c r="AK302" t="s">
        <v>81</v>
      </c>
      <c r="AL302" t="s">
        <v>82</v>
      </c>
      <c r="AM302" t="s">
        <v>83</v>
      </c>
      <c r="AN302">
        <v>2000</v>
      </c>
      <c r="AO302">
        <v>160449</v>
      </c>
      <c r="AP302">
        <v>5377622</v>
      </c>
      <c r="AQ302">
        <v>174</v>
      </c>
      <c r="AR302" t="s">
        <v>84</v>
      </c>
      <c r="AS302">
        <v>562</v>
      </c>
      <c r="AT302" t="s">
        <v>85</v>
      </c>
      <c r="AU302" t="s">
        <v>86</v>
      </c>
      <c r="AV302">
        <v>562</v>
      </c>
      <c r="AW302" t="s">
        <v>631</v>
      </c>
      <c r="AX302" t="s">
        <v>88</v>
      </c>
      <c r="AZ302" t="s">
        <v>632</v>
      </c>
      <c r="BA302">
        <v>30</v>
      </c>
      <c r="BB302">
        <v>26</v>
      </c>
    </row>
    <row r="303" spans="1:54" x14ac:dyDescent="0.2">
      <c r="A303" t="s">
        <v>1208</v>
      </c>
      <c r="B303" t="s">
        <v>1209</v>
      </c>
      <c r="C303" t="s">
        <v>1142</v>
      </c>
      <c r="D303" t="s">
        <v>1210</v>
      </c>
      <c r="E303" t="s">
        <v>1210</v>
      </c>
      <c r="G303" t="s">
        <v>56</v>
      </c>
      <c r="H303" t="s">
        <v>58</v>
      </c>
      <c r="I303" t="s">
        <v>1200</v>
      </c>
      <c r="J303" t="s">
        <v>1200</v>
      </c>
      <c r="K303" t="s">
        <v>7165</v>
      </c>
      <c r="L303" t="s">
        <v>7165</v>
      </c>
      <c r="M303" s="1" t="s">
        <v>603</v>
      </c>
      <c r="N303" t="s">
        <v>649</v>
      </c>
      <c r="O303" s="1" t="s">
        <v>605</v>
      </c>
      <c r="P303" s="1" t="s">
        <v>127</v>
      </c>
      <c r="Q303" s="11" t="s">
        <v>7194</v>
      </c>
      <c r="R303" s="1">
        <v>11</v>
      </c>
      <c r="S303" s="1" t="s">
        <v>833</v>
      </c>
      <c r="T303" s="1" t="s">
        <v>1095</v>
      </c>
      <c r="U303" s="1" t="s">
        <v>170</v>
      </c>
      <c r="V303" t="s">
        <v>1211</v>
      </c>
      <c r="W303" t="s">
        <v>1212</v>
      </c>
      <c r="X303" t="s">
        <v>68</v>
      </c>
      <c r="Y303" t="s">
        <v>1213</v>
      </c>
      <c r="Z303" t="s">
        <v>1214</v>
      </c>
      <c r="AA303" t="s">
        <v>1215</v>
      </c>
      <c r="AB303" t="s">
        <v>628</v>
      </c>
      <c r="AC303" t="s">
        <v>73</v>
      </c>
      <c r="AD303" t="s">
        <v>1216</v>
      </c>
      <c r="AE303" t="s">
        <v>1102</v>
      </c>
      <c r="AF303" t="s">
        <v>76</v>
      </c>
      <c r="AG303" t="s">
        <v>77</v>
      </c>
      <c r="AH303" t="s">
        <v>1217</v>
      </c>
      <c r="AI303" t="s">
        <v>1104</v>
      </c>
      <c r="AJ303" t="s">
        <v>1105</v>
      </c>
      <c r="AK303" t="s">
        <v>158</v>
      </c>
      <c r="AL303" t="s">
        <v>159</v>
      </c>
      <c r="AM303" t="s">
        <v>83</v>
      </c>
      <c r="AN303">
        <v>2010</v>
      </c>
      <c r="AO303">
        <v>43143</v>
      </c>
      <c r="AP303">
        <v>5397075</v>
      </c>
      <c r="AQ303">
        <v>486</v>
      </c>
      <c r="AR303" t="s">
        <v>84</v>
      </c>
      <c r="AS303">
        <v>562</v>
      </c>
      <c r="AT303" t="s">
        <v>85</v>
      </c>
      <c r="AU303" t="s">
        <v>86</v>
      </c>
      <c r="AV303">
        <v>562</v>
      </c>
      <c r="AW303" t="s">
        <v>1218</v>
      </c>
      <c r="AX303" t="s">
        <v>88</v>
      </c>
      <c r="AZ303" t="s">
        <v>1107</v>
      </c>
      <c r="BA303">
        <v>0</v>
      </c>
    </row>
    <row r="304" spans="1:54" x14ac:dyDescent="0.2">
      <c r="A304" t="s">
        <v>1219</v>
      </c>
      <c r="B304" t="s">
        <v>1220</v>
      </c>
      <c r="C304" t="s">
        <v>1142</v>
      </c>
      <c r="D304" t="s">
        <v>1221</v>
      </c>
      <c r="E304" t="s">
        <v>1221</v>
      </c>
      <c r="G304" t="s">
        <v>56</v>
      </c>
      <c r="H304" t="s">
        <v>58</v>
      </c>
      <c r="I304" t="s">
        <v>1200</v>
      </c>
      <c r="J304" t="s">
        <v>1200</v>
      </c>
      <c r="K304" t="s">
        <v>7165</v>
      </c>
      <c r="L304" t="s">
        <v>7165</v>
      </c>
      <c r="M304" s="1" t="s">
        <v>603</v>
      </c>
      <c r="N304" t="s">
        <v>649</v>
      </c>
      <c r="O304" s="1" t="s">
        <v>605</v>
      </c>
      <c r="P304" s="1" t="s">
        <v>127</v>
      </c>
      <c r="Q304" s="11" t="s">
        <v>7211</v>
      </c>
      <c r="R304" s="1">
        <v>11</v>
      </c>
      <c r="S304" s="1" t="s">
        <v>833</v>
      </c>
      <c r="T304" s="1" t="s">
        <v>1095</v>
      </c>
      <c r="U304" s="1" t="s">
        <v>170</v>
      </c>
      <c r="V304" t="s">
        <v>1222</v>
      </c>
      <c r="W304" t="s">
        <v>1223</v>
      </c>
      <c r="X304" t="s">
        <v>68</v>
      </c>
      <c r="Y304" t="s">
        <v>1224</v>
      </c>
      <c r="Z304" t="s">
        <v>1225</v>
      </c>
      <c r="AA304" t="s">
        <v>1226</v>
      </c>
      <c r="AB304" t="s">
        <v>628</v>
      </c>
      <c r="AC304" t="s">
        <v>73</v>
      </c>
      <c r="AD304" t="s">
        <v>1227</v>
      </c>
      <c r="AE304" t="s">
        <v>1102</v>
      </c>
      <c r="AF304" t="s">
        <v>76</v>
      </c>
      <c r="AG304" t="s">
        <v>77</v>
      </c>
      <c r="AH304" t="s">
        <v>1161</v>
      </c>
      <c r="AI304" t="s">
        <v>1104</v>
      </c>
      <c r="AJ304" t="s">
        <v>1105</v>
      </c>
      <c r="AK304" t="s">
        <v>158</v>
      </c>
      <c r="AL304" t="s">
        <v>159</v>
      </c>
      <c r="AM304" t="s">
        <v>83</v>
      </c>
      <c r="AN304">
        <v>2010</v>
      </c>
      <c r="AO304">
        <v>80259</v>
      </c>
      <c r="AP304">
        <v>5452444</v>
      </c>
      <c r="AQ304">
        <v>302</v>
      </c>
      <c r="AR304" t="s">
        <v>84</v>
      </c>
      <c r="AS304">
        <v>562</v>
      </c>
      <c r="AT304" t="s">
        <v>85</v>
      </c>
      <c r="AU304" t="s">
        <v>86</v>
      </c>
      <c r="AV304">
        <v>562</v>
      </c>
      <c r="AW304" t="s">
        <v>1228</v>
      </c>
      <c r="AX304" t="s">
        <v>88</v>
      </c>
      <c r="AZ304" t="s">
        <v>1107</v>
      </c>
      <c r="BA304">
        <v>0</v>
      </c>
    </row>
    <row r="305" spans="1:54" x14ac:dyDescent="0.2">
      <c r="A305" t="s">
        <v>1229</v>
      </c>
      <c r="B305" t="s">
        <v>1230</v>
      </c>
      <c r="C305" t="s">
        <v>1142</v>
      </c>
      <c r="D305" t="s">
        <v>1231</v>
      </c>
      <c r="E305" t="s">
        <v>1231</v>
      </c>
      <c r="G305" t="s">
        <v>56</v>
      </c>
      <c r="H305" t="s">
        <v>58</v>
      </c>
      <c r="I305" t="s">
        <v>1200</v>
      </c>
      <c r="J305" t="s">
        <v>1200</v>
      </c>
      <c r="K305" t="s">
        <v>7165</v>
      </c>
      <c r="L305" t="s">
        <v>7165</v>
      </c>
      <c r="M305" s="1" t="s">
        <v>603</v>
      </c>
      <c r="N305" t="s">
        <v>649</v>
      </c>
      <c r="O305" s="1" t="s">
        <v>605</v>
      </c>
      <c r="P305" s="1" t="s">
        <v>127</v>
      </c>
      <c r="Q305" s="11" t="s">
        <v>7211</v>
      </c>
      <c r="R305" s="1">
        <v>11</v>
      </c>
      <c r="S305" s="1" t="s">
        <v>833</v>
      </c>
      <c r="T305" s="1" t="s">
        <v>1095</v>
      </c>
      <c r="U305" s="1" t="s">
        <v>170</v>
      </c>
      <c r="V305" t="s">
        <v>1232</v>
      </c>
      <c r="W305" t="s">
        <v>1233</v>
      </c>
      <c r="X305" t="s">
        <v>68</v>
      </c>
      <c r="Y305" t="s">
        <v>1234</v>
      </c>
      <c r="Z305" t="s">
        <v>1235</v>
      </c>
      <c r="AA305" t="s">
        <v>1236</v>
      </c>
      <c r="AB305" t="s">
        <v>628</v>
      </c>
      <c r="AC305" t="s">
        <v>73</v>
      </c>
      <c r="AD305" t="s">
        <v>1237</v>
      </c>
      <c r="AE305" t="s">
        <v>1102</v>
      </c>
      <c r="AF305" t="s">
        <v>76</v>
      </c>
      <c r="AG305" t="s">
        <v>77</v>
      </c>
      <c r="AH305" t="s">
        <v>1238</v>
      </c>
      <c r="AI305" t="s">
        <v>1104</v>
      </c>
      <c r="AJ305" t="s">
        <v>1239</v>
      </c>
      <c r="AK305" t="s">
        <v>158</v>
      </c>
      <c r="AL305" t="s">
        <v>159</v>
      </c>
      <c r="AM305" t="s">
        <v>83</v>
      </c>
      <c r="AN305">
        <v>2010</v>
      </c>
      <c r="AO305">
        <v>104594</v>
      </c>
      <c r="AP305">
        <v>5452780</v>
      </c>
      <c r="AQ305">
        <v>210</v>
      </c>
      <c r="AR305" t="s">
        <v>84</v>
      </c>
      <c r="AS305">
        <v>562</v>
      </c>
      <c r="AT305" t="s">
        <v>85</v>
      </c>
      <c r="AU305" t="s">
        <v>86</v>
      </c>
      <c r="AV305">
        <v>562</v>
      </c>
      <c r="AW305" t="s">
        <v>1240</v>
      </c>
      <c r="AX305" t="s">
        <v>88</v>
      </c>
      <c r="AZ305" t="s">
        <v>1107</v>
      </c>
      <c r="BA305">
        <v>0</v>
      </c>
    </row>
    <row r="306" spans="1:54" x14ac:dyDescent="0.2">
      <c r="A306" t="s">
        <v>1241</v>
      </c>
      <c r="B306" t="s">
        <v>1242</v>
      </c>
      <c r="C306" t="s">
        <v>1243</v>
      </c>
      <c r="D306" t="s">
        <v>1244</v>
      </c>
      <c r="E306" t="s">
        <v>1244</v>
      </c>
      <c r="G306" t="s">
        <v>56</v>
      </c>
      <c r="H306" t="s">
        <v>58</v>
      </c>
      <c r="I306" t="s">
        <v>1094</v>
      </c>
      <c r="J306" t="s">
        <v>1094</v>
      </c>
      <c r="K306" t="s">
        <v>7165</v>
      </c>
      <c r="L306" t="s">
        <v>7165</v>
      </c>
      <c r="M306" s="1" t="s">
        <v>603</v>
      </c>
      <c r="N306" t="s">
        <v>604</v>
      </c>
      <c r="O306" s="1" t="s">
        <v>875</v>
      </c>
      <c r="P306" s="1" t="s">
        <v>270</v>
      </c>
      <c r="Q306" s="11" t="s">
        <v>7339</v>
      </c>
      <c r="R306" s="1">
        <v>11</v>
      </c>
      <c r="S306" s="1">
        <v>2117</v>
      </c>
      <c r="T306" s="1" t="s">
        <v>169</v>
      </c>
      <c r="U306" s="1" t="s">
        <v>170</v>
      </c>
      <c r="V306" t="s">
        <v>1245</v>
      </c>
      <c r="W306" t="s">
        <v>1246</v>
      </c>
      <c r="X306" t="s">
        <v>68</v>
      </c>
      <c r="Y306" t="s">
        <v>1247</v>
      </c>
      <c r="Z306" t="s">
        <v>1248</v>
      </c>
      <c r="AA306" t="s">
        <v>1249</v>
      </c>
      <c r="AB306" t="s">
        <v>1250</v>
      </c>
      <c r="AC306" t="s">
        <v>73</v>
      </c>
      <c r="AD306" t="s">
        <v>1251</v>
      </c>
      <c r="AE306" t="s">
        <v>75</v>
      </c>
      <c r="AF306" t="s">
        <v>76</v>
      </c>
      <c r="AG306" t="s">
        <v>77</v>
      </c>
      <c r="AH306" t="s">
        <v>1252</v>
      </c>
      <c r="AI306" t="s">
        <v>1253</v>
      </c>
      <c r="AJ306" t="s">
        <v>616</v>
      </c>
      <c r="AK306" t="s">
        <v>81</v>
      </c>
      <c r="AL306" t="s">
        <v>82</v>
      </c>
      <c r="AM306" t="s">
        <v>83</v>
      </c>
      <c r="AN306">
        <v>2011</v>
      </c>
      <c r="AO306">
        <v>82254</v>
      </c>
      <c r="AP306">
        <v>5287870</v>
      </c>
      <c r="AQ306">
        <v>227</v>
      </c>
      <c r="AR306" t="s">
        <v>84</v>
      </c>
      <c r="AS306">
        <v>562</v>
      </c>
      <c r="AT306" t="s">
        <v>85</v>
      </c>
      <c r="AU306" t="s">
        <v>86</v>
      </c>
      <c r="AV306">
        <v>562</v>
      </c>
      <c r="AW306" t="s">
        <v>1254</v>
      </c>
      <c r="AX306" t="s">
        <v>88</v>
      </c>
    </row>
    <row r="307" spans="1:54" x14ac:dyDescent="0.2">
      <c r="A307" t="s">
        <v>1255</v>
      </c>
      <c r="B307" t="s">
        <v>1256</v>
      </c>
      <c r="C307" t="s">
        <v>1257</v>
      </c>
      <c r="D307" t="s">
        <v>1258</v>
      </c>
      <c r="E307" t="s">
        <v>1258</v>
      </c>
      <c r="G307" t="s">
        <v>56</v>
      </c>
      <c r="H307" t="s">
        <v>58</v>
      </c>
      <c r="I307" t="s">
        <v>1070</v>
      </c>
      <c r="J307" t="s">
        <v>1070</v>
      </c>
      <c r="K307" t="s">
        <v>7165</v>
      </c>
      <c r="L307" t="s">
        <v>7165</v>
      </c>
      <c r="M307" s="1" t="s">
        <v>603</v>
      </c>
      <c r="N307" t="s">
        <v>649</v>
      </c>
      <c r="O307" s="1" t="s">
        <v>875</v>
      </c>
      <c r="P307" s="1" t="s">
        <v>270</v>
      </c>
      <c r="Q307" s="11" t="s">
        <v>7339</v>
      </c>
      <c r="R307" s="1">
        <v>11</v>
      </c>
      <c r="S307" s="1">
        <v>2124</v>
      </c>
      <c r="T307" s="1" t="s">
        <v>169</v>
      </c>
      <c r="U307" s="1" t="s">
        <v>170</v>
      </c>
      <c r="V307" t="s">
        <v>1259</v>
      </c>
      <c r="W307" t="s">
        <v>1260</v>
      </c>
      <c r="X307" t="s">
        <v>68</v>
      </c>
      <c r="Y307" t="s">
        <v>1261</v>
      </c>
      <c r="Z307" t="s">
        <v>1262</v>
      </c>
      <c r="AA307" t="s">
        <v>1263</v>
      </c>
      <c r="AB307" t="s">
        <v>1250</v>
      </c>
      <c r="AC307" t="s">
        <v>73</v>
      </c>
      <c r="AD307" t="s">
        <v>1264</v>
      </c>
      <c r="AE307" t="s">
        <v>75</v>
      </c>
      <c r="AF307" t="s">
        <v>76</v>
      </c>
      <c r="AG307" t="s">
        <v>77</v>
      </c>
      <c r="AH307" t="s">
        <v>1265</v>
      </c>
      <c r="AI307" t="s">
        <v>615</v>
      </c>
      <c r="AJ307" t="s">
        <v>616</v>
      </c>
      <c r="AK307" t="s">
        <v>81</v>
      </c>
      <c r="AL307" t="s">
        <v>82</v>
      </c>
      <c r="AM307" t="s">
        <v>83</v>
      </c>
      <c r="AN307">
        <v>2011</v>
      </c>
      <c r="AO307">
        <v>178353</v>
      </c>
      <c r="AP307">
        <v>5387062</v>
      </c>
      <c r="AQ307">
        <v>208</v>
      </c>
      <c r="AR307" t="s">
        <v>84</v>
      </c>
      <c r="AS307">
        <v>562</v>
      </c>
      <c r="AT307" t="s">
        <v>85</v>
      </c>
      <c r="AU307" t="s">
        <v>86</v>
      </c>
      <c r="AV307">
        <v>562</v>
      </c>
      <c r="AW307" t="s">
        <v>1266</v>
      </c>
      <c r="AX307" t="s">
        <v>88</v>
      </c>
    </row>
    <row r="308" spans="1:54" x14ac:dyDescent="0.2">
      <c r="A308" t="s">
        <v>4639</v>
      </c>
      <c r="B308" t="s">
        <v>4640</v>
      </c>
      <c r="C308" t="s">
        <v>4597</v>
      </c>
      <c r="D308" t="s">
        <v>4641</v>
      </c>
      <c r="E308" t="s">
        <v>4641</v>
      </c>
      <c r="G308" t="s">
        <v>56</v>
      </c>
      <c r="H308" t="s">
        <v>93</v>
      </c>
      <c r="I308" t="s">
        <v>4599</v>
      </c>
      <c r="J308" t="s">
        <v>4599</v>
      </c>
      <c r="K308" t="s">
        <v>7169</v>
      </c>
      <c r="L308" t="s">
        <v>7169</v>
      </c>
      <c r="M308" s="1" t="s">
        <v>4600</v>
      </c>
      <c r="N308" t="s">
        <v>4614</v>
      </c>
      <c r="O308" s="1" t="s">
        <v>126</v>
      </c>
      <c r="P308" s="1" t="s">
        <v>127</v>
      </c>
      <c r="Q308" s="11" t="s">
        <v>7350</v>
      </c>
      <c r="R308" s="1">
        <v>657</v>
      </c>
      <c r="S308" s="1">
        <v>30109</v>
      </c>
      <c r="T308" s="1" t="s">
        <v>169</v>
      </c>
      <c r="U308" s="1" t="s">
        <v>170</v>
      </c>
      <c r="V308" t="s">
        <v>4642</v>
      </c>
      <c r="W308" t="s">
        <v>4643</v>
      </c>
      <c r="X308" t="s">
        <v>68</v>
      </c>
      <c r="Y308" t="s">
        <v>4644</v>
      </c>
      <c r="Z308" t="s">
        <v>4645</v>
      </c>
      <c r="AA308" t="s">
        <v>4646</v>
      </c>
      <c r="AB308" t="s">
        <v>1250</v>
      </c>
      <c r="AC308" t="s">
        <v>73</v>
      </c>
      <c r="AD308" t="s">
        <v>4647</v>
      </c>
      <c r="AE308" t="s">
        <v>3341</v>
      </c>
      <c r="AF308" t="s">
        <v>76</v>
      </c>
      <c r="AG308" t="s">
        <v>77</v>
      </c>
      <c r="AH308" t="s">
        <v>4608</v>
      </c>
      <c r="AI308" t="s">
        <v>107</v>
      </c>
      <c r="AJ308" t="s">
        <v>3343</v>
      </c>
      <c r="AK308" t="s">
        <v>81</v>
      </c>
      <c r="AL308" t="s">
        <v>82</v>
      </c>
      <c r="AM308" t="s">
        <v>83</v>
      </c>
      <c r="AN308">
        <v>2013</v>
      </c>
      <c r="AO308">
        <v>76435</v>
      </c>
      <c r="AP308">
        <v>5030251</v>
      </c>
      <c r="AQ308">
        <v>161</v>
      </c>
      <c r="AR308" t="s">
        <v>84</v>
      </c>
      <c r="AS308">
        <v>562</v>
      </c>
      <c r="AT308" t="s">
        <v>85</v>
      </c>
      <c r="AU308" t="s">
        <v>86</v>
      </c>
      <c r="AV308">
        <v>562</v>
      </c>
      <c r="AW308" t="s">
        <v>4648</v>
      </c>
      <c r="AX308" t="s">
        <v>88</v>
      </c>
      <c r="AZ308" t="s">
        <v>4610</v>
      </c>
      <c r="BA308">
        <v>3</v>
      </c>
    </row>
    <row r="309" spans="1:54" x14ac:dyDescent="0.2">
      <c r="A309" t="s">
        <v>1267</v>
      </c>
      <c r="B309" t="s">
        <v>1268</v>
      </c>
      <c r="C309" t="s">
        <v>1269</v>
      </c>
      <c r="D309" t="s">
        <v>1270</v>
      </c>
      <c r="E309" t="s">
        <v>1270</v>
      </c>
      <c r="G309" t="s">
        <v>56</v>
      </c>
      <c r="H309" t="s">
        <v>58</v>
      </c>
      <c r="I309" t="s">
        <v>1271</v>
      </c>
      <c r="J309" t="s">
        <v>1271</v>
      </c>
      <c r="K309" t="s">
        <v>7165</v>
      </c>
      <c r="L309" t="s">
        <v>7165</v>
      </c>
      <c r="M309" s="1" t="s">
        <v>603</v>
      </c>
      <c r="N309" t="s">
        <v>649</v>
      </c>
      <c r="O309" s="1" t="s">
        <v>875</v>
      </c>
      <c r="P309" s="1" t="s">
        <v>64</v>
      </c>
      <c r="Q309" s="11" t="s">
        <v>7293</v>
      </c>
      <c r="R309" s="1">
        <v>11</v>
      </c>
      <c r="S309" s="1">
        <v>61945</v>
      </c>
      <c r="T309" s="1" t="s">
        <v>960</v>
      </c>
      <c r="U309" s="1" t="s">
        <v>170</v>
      </c>
      <c r="V309" t="s">
        <v>1272</v>
      </c>
      <c r="W309" t="s">
        <v>1273</v>
      </c>
      <c r="X309" t="s">
        <v>68</v>
      </c>
      <c r="Y309" t="s">
        <v>1274</v>
      </c>
      <c r="Z309" t="s">
        <v>1275</v>
      </c>
      <c r="AA309" t="s">
        <v>1276</v>
      </c>
      <c r="AB309" t="s">
        <v>1250</v>
      </c>
      <c r="AC309" t="s">
        <v>73</v>
      </c>
      <c r="AD309" t="s">
        <v>1277</v>
      </c>
      <c r="AE309" t="s">
        <v>967</v>
      </c>
      <c r="AF309" t="s">
        <v>76</v>
      </c>
      <c r="AG309" t="s">
        <v>77</v>
      </c>
      <c r="AH309" t="s">
        <v>1278</v>
      </c>
      <c r="AI309" t="s">
        <v>969</v>
      </c>
      <c r="AJ309" t="s">
        <v>970</v>
      </c>
      <c r="AK309" t="s">
        <v>81</v>
      </c>
      <c r="AL309" t="s">
        <v>82</v>
      </c>
      <c r="AM309" t="s">
        <v>83</v>
      </c>
      <c r="AN309">
        <v>2011</v>
      </c>
      <c r="AO309">
        <v>188297</v>
      </c>
      <c r="AP309">
        <v>5514269</v>
      </c>
      <c r="AQ309">
        <v>233</v>
      </c>
      <c r="AR309" t="s">
        <v>84</v>
      </c>
      <c r="AS309">
        <v>562</v>
      </c>
      <c r="AT309" t="s">
        <v>85</v>
      </c>
      <c r="AU309" t="s">
        <v>86</v>
      </c>
      <c r="AV309">
        <v>562</v>
      </c>
      <c r="AW309" t="s">
        <v>1279</v>
      </c>
      <c r="AX309" t="s">
        <v>88</v>
      </c>
      <c r="AZ309" t="s">
        <v>1280</v>
      </c>
      <c r="BA309">
        <v>1</v>
      </c>
    </row>
    <row r="310" spans="1:54" x14ac:dyDescent="0.2">
      <c r="A310" t="s">
        <v>1281</v>
      </c>
      <c r="B310" t="s">
        <v>1282</v>
      </c>
      <c r="C310" t="s">
        <v>1283</v>
      </c>
      <c r="D310" t="s">
        <v>1284</v>
      </c>
      <c r="E310" t="s">
        <v>1284</v>
      </c>
      <c r="G310" t="s">
        <v>56</v>
      </c>
      <c r="H310" t="s">
        <v>58</v>
      </c>
      <c r="I310" t="s">
        <v>1271</v>
      </c>
      <c r="J310" t="s">
        <v>1271</v>
      </c>
      <c r="K310" t="s">
        <v>7165</v>
      </c>
      <c r="L310" t="s">
        <v>7165</v>
      </c>
      <c r="M310" s="1" t="s">
        <v>603</v>
      </c>
      <c r="N310" t="s">
        <v>649</v>
      </c>
      <c r="O310" s="1" t="s">
        <v>674</v>
      </c>
      <c r="P310" s="1" t="s">
        <v>64</v>
      </c>
      <c r="Q310" s="11" t="s">
        <v>7293</v>
      </c>
      <c r="R310" s="1">
        <v>11</v>
      </c>
      <c r="S310" s="1">
        <v>61945</v>
      </c>
      <c r="T310" s="1" t="s">
        <v>1285</v>
      </c>
      <c r="U310" s="1">
        <v>0</v>
      </c>
      <c r="V310" t="s">
        <v>1286</v>
      </c>
      <c r="W310" t="s">
        <v>1287</v>
      </c>
      <c r="X310" t="s">
        <v>68</v>
      </c>
      <c r="Y310" t="s">
        <v>1288</v>
      </c>
      <c r="Z310" t="s">
        <v>1289</v>
      </c>
      <c r="AA310" t="s">
        <v>1290</v>
      </c>
      <c r="AB310" t="s">
        <v>1250</v>
      </c>
      <c r="AC310" t="s">
        <v>73</v>
      </c>
      <c r="AD310" t="s">
        <v>1291</v>
      </c>
      <c r="AE310" t="s">
        <v>967</v>
      </c>
      <c r="AF310" t="s">
        <v>76</v>
      </c>
      <c r="AG310" t="s">
        <v>77</v>
      </c>
      <c r="AH310" t="s">
        <v>1292</v>
      </c>
      <c r="AI310" t="s">
        <v>969</v>
      </c>
      <c r="AJ310" t="s">
        <v>970</v>
      </c>
      <c r="AK310" t="s">
        <v>81</v>
      </c>
      <c r="AL310" t="s">
        <v>82</v>
      </c>
      <c r="AM310" t="s">
        <v>83</v>
      </c>
      <c r="AN310">
        <v>2011</v>
      </c>
      <c r="AO310">
        <v>134487</v>
      </c>
      <c r="AP310">
        <v>5518484</v>
      </c>
      <c r="AQ310">
        <v>260</v>
      </c>
      <c r="AR310" t="s">
        <v>84</v>
      </c>
      <c r="AS310">
        <v>562</v>
      </c>
      <c r="AT310" t="s">
        <v>85</v>
      </c>
      <c r="AU310" t="s">
        <v>86</v>
      </c>
      <c r="AV310">
        <v>562</v>
      </c>
      <c r="AW310" t="s">
        <v>1293</v>
      </c>
      <c r="AX310" t="s">
        <v>88</v>
      </c>
      <c r="AZ310" t="s">
        <v>1280</v>
      </c>
      <c r="BA310">
        <v>0</v>
      </c>
    </row>
    <row r="311" spans="1:54" x14ac:dyDescent="0.2">
      <c r="A311" t="s">
        <v>1294</v>
      </c>
      <c r="B311" t="s">
        <v>1295</v>
      </c>
      <c r="C311" t="s">
        <v>1296</v>
      </c>
      <c r="D311" t="s">
        <v>1297</v>
      </c>
      <c r="E311" t="s">
        <v>1297</v>
      </c>
      <c r="G311" t="s">
        <v>56</v>
      </c>
      <c r="H311" t="s">
        <v>58</v>
      </c>
      <c r="I311" t="s">
        <v>1298</v>
      </c>
      <c r="J311" t="s">
        <v>1298</v>
      </c>
      <c r="K311" t="s">
        <v>7169</v>
      </c>
      <c r="L311" t="s">
        <v>7169</v>
      </c>
      <c r="M311" s="1" t="s">
        <v>603</v>
      </c>
      <c r="N311" t="s">
        <v>649</v>
      </c>
      <c r="O311" s="1" t="s">
        <v>875</v>
      </c>
      <c r="P311" s="1" t="s">
        <v>64</v>
      </c>
      <c r="Q311" s="11" t="s">
        <v>7293</v>
      </c>
      <c r="R311" s="1">
        <v>11</v>
      </c>
      <c r="S311" s="1">
        <v>61945</v>
      </c>
      <c r="T311" s="1" t="s">
        <v>960</v>
      </c>
      <c r="U311" s="1" t="s">
        <v>170</v>
      </c>
      <c r="V311" t="s">
        <v>1299</v>
      </c>
      <c r="W311" t="s">
        <v>1300</v>
      </c>
      <c r="X311" t="s">
        <v>68</v>
      </c>
      <c r="Y311" t="s">
        <v>1301</v>
      </c>
      <c r="Z311" t="s">
        <v>1302</v>
      </c>
      <c r="AA311" t="s">
        <v>1303</v>
      </c>
      <c r="AB311" t="s">
        <v>1250</v>
      </c>
      <c r="AC311" t="s">
        <v>73</v>
      </c>
      <c r="AD311" t="s">
        <v>1304</v>
      </c>
      <c r="AE311" t="s">
        <v>967</v>
      </c>
      <c r="AF311" t="s">
        <v>76</v>
      </c>
      <c r="AG311" t="s">
        <v>77</v>
      </c>
      <c r="AH311" t="s">
        <v>792</v>
      </c>
      <c r="AI311" t="s">
        <v>969</v>
      </c>
      <c r="AJ311" t="s">
        <v>970</v>
      </c>
      <c r="AK311" t="s">
        <v>81</v>
      </c>
      <c r="AL311" t="s">
        <v>82</v>
      </c>
      <c r="AM311" t="s">
        <v>83</v>
      </c>
      <c r="AN311">
        <v>2011</v>
      </c>
      <c r="AO311">
        <v>245451</v>
      </c>
      <c r="AP311">
        <v>5555096</v>
      </c>
      <c r="AQ311">
        <v>178</v>
      </c>
      <c r="AR311" t="s">
        <v>84</v>
      </c>
      <c r="AS311">
        <v>562</v>
      </c>
      <c r="AT311" t="s">
        <v>85</v>
      </c>
      <c r="AU311" t="s">
        <v>86</v>
      </c>
      <c r="AV311">
        <v>562</v>
      </c>
      <c r="AW311" t="s">
        <v>1305</v>
      </c>
      <c r="AX311" t="s">
        <v>88</v>
      </c>
      <c r="AZ311" t="s">
        <v>1280</v>
      </c>
      <c r="BA311">
        <v>0</v>
      </c>
    </row>
    <row r="312" spans="1:54" x14ac:dyDescent="0.2">
      <c r="A312" t="s">
        <v>1306</v>
      </c>
      <c r="B312" t="s">
        <v>1307</v>
      </c>
      <c r="C312" t="s">
        <v>1308</v>
      </c>
      <c r="D312" t="s">
        <v>1309</v>
      </c>
      <c r="E312" t="s">
        <v>1309</v>
      </c>
      <c r="G312" t="s">
        <v>56</v>
      </c>
      <c r="H312" t="s">
        <v>58</v>
      </c>
      <c r="I312" t="s">
        <v>1070</v>
      </c>
      <c r="J312" t="s">
        <v>1070</v>
      </c>
      <c r="K312" t="s">
        <v>7165</v>
      </c>
      <c r="L312" t="s">
        <v>7165</v>
      </c>
      <c r="M312" s="1" t="s">
        <v>603</v>
      </c>
      <c r="N312" t="s">
        <v>649</v>
      </c>
      <c r="O312" s="1" t="s">
        <v>605</v>
      </c>
      <c r="P312" s="1" t="s">
        <v>820</v>
      </c>
      <c r="Q312" s="11" t="s">
        <v>7319</v>
      </c>
      <c r="R312" s="1">
        <v>11</v>
      </c>
      <c r="S312" s="1">
        <v>2125</v>
      </c>
      <c r="T312" s="1" t="s">
        <v>1311</v>
      </c>
      <c r="U312" s="1" t="s">
        <v>170</v>
      </c>
      <c r="V312" t="s">
        <v>1312</v>
      </c>
      <c r="W312" t="s">
        <v>1313</v>
      </c>
      <c r="X312" t="s">
        <v>68</v>
      </c>
      <c r="Y312" t="s">
        <v>1314</v>
      </c>
      <c r="Z312" t="s">
        <v>1315</v>
      </c>
      <c r="AA312" t="s">
        <v>1316</v>
      </c>
      <c r="AB312" t="s">
        <v>1317</v>
      </c>
      <c r="AC312" t="s">
        <v>73</v>
      </c>
      <c r="AD312" t="s">
        <v>1318</v>
      </c>
      <c r="AE312" t="s">
        <v>1319</v>
      </c>
      <c r="AF312" t="s">
        <v>76</v>
      </c>
      <c r="AG312" t="s">
        <v>77</v>
      </c>
      <c r="AH312" t="s">
        <v>1320</v>
      </c>
      <c r="AI312" t="s">
        <v>615</v>
      </c>
      <c r="AJ312" t="s">
        <v>1321</v>
      </c>
      <c r="AK312" t="s">
        <v>158</v>
      </c>
      <c r="AL312" t="s">
        <v>159</v>
      </c>
      <c r="AM312" t="s">
        <v>83</v>
      </c>
      <c r="AN312">
        <v>2012</v>
      </c>
      <c r="AO312">
        <v>104074</v>
      </c>
      <c r="AP312">
        <v>5360183</v>
      </c>
      <c r="AQ312">
        <v>260</v>
      </c>
      <c r="AR312" t="s">
        <v>84</v>
      </c>
      <c r="AS312">
        <v>562</v>
      </c>
      <c r="AT312" t="s">
        <v>85</v>
      </c>
      <c r="AU312" t="s">
        <v>86</v>
      </c>
      <c r="AV312">
        <v>562</v>
      </c>
      <c r="AW312" t="s">
        <v>1322</v>
      </c>
      <c r="AX312" t="s">
        <v>88</v>
      </c>
    </row>
    <row r="313" spans="1:54" x14ac:dyDescent="0.2">
      <c r="A313" t="s">
        <v>1461</v>
      </c>
      <c r="B313" t="s">
        <v>1462</v>
      </c>
      <c r="C313" t="s">
        <v>1463</v>
      </c>
      <c r="D313" t="s">
        <v>1464</v>
      </c>
      <c r="E313" t="s">
        <v>1464</v>
      </c>
      <c r="G313" t="s">
        <v>56</v>
      </c>
      <c r="H313" t="s">
        <v>58</v>
      </c>
      <c r="I313" t="s">
        <v>1465</v>
      </c>
      <c r="J313" t="s">
        <v>648</v>
      </c>
      <c r="K313" t="s">
        <v>7165</v>
      </c>
      <c r="L313" t="s">
        <v>7165</v>
      </c>
      <c r="M313" s="1" t="s">
        <v>603</v>
      </c>
      <c r="N313" t="s">
        <v>649</v>
      </c>
      <c r="O313" s="1" t="s">
        <v>674</v>
      </c>
      <c r="P313" s="1" t="s">
        <v>64</v>
      </c>
      <c r="Q313" s="11" t="s">
        <v>7293</v>
      </c>
      <c r="R313" s="1">
        <v>11</v>
      </c>
      <c r="S313" s="1">
        <v>2131</v>
      </c>
      <c r="T313" s="1" t="s">
        <v>651</v>
      </c>
      <c r="U313" s="1">
        <v>0</v>
      </c>
      <c r="V313" t="s">
        <v>1466</v>
      </c>
      <c r="W313" t="s">
        <v>1467</v>
      </c>
      <c r="X313" t="s">
        <v>68</v>
      </c>
      <c r="Y313" t="s">
        <v>1468</v>
      </c>
      <c r="Z313" t="s">
        <v>1469</v>
      </c>
      <c r="AA313" t="s">
        <v>1470</v>
      </c>
      <c r="AB313" t="s">
        <v>1317</v>
      </c>
      <c r="AC313" t="s">
        <v>73</v>
      </c>
      <c r="AD313" t="s">
        <v>1471</v>
      </c>
      <c r="AF313" t="s">
        <v>76</v>
      </c>
      <c r="AG313" t="s">
        <v>77</v>
      </c>
      <c r="AH313" t="s">
        <v>1472</v>
      </c>
      <c r="AI313" t="s">
        <v>615</v>
      </c>
      <c r="AJ313" t="s">
        <v>721</v>
      </c>
      <c r="AK313" t="s">
        <v>532</v>
      </c>
      <c r="AL313" t="s">
        <v>533</v>
      </c>
      <c r="AM313" t="s">
        <v>83</v>
      </c>
      <c r="AN313">
        <v>2012</v>
      </c>
      <c r="AO313">
        <v>188305</v>
      </c>
      <c r="AP313">
        <v>5373078</v>
      </c>
      <c r="AQ313">
        <v>173</v>
      </c>
      <c r="AR313" t="s">
        <v>84</v>
      </c>
      <c r="AS313">
        <v>562</v>
      </c>
      <c r="AT313" t="s">
        <v>85</v>
      </c>
      <c r="AU313" t="s">
        <v>86</v>
      </c>
      <c r="AV313">
        <v>562</v>
      </c>
      <c r="AW313" t="s">
        <v>1473</v>
      </c>
      <c r="AX313" t="s">
        <v>88</v>
      </c>
      <c r="AZ313" t="s">
        <v>710</v>
      </c>
      <c r="BA313">
        <v>10</v>
      </c>
      <c r="BB313">
        <v>9</v>
      </c>
    </row>
    <row r="314" spans="1:54" x14ac:dyDescent="0.2">
      <c r="A314" t="s">
        <v>1496</v>
      </c>
      <c r="B314" t="s">
        <v>1497</v>
      </c>
      <c r="C314" t="s">
        <v>1498</v>
      </c>
      <c r="D314" t="s">
        <v>1499</v>
      </c>
      <c r="E314" t="s">
        <v>1499</v>
      </c>
      <c r="G314" t="s">
        <v>56</v>
      </c>
      <c r="H314" t="s">
        <v>58</v>
      </c>
      <c r="I314" t="s">
        <v>1094</v>
      </c>
      <c r="J314" t="s">
        <v>1094</v>
      </c>
      <c r="K314" t="s">
        <v>7165</v>
      </c>
      <c r="L314" t="s">
        <v>7165</v>
      </c>
      <c r="M314" s="1" t="s">
        <v>603</v>
      </c>
      <c r="N314" t="s">
        <v>604</v>
      </c>
      <c r="O314" s="1" t="s">
        <v>875</v>
      </c>
      <c r="P314" s="1" t="s">
        <v>270</v>
      </c>
      <c r="Q314" s="11" t="s">
        <v>7339</v>
      </c>
      <c r="R314" s="1">
        <v>11</v>
      </c>
      <c r="S314" s="1">
        <v>2117</v>
      </c>
      <c r="T314" s="1" t="s">
        <v>169</v>
      </c>
      <c r="U314" s="1" t="s">
        <v>170</v>
      </c>
      <c r="V314" t="s">
        <v>1500</v>
      </c>
      <c r="W314" t="s">
        <v>1501</v>
      </c>
      <c r="X314" t="s">
        <v>68</v>
      </c>
      <c r="Y314" t="s">
        <v>1502</v>
      </c>
      <c r="Z314" t="s">
        <v>1503</v>
      </c>
      <c r="AA314" t="s">
        <v>1504</v>
      </c>
      <c r="AB314" t="s">
        <v>1317</v>
      </c>
      <c r="AC314" t="s">
        <v>73</v>
      </c>
      <c r="AD314" t="s">
        <v>1505</v>
      </c>
      <c r="AE314" t="s">
        <v>75</v>
      </c>
      <c r="AF314" t="s">
        <v>76</v>
      </c>
      <c r="AG314" t="s">
        <v>77</v>
      </c>
      <c r="AH314" t="s">
        <v>1506</v>
      </c>
      <c r="AI314" t="s">
        <v>1253</v>
      </c>
      <c r="AJ314" t="s">
        <v>616</v>
      </c>
      <c r="AK314" t="s">
        <v>81</v>
      </c>
      <c r="AL314" t="s">
        <v>82</v>
      </c>
      <c r="AM314" t="s">
        <v>83</v>
      </c>
      <c r="AN314">
        <v>2012</v>
      </c>
      <c r="AO314">
        <v>92431</v>
      </c>
      <c r="AP314">
        <v>5347905</v>
      </c>
      <c r="AQ314">
        <v>228</v>
      </c>
      <c r="AR314" t="s">
        <v>84</v>
      </c>
      <c r="AS314">
        <v>562</v>
      </c>
      <c r="AT314" t="s">
        <v>85</v>
      </c>
      <c r="AU314" t="s">
        <v>86</v>
      </c>
      <c r="AV314">
        <v>562</v>
      </c>
      <c r="AW314" t="s">
        <v>1507</v>
      </c>
      <c r="AX314" t="s">
        <v>88</v>
      </c>
      <c r="AZ314" t="s">
        <v>1508</v>
      </c>
      <c r="BA314">
        <v>40</v>
      </c>
    </row>
    <row r="315" spans="1:54" x14ac:dyDescent="0.2">
      <c r="A315" t="s">
        <v>1509</v>
      </c>
      <c r="B315" t="s">
        <v>1510</v>
      </c>
      <c r="C315" t="s">
        <v>1511</v>
      </c>
      <c r="D315" t="s">
        <v>1512</v>
      </c>
      <c r="E315" t="s">
        <v>1512</v>
      </c>
      <c r="G315" t="s">
        <v>56</v>
      </c>
      <c r="H315" t="s">
        <v>58</v>
      </c>
      <c r="I315" t="s">
        <v>648</v>
      </c>
      <c r="J315" t="s">
        <v>648</v>
      </c>
      <c r="K315" t="s">
        <v>7165</v>
      </c>
      <c r="L315" t="s">
        <v>7165</v>
      </c>
      <c r="M315" s="1" t="s">
        <v>603</v>
      </c>
      <c r="N315" t="s">
        <v>604</v>
      </c>
      <c r="O315" s="1" t="s">
        <v>875</v>
      </c>
      <c r="P315" s="1" t="s">
        <v>64</v>
      </c>
      <c r="Q315" s="11" t="s">
        <v>7220</v>
      </c>
      <c r="R315" s="1">
        <v>11</v>
      </c>
      <c r="S315" s="1">
        <v>2124</v>
      </c>
      <c r="T315" s="1" t="s">
        <v>169</v>
      </c>
      <c r="U315" s="1" t="s">
        <v>170</v>
      </c>
      <c r="V315" t="s">
        <v>1513</v>
      </c>
      <c r="W315" t="s">
        <v>1514</v>
      </c>
      <c r="X315" t="s">
        <v>68</v>
      </c>
      <c r="Y315" t="s">
        <v>1515</v>
      </c>
      <c r="Z315" t="s">
        <v>1516</v>
      </c>
      <c r="AA315" t="s">
        <v>1517</v>
      </c>
      <c r="AB315" t="s">
        <v>1317</v>
      </c>
      <c r="AC315" t="s">
        <v>73</v>
      </c>
      <c r="AD315" t="s">
        <v>1518</v>
      </c>
      <c r="AE315" t="s">
        <v>75</v>
      </c>
      <c r="AF315" t="s">
        <v>76</v>
      </c>
      <c r="AG315" t="s">
        <v>77</v>
      </c>
      <c r="AH315" t="s">
        <v>792</v>
      </c>
      <c r="AI315" t="s">
        <v>615</v>
      </c>
      <c r="AJ315" t="s">
        <v>616</v>
      </c>
      <c r="AK315" t="s">
        <v>81</v>
      </c>
      <c r="AL315" t="s">
        <v>82</v>
      </c>
      <c r="AM315" t="s">
        <v>83</v>
      </c>
      <c r="AN315">
        <v>2012</v>
      </c>
      <c r="AO315">
        <v>150380</v>
      </c>
      <c r="AP315">
        <v>5370052</v>
      </c>
      <c r="AQ315">
        <v>175</v>
      </c>
      <c r="AR315" t="s">
        <v>84</v>
      </c>
      <c r="AS315">
        <v>562</v>
      </c>
      <c r="AT315" t="s">
        <v>85</v>
      </c>
      <c r="AU315" t="s">
        <v>86</v>
      </c>
      <c r="AV315">
        <v>562</v>
      </c>
      <c r="AW315" t="s">
        <v>1519</v>
      </c>
      <c r="AX315" t="s">
        <v>88</v>
      </c>
      <c r="AZ315" t="s">
        <v>632</v>
      </c>
      <c r="BA315">
        <v>49</v>
      </c>
      <c r="BB315">
        <v>17</v>
      </c>
    </row>
    <row r="316" spans="1:54" x14ac:dyDescent="0.2">
      <c r="A316" t="s">
        <v>1520</v>
      </c>
      <c r="B316" t="s">
        <v>1521</v>
      </c>
      <c r="C316" t="s">
        <v>1522</v>
      </c>
      <c r="D316" t="s">
        <v>1523</v>
      </c>
      <c r="E316" t="s">
        <v>1523</v>
      </c>
      <c r="G316" t="s">
        <v>56</v>
      </c>
      <c r="H316" t="s">
        <v>58</v>
      </c>
      <c r="I316" t="s">
        <v>1094</v>
      </c>
      <c r="J316" t="s">
        <v>1094</v>
      </c>
      <c r="K316" t="s">
        <v>7165</v>
      </c>
      <c r="L316" t="s">
        <v>7165</v>
      </c>
      <c r="M316" s="1" t="s">
        <v>603</v>
      </c>
      <c r="N316" t="s">
        <v>604</v>
      </c>
      <c r="O316" s="1" t="s">
        <v>875</v>
      </c>
      <c r="P316" s="1" t="s">
        <v>270</v>
      </c>
      <c r="Q316" s="11" t="s">
        <v>7339</v>
      </c>
      <c r="R316" s="1">
        <v>11</v>
      </c>
      <c r="S316" s="1">
        <v>2124</v>
      </c>
      <c r="T316" s="1" t="s">
        <v>858</v>
      </c>
      <c r="U316" s="1" t="s">
        <v>170</v>
      </c>
      <c r="V316" t="s">
        <v>1524</v>
      </c>
      <c r="W316" t="s">
        <v>1525</v>
      </c>
      <c r="X316" t="s">
        <v>68</v>
      </c>
      <c r="Y316" t="s">
        <v>1526</v>
      </c>
      <c r="Z316" t="s">
        <v>1527</v>
      </c>
      <c r="AA316" t="s">
        <v>1528</v>
      </c>
      <c r="AB316" t="s">
        <v>1317</v>
      </c>
      <c r="AC316" t="s">
        <v>73</v>
      </c>
      <c r="AD316" t="s">
        <v>1529</v>
      </c>
      <c r="AE316" t="s">
        <v>154</v>
      </c>
      <c r="AF316" t="s">
        <v>76</v>
      </c>
      <c r="AG316" t="s">
        <v>77</v>
      </c>
      <c r="AH316" t="s">
        <v>1530</v>
      </c>
      <c r="AI316" t="s">
        <v>1531</v>
      </c>
      <c r="AJ316" t="s">
        <v>867</v>
      </c>
      <c r="AK316" t="s">
        <v>158</v>
      </c>
      <c r="AL316" t="s">
        <v>159</v>
      </c>
      <c r="AM316" t="s">
        <v>83</v>
      </c>
      <c r="AN316">
        <v>2012</v>
      </c>
      <c r="AO316">
        <v>108889</v>
      </c>
      <c r="AP316">
        <v>5476830</v>
      </c>
      <c r="AQ316">
        <v>217</v>
      </c>
      <c r="AR316" t="s">
        <v>84</v>
      </c>
      <c r="AS316">
        <v>562</v>
      </c>
      <c r="AT316" t="s">
        <v>85</v>
      </c>
      <c r="AU316" t="s">
        <v>86</v>
      </c>
      <c r="AV316">
        <v>562</v>
      </c>
      <c r="AW316" t="s">
        <v>1532</v>
      </c>
      <c r="AX316" t="s">
        <v>88</v>
      </c>
      <c r="AZ316" t="s">
        <v>1533</v>
      </c>
      <c r="BA316">
        <v>8</v>
      </c>
    </row>
    <row r="317" spans="1:54" x14ac:dyDescent="0.2">
      <c r="A317" t="s">
        <v>1534</v>
      </c>
      <c r="B317" t="s">
        <v>1535</v>
      </c>
      <c r="C317" t="s">
        <v>1536</v>
      </c>
      <c r="D317" t="s">
        <v>1537</v>
      </c>
      <c r="E317" t="s">
        <v>1537</v>
      </c>
      <c r="G317" t="s">
        <v>56</v>
      </c>
      <c r="H317" t="s">
        <v>58</v>
      </c>
      <c r="I317" t="s">
        <v>1094</v>
      </c>
      <c r="J317" t="s">
        <v>1094</v>
      </c>
      <c r="K317" t="s">
        <v>7165</v>
      </c>
      <c r="L317" t="s">
        <v>7165</v>
      </c>
      <c r="M317" s="1" t="s">
        <v>603</v>
      </c>
      <c r="N317" t="s">
        <v>604</v>
      </c>
      <c r="O317" s="1" t="s">
        <v>875</v>
      </c>
      <c r="P317" s="1" t="s">
        <v>270</v>
      </c>
      <c r="Q317" s="11" t="s">
        <v>7339</v>
      </c>
      <c r="R317" s="1">
        <v>11</v>
      </c>
      <c r="S317" s="1">
        <v>2124</v>
      </c>
      <c r="T317" s="1" t="s">
        <v>858</v>
      </c>
      <c r="U317" s="1" t="s">
        <v>170</v>
      </c>
      <c r="V317" t="s">
        <v>1538</v>
      </c>
      <c r="W317" t="s">
        <v>1539</v>
      </c>
      <c r="X317" t="s">
        <v>68</v>
      </c>
      <c r="Y317" t="s">
        <v>1540</v>
      </c>
      <c r="Z317" t="s">
        <v>1541</v>
      </c>
      <c r="AA317" t="s">
        <v>1542</v>
      </c>
      <c r="AB317" t="s">
        <v>1543</v>
      </c>
      <c r="AC317" t="s">
        <v>73</v>
      </c>
      <c r="AD317" t="s">
        <v>1544</v>
      </c>
      <c r="AE317" t="s">
        <v>154</v>
      </c>
      <c r="AF317" t="s">
        <v>76</v>
      </c>
      <c r="AG317" t="s">
        <v>77</v>
      </c>
      <c r="AH317" t="s">
        <v>1545</v>
      </c>
      <c r="AI317" t="s">
        <v>1531</v>
      </c>
      <c r="AJ317" t="s">
        <v>867</v>
      </c>
      <c r="AK317" t="s">
        <v>81</v>
      </c>
      <c r="AL317" t="s">
        <v>82</v>
      </c>
      <c r="AM317" t="s">
        <v>83</v>
      </c>
      <c r="AN317">
        <v>2012</v>
      </c>
      <c r="AO317">
        <v>98217</v>
      </c>
      <c r="AP317">
        <v>5395889</v>
      </c>
      <c r="AQ317">
        <v>232</v>
      </c>
      <c r="AR317" t="s">
        <v>84</v>
      </c>
      <c r="AS317">
        <v>562</v>
      </c>
      <c r="AT317" t="s">
        <v>85</v>
      </c>
      <c r="AU317" t="s">
        <v>86</v>
      </c>
      <c r="AV317">
        <v>562</v>
      </c>
      <c r="AW317" t="s">
        <v>1546</v>
      </c>
      <c r="AX317" t="s">
        <v>88</v>
      </c>
      <c r="AZ317" t="s">
        <v>1533</v>
      </c>
      <c r="BA317">
        <v>8</v>
      </c>
    </row>
    <row r="318" spans="1:54" x14ac:dyDescent="0.2">
      <c r="A318" t="s">
        <v>1547</v>
      </c>
      <c r="B318" t="s">
        <v>1548</v>
      </c>
      <c r="C318" t="s">
        <v>1549</v>
      </c>
      <c r="D318" t="s">
        <v>1550</v>
      </c>
      <c r="E318" t="s">
        <v>1550</v>
      </c>
      <c r="G318" t="s">
        <v>56</v>
      </c>
      <c r="H318" t="s">
        <v>58</v>
      </c>
      <c r="I318" t="s">
        <v>1551</v>
      </c>
      <c r="J318" t="s">
        <v>1551</v>
      </c>
      <c r="K318" t="s">
        <v>7168</v>
      </c>
      <c r="L318" t="s">
        <v>7168</v>
      </c>
      <c r="M318" s="1" t="s">
        <v>603</v>
      </c>
      <c r="N318" t="s">
        <v>649</v>
      </c>
      <c r="O318" s="1" t="s">
        <v>605</v>
      </c>
      <c r="P318" s="1" t="s">
        <v>127</v>
      </c>
      <c r="Q318" s="11" t="s">
        <v>7318</v>
      </c>
      <c r="R318" s="1">
        <v>11</v>
      </c>
      <c r="S318" s="1">
        <v>2124</v>
      </c>
      <c r="T318" s="1" t="s">
        <v>169</v>
      </c>
      <c r="U318" s="1" t="s">
        <v>170</v>
      </c>
      <c r="V318" t="s">
        <v>1553</v>
      </c>
      <c r="W318" t="s">
        <v>1554</v>
      </c>
      <c r="X318" t="s">
        <v>68</v>
      </c>
      <c r="Y318" t="s">
        <v>1555</v>
      </c>
      <c r="Z318" t="s">
        <v>1556</v>
      </c>
      <c r="AA318" t="s">
        <v>1557</v>
      </c>
      <c r="AB318" t="s">
        <v>1543</v>
      </c>
      <c r="AC318" t="s">
        <v>73</v>
      </c>
      <c r="AD318" t="s">
        <v>1558</v>
      </c>
      <c r="AE318" t="s">
        <v>75</v>
      </c>
      <c r="AF318" t="s">
        <v>76</v>
      </c>
      <c r="AG318" t="s">
        <v>77</v>
      </c>
      <c r="AH318" t="s">
        <v>630</v>
      </c>
      <c r="AI318" t="s">
        <v>615</v>
      </c>
      <c r="AJ318" t="s">
        <v>616</v>
      </c>
      <c r="AK318" t="s">
        <v>81</v>
      </c>
      <c r="AL318" t="s">
        <v>82</v>
      </c>
      <c r="AM318" t="s">
        <v>83</v>
      </c>
      <c r="AN318">
        <v>2012</v>
      </c>
      <c r="AO318">
        <v>163107</v>
      </c>
      <c r="AP318">
        <v>5344622</v>
      </c>
      <c r="AQ318">
        <v>151</v>
      </c>
      <c r="AR318" t="s">
        <v>84</v>
      </c>
      <c r="AS318">
        <v>562</v>
      </c>
      <c r="AT318" t="s">
        <v>85</v>
      </c>
      <c r="AU318" t="s">
        <v>86</v>
      </c>
      <c r="AV318">
        <v>562</v>
      </c>
      <c r="AW318" t="s">
        <v>1559</v>
      </c>
      <c r="AX318" t="s">
        <v>88</v>
      </c>
      <c r="AZ318" t="s">
        <v>1560</v>
      </c>
      <c r="BA318">
        <v>0</v>
      </c>
      <c r="BB318">
        <v>3</v>
      </c>
    </row>
    <row r="319" spans="1:54" x14ac:dyDescent="0.2">
      <c r="A319" t="s">
        <v>4677</v>
      </c>
      <c r="B319" t="s">
        <v>4678</v>
      </c>
      <c r="C319" t="s">
        <v>4679</v>
      </c>
      <c r="D319" t="s">
        <v>4680</v>
      </c>
      <c r="E319" t="s">
        <v>4680</v>
      </c>
      <c r="G319" t="s">
        <v>56</v>
      </c>
      <c r="H319" t="s">
        <v>93</v>
      </c>
      <c r="I319" t="s">
        <v>4599</v>
      </c>
      <c r="J319" t="s">
        <v>4599</v>
      </c>
      <c r="K319" t="s">
        <v>7169</v>
      </c>
      <c r="L319" t="s">
        <v>7169</v>
      </c>
      <c r="M319" s="1" t="s">
        <v>4666</v>
      </c>
      <c r="N319" t="s">
        <v>4681</v>
      </c>
      <c r="O319" s="1" t="s">
        <v>144</v>
      </c>
      <c r="P319" s="1" t="s">
        <v>64</v>
      </c>
      <c r="Q319" s="11" t="s">
        <v>7231</v>
      </c>
      <c r="R319" s="1">
        <v>718</v>
      </c>
      <c r="S319" s="1">
        <v>30152</v>
      </c>
      <c r="T319" s="1" t="s">
        <v>169</v>
      </c>
      <c r="U319" s="1" t="s">
        <v>170</v>
      </c>
      <c r="V319" t="s">
        <v>4682</v>
      </c>
      <c r="W319" t="s">
        <v>4683</v>
      </c>
      <c r="X319" t="s">
        <v>68</v>
      </c>
      <c r="Y319" t="s">
        <v>4684</v>
      </c>
      <c r="Z319" t="s">
        <v>4685</v>
      </c>
      <c r="AA319" t="s">
        <v>4686</v>
      </c>
      <c r="AB319" t="s">
        <v>1543</v>
      </c>
      <c r="AC319" t="s">
        <v>73</v>
      </c>
      <c r="AD319" t="s">
        <v>4687</v>
      </c>
      <c r="AE319" t="s">
        <v>75</v>
      </c>
      <c r="AF319" t="s">
        <v>76</v>
      </c>
      <c r="AG319" t="s">
        <v>77</v>
      </c>
      <c r="AH319" t="s">
        <v>4674</v>
      </c>
      <c r="AI319" t="s">
        <v>156</v>
      </c>
      <c r="AJ319" t="s">
        <v>80</v>
      </c>
      <c r="AK319" t="s">
        <v>81</v>
      </c>
      <c r="AL319" t="s">
        <v>82</v>
      </c>
      <c r="AM319" t="s">
        <v>83</v>
      </c>
      <c r="AN319">
        <v>2013</v>
      </c>
      <c r="AO319">
        <v>111700</v>
      </c>
      <c r="AP319">
        <v>5240170</v>
      </c>
      <c r="AQ319">
        <v>172</v>
      </c>
      <c r="AR319" t="s">
        <v>84</v>
      </c>
      <c r="AS319">
        <v>562</v>
      </c>
      <c r="AT319" t="s">
        <v>85</v>
      </c>
      <c r="AU319" t="s">
        <v>86</v>
      </c>
      <c r="AV319">
        <v>562</v>
      </c>
      <c r="AW319" t="s">
        <v>4688</v>
      </c>
      <c r="AX319" t="s">
        <v>88</v>
      </c>
      <c r="AZ319" t="s">
        <v>4676</v>
      </c>
      <c r="BA319">
        <v>3</v>
      </c>
    </row>
    <row r="320" spans="1:54" x14ac:dyDescent="0.2">
      <c r="A320" t="s">
        <v>4834</v>
      </c>
      <c r="B320" t="s">
        <v>4835</v>
      </c>
      <c r="C320" t="s">
        <v>4836</v>
      </c>
      <c r="D320" t="s">
        <v>4837</v>
      </c>
      <c r="E320" t="s">
        <v>4837</v>
      </c>
      <c r="G320" t="s">
        <v>56</v>
      </c>
      <c r="H320" t="s">
        <v>93</v>
      </c>
      <c r="I320" t="s">
        <v>4599</v>
      </c>
      <c r="J320" t="s">
        <v>4599</v>
      </c>
      <c r="K320" t="s">
        <v>7169</v>
      </c>
      <c r="L320" t="s">
        <v>7169</v>
      </c>
      <c r="M320" s="1" t="s">
        <v>4838</v>
      </c>
      <c r="N320" t="s">
        <v>4839</v>
      </c>
      <c r="O320" s="1" t="s">
        <v>144</v>
      </c>
      <c r="P320" s="1" t="s">
        <v>270</v>
      </c>
      <c r="Q320" s="11" t="s">
        <v>7342</v>
      </c>
      <c r="R320" s="1">
        <v>2387</v>
      </c>
      <c r="S320" s="1">
        <v>32410</v>
      </c>
      <c r="T320" s="1" t="s">
        <v>169</v>
      </c>
      <c r="U320" s="1">
        <v>5667377</v>
      </c>
      <c r="V320" t="s">
        <v>4841</v>
      </c>
      <c r="W320" t="s">
        <v>4842</v>
      </c>
      <c r="X320" t="s">
        <v>68</v>
      </c>
      <c r="Y320" t="s">
        <v>4843</v>
      </c>
      <c r="Z320" t="s">
        <v>4844</v>
      </c>
      <c r="AA320" t="s">
        <v>4845</v>
      </c>
      <c r="AB320" t="s">
        <v>1543</v>
      </c>
      <c r="AC320" t="s">
        <v>73</v>
      </c>
      <c r="AD320" t="s">
        <v>4846</v>
      </c>
      <c r="AE320" t="s">
        <v>75</v>
      </c>
      <c r="AF320" t="s">
        <v>76</v>
      </c>
      <c r="AG320" t="s">
        <v>77</v>
      </c>
      <c r="AH320" t="s">
        <v>4847</v>
      </c>
      <c r="AI320" t="s">
        <v>107</v>
      </c>
      <c r="AJ320" t="s">
        <v>80</v>
      </c>
      <c r="AK320" t="s">
        <v>81</v>
      </c>
      <c r="AL320" t="s">
        <v>82</v>
      </c>
      <c r="AM320" t="s">
        <v>83</v>
      </c>
      <c r="AN320">
        <v>2013</v>
      </c>
      <c r="AO320">
        <v>155673</v>
      </c>
      <c r="AP320">
        <v>5070412</v>
      </c>
      <c r="AQ320">
        <v>72</v>
      </c>
      <c r="AR320" t="s">
        <v>84</v>
      </c>
      <c r="AS320">
        <v>562</v>
      </c>
      <c r="AT320" t="s">
        <v>85</v>
      </c>
      <c r="AU320" t="s">
        <v>86</v>
      </c>
      <c r="AV320">
        <v>562</v>
      </c>
      <c r="AW320" t="s">
        <v>4848</v>
      </c>
      <c r="AX320" t="s">
        <v>88</v>
      </c>
      <c r="AZ320" t="s">
        <v>4849</v>
      </c>
      <c r="BA320">
        <v>0</v>
      </c>
    </row>
    <row r="321" spans="1:53" x14ac:dyDescent="0.2">
      <c r="A321" t="s">
        <v>3688</v>
      </c>
      <c r="B321" t="s">
        <v>3688</v>
      </c>
      <c r="C321" t="s">
        <v>3689</v>
      </c>
      <c r="D321" t="s">
        <v>3690</v>
      </c>
      <c r="E321" t="s">
        <v>3690</v>
      </c>
      <c r="G321" t="s">
        <v>56</v>
      </c>
      <c r="H321" t="s">
        <v>93</v>
      </c>
      <c r="I321" t="s">
        <v>406</v>
      </c>
      <c r="J321" t="s">
        <v>389</v>
      </c>
      <c r="K321" t="s">
        <v>7165</v>
      </c>
      <c r="L321" t="s">
        <v>7165</v>
      </c>
      <c r="M321" s="1" t="s">
        <v>390</v>
      </c>
      <c r="N321" t="s">
        <v>390</v>
      </c>
      <c r="O321" s="1" t="s">
        <v>166</v>
      </c>
      <c r="P321" s="1" t="s">
        <v>167</v>
      </c>
      <c r="Q321" s="11" t="s">
        <v>7197</v>
      </c>
      <c r="R321" s="1">
        <v>11177</v>
      </c>
      <c r="S321" s="1">
        <v>84725</v>
      </c>
      <c r="T321" s="1" t="s">
        <v>3106</v>
      </c>
      <c r="U321" s="1">
        <v>14003015</v>
      </c>
      <c r="V321" t="s">
        <v>3691</v>
      </c>
      <c r="W321" t="s">
        <v>3692</v>
      </c>
      <c r="X321" t="s">
        <v>68</v>
      </c>
      <c r="Y321" t="s">
        <v>3693</v>
      </c>
      <c r="Z321" t="s">
        <v>3694</v>
      </c>
      <c r="AA321" t="s">
        <v>3695</v>
      </c>
      <c r="AB321" t="s">
        <v>3508</v>
      </c>
      <c r="AC321" t="s">
        <v>73</v>
      </c>
      <c r="AD321" t="s">
        <v>3696</v>
      </c>
      <c r="AE321" t="s">
        <v>967</v>
      </c>
      <c r="AF321" t="s">
        <v>76</v>
      </c>
      <c r="AG321" t="s">
        <v>77</v>
      </c>
      <c r="AH321" t="s">
        <v>3697</v>
      </c>
      <c r="AI321" t="s">
        <v>3115</v>
      </c>
      <c r="AJ321" t="s">
        <v>3116</v>
      </c>
      <c r="AK321" t="s">
        <v>158</v>
      </c>
      <c r="AL321" t="s">
        <v>159</v>
      </c>
      <c r="AM321" t="s">
        <v>83</v>
      </c>
      <c r="AO321">
        <v>117453</v>
      </c>
      <c r="AP321">
        <v>5142263</v>
      </c>
      <c r="AQ321">
        <v>234</v>
      </c>
      <c r="AR321" t="s">
        <v>84</v>
      </c>
      <c r="AS321">
        <v>562</v>
      </c>
      <c r="AT321" t="s">
        <v>85</v>
      </c>
      <c r="AU321" t="s">
        <v>86</v>
      </c>
      <c r="AV321">
        <v>562</v>
      </c>
      <c r="AW321" t="s">
        <v>3698</v>
      </c>
      <c r="AX321" t="s">
        <v>88</v>
      </c>
    </row>
    <row r="322" spans="1:53" x14ac:dyDescent="0.2">
      <c r="A322" t="s">
        <v>3501</v>
      </c>
      <c r="B322" t="s">
        <v>3501</v>
      </c>
      <c r="C322" t="s">
        <v>3490</v>
      </c>
      <c r="D322" t="s">
        <v>3502</v>
      </c>
      <c r="E322" t="s">
        <v>3502</v>
      </c>
      <c r="G322" t="s">
        <v>56</v>
      </c>
      <c r="H322" t="s">
        <v>93</v>
      </c>
      <c r="I322" t="s">
        <v>406</v>
      </c>
      <c r="J322" t="s">
        <v>389</v>
      </c>
      <c r="K322" t="s">
        <v>7165</v>
      </c>
      <c r="L322" t="s">
        <v>7165</v>
      </c>
      <c r="M322" s="1" t="s">
        <v>183</v>
      </c>
      <c r="N322" t="s">
        <v>183</v>
      </c>
      <c r="O322" s="1" t="s">
        <v>126</v>
      </c>
      <c r="P322" s="1" t="s">
        <v>185</v>
      </c>
      <c r="Q322" s="11" t="s">
        <v>7210</v>
      </c>
      <c r="R322" s="1">
        <v>10652</v>
      </c>
      <c r="S322" s="1">
        <v>1587</v>
      </c>
      <c r="T322" s="1" t="s">
        <v>169</v>
      </c>
      <c r="U322" s="1" t="s">
        <v>170</v>
      </c>
      <c r="V322" t="s">
        <v>3503</v>
      </c>
      <c r="W322" t="s">
        <v>3504</v>
      </c>
      <c r="X322" t="s">
        <v>68</v>
      </c>
      <c r="Y322" t="s">
        <v>3505</v>
      </c>
      <c r="Z322" t="s">
        <v>3506</v>
      </c>
      <c r="AA322" t="s">
        <v>3507</v>
      </c>
      <c r="AB322" t="s">
        <v>3508</v>
      </c>
      <c r="AC322" t="s">
        <v>73</v>
      </c>
      <c r="AD322" t="s">
        <v>3509</v>
      </c>
      <c r="AF322" t="s">
        <v>76</v>
      </c>
      <c r="AG322" t="s">
        <v>77</v>
      </c>
      <c r="AH322" t="s">
        <v>3510</v>
      </c>
      <c r="AI322" t="s">
        <v>3511</v>
      </c>
      <c r="AJ322" t="s">
        <v>531</v>
      </c>
      <c r="AK322" t="s">
        <v>532</v>
      </c>
      <c r="AL322" t="s">
        <v>533</v>
      </c>
      <c r="AM322" t="s">
        <v>83</v>
      </c>
      <c r="AO322">
        <v>90191</v>
      </c>
      <c r="AP322">
        <v>5651378</v>
      </c>
      <c r="AQ322">
        <v>313</v>
      </c>
      <c r="AR322" t="s">
        <v>84</v>
      </c>
      <c r="AS322">
        <v>562</v>
      </c>
      <c r="AT322" t="s">
        <v>85</v>
      </c>
      <c r="AU322" t="s">
        <v>86</v>
      </c>
      <c r="AV322">
        <v>562</v>
      </c>
      <c r="AW322" t="s">
        <v>3512</v>
      </c>
      <c r="AX322" t="s">
        <v>88</v>
      </c>
    </row>
    <row r="323" spans="1:53" x14ac:dyDescent="0.2">
      <c r="A323" t="s">
        <v>6425</v>
      </c>
      <c r="B323" t="s">
        <v>6426</v>
      </c>
      <c r="C323" t="s">
        <v>6427</v>
      </c>
      <c r="D323" t="s">
        <v>6428</v>
      </c>
      <c r="E323" t="s">
        <v>6428</v>
      </c>
      <c r="G323" t="s">
        <v>56</v>
      </c>
      <c r="H323" t="s">
        <v>93</v>
      </c>
      <c r="I323" t="s">
        <v>447</v>
      </c>
      <c r="J323" t="s">
        <v>447</v>
      </c>
      <c r="K323" t="s">
        <v>7165</v>
      </c>
      <c r="L323" t="s">
        <v>7172</v>
      </c>
      <c r="M323" s="1" t="s">
        <v>390</v>
      </c>
      <c r="N323" t="s">
        <v>6403</v>
      </c>
      <c r="O323" s="1" t="s">
        <v>166</v>
      </c>
      <c r="P323" s="1" t="s">
        <v>167</v>
      </c>
      <c r="Q323" s="11" t="s">
        <v>7197</v>
      </c>
      <c r="R323" s="1">
        <v>8356</v>
      </c>
      <c r="S323" s="1">
        <v>84725</v>
      </c>
      <c r="T323" s="1" t="s">
        <v>3093</v>
      </c>
      <c r="U323" s="1">
        <v>11749059</v>
      </c>
      <c r="V323" t="s">
        <v>6429</v>
      </c>
      <c r="W323" t="s">
        <v>6430</v>
      </c>
      <c r="X323" t="s">
        <v>68</v>
      </c>
      <c r="Y323" t="s">
        <v>6431</v>
      </c>
      <c r="Z323" t="s">
        <v>6432</v>
      </c>
      <c r="AA323" t="s">
        <v>6433</v>
      </c>
      <c r="AB323" t="s">
        <v>6434</v>
      </c>
      <c r="AC323" t="s">
        <v>73</v>
      </c>
      <c r="AD323" t="s">
        <v>6435</v>
      </c>
      <c r="AE323" t="s">
        <v>75</v>
      </c>
      <c r="AF323" t="s">
        <v>76</v>
      </c>
      <c r="AG323" t="s">
        <v>77</v>
      </c>
      <c r="AH323" t="s">
        <v>6436</v>
      </c>
      <c r="AI323" t="s">
        <v>107</v>
      </c>
      <c r="AJ323" t="s">
        <v>401</v>
      </c>
      <c r="AK323" t="s">
        <v>158</v>
      </c>
      <c r="AL323" t="s">
        <v>159</v>
      </c>
      <c r="AM323" t="s">
        <v>83</v>
      </c>
      <c r="AO323">
        <v>76323</v>
      </c>
      <c r="AP323">
        <v>4997681</v>
      </c>
      <c r="AQ323">
        <v>255</v>
      </c>
      <c r="AR323" t="s">
        <v>84</v>
      </c>
      <c r="AS323">
        <v>562</v>
      </c>
      <c r="AT323" t="s">
        <v>85</v>
      </c>
      <c r="AU323" t="s">
        <v>86</v>
      </c>
      <c r="AV323">
        <v>562</v>
      </c>
      <c r="AW323" t="s">
        <v>6437</v>
      </c>
      <c r="AX323" t="s">
        <v>88</v>
      </c>
    </row>
    <row r="324" spans="1:53" x14ac:dyDescent="0.2">
      <c r="A324" t="s">
        <v>4048</v>
      </c>
      <c r="B324" t="s">
        <v>4048</v>
      </c>
      <c r="C324" t="s">
        <v>4049</v>
      </c>
      <c r="D324" t="s">
        <v>4050</v>
      </c>
      <c r="E324" t="s">
        <v>4050</v>
      </c>
      <c r="G324" t="s">
        <v>56</v>
      </c>
      <c r="H324" t="s">
        <v>93</v>
      </c>
      <c r="I324" t="s">
        <v>406</v>
      </c>
      <c r="J324" t="s">
        <v>389</v>
      </c>
      <c r="K324" t="s">
        <v>7165</v>
      </c>
      <c r="L324" t="s">
        <v>7172</v>
      </c>
      <c r="M324" s="1" t="s">
        <v>3702</v>
      </c>
      <c r="N324" t="s">
        <v>3703</v>
      </c>
      <c r="O324" s="1" t="s">
        <v>166</v>
      </c>
      <c r="P324" s="1" t="s">
        <v>167</v>
      </c>
      <c r="Q324" s="11" t="s">
        <v>7197</v>
      </c>
      <c r="R324" s="1">
        <v>8356</v>
      </c>
      <c r="S324" s="1">
        <v>168636</v>
      </c>
      <c r="T324" s="1" t="s">
        <v>3093</v>
      </c>
      <c r="U324" s="1">
        <v>15286592</v>
      </c>
      <c r="V324" t="s">
        <v>4051</v>
      </c>
      <c r="W324" t="s">
        <v>4052</v>
      </c>
      <c r="X324" t="s">
        <v>68</v>
      </c>
      <c r="Y324" t="s">
        <v>4053</v>
      </c>
      <c r="Z324" t="s">
        <v>4054</v>
      </c>
      <c r="AA324" t="s">
        <v>4055</v>
      </c>
      <c r="AB324" t="s">
        <v>4056</v>
      </c>
      <c r="AC324" t="s">
        <v>73</v>
      </c>
      <c r="AD324" t="s">
        <v>4057</v>
      </c>
      <c r="AE324" t="s">
        <v>75</v>
      </c>
      <c r="AF324" t="s">
        <v>76</v>
      </c>
      <c r="AG324" t="s">
        <v>77</v>
      </c>
      <c r="AH324" t="s">
        <v>4058</v>
      </c>
      <c r="AI324" t="s">
        <v>107</v>
      </c>
      <c r="AJ324" t="s">
        <v>401</v>
      </c>
      <c r="AK324" t="s">
        <v>158</v>
      </c>
      <c r="AL324" t="s">
        <v>159</v>
      </c>
      <c r="AM324" t="s">
        <v>83</v>
      </c>
      <c r="AO324">
        <v>36889</v>
      </c>
      <c r="AP324">
        <v>4971553</v>
      </c>
      <c r="AQ324">
        <v>434</v>
      </c>
      <c r="AR324" t="s">
        <v>84</v>
      </c>
      <c r="AS324">
        <v>562</v>
      </c>
      <c r="AT324" t="s">
        <v>85</v>
      </c>
      <c r="AU324" t="s">
        <v>86</v>
      </c>
      <c r="AV324">
        <v>562</v>
      </c>
      <c r="AW324" t="s">
        <v>4059</v>
      </c>
      <c r="AX324" t="s">
        <v>88</v>
      </c>
      <c r="AZ324" t="s">
        <v>427</v>
      </c>
      <c r="BA324">
        <v>39</v>
      </c>
    </row>
    <row r="325" spans="1:53" x14ac:dyDescent="0.2">
      <c r="A325" t="s">
        <v>6388</v>
      </c>
      <c r="B325" t="s">
        <v>6389</v>
      </c>
      <c r="C325" t="s">
        <v>6390</v>
      </c>
      <c r="D325" t="s">
        <v>6391</v>
      </c>
      <c r="E325" t="s">
        <v>6391</v>
      </c>
      <c r="G325" t="s">
        <v>56</v>
      </c>
      <c r="H325" t="s">
        <v>93</v>
      </c>
      <c r="I325" t="s">
        <v>447</v>
      </c>
      <c r="J325" t="s">
        <v>406</v>
      </c>
      <c r="K325" t="s">
        <v>7165</v>
      </c>
      <c r="L325" t="s">
        <v>7172</v>
      </c>
      <c r="M325" s="1" t="s">
        <v>390</v>
      </c>
      <c r="N325" t="s">
        <v>390</v>
      </c>
      <c r="O325" s="1" t="s">
        <v>166</v>
      </c>
      <c r="P325" s="1" t="s">
        <v>167</v>
      </c>
      <c r="Q325" s="11" t="s">
        <v>7197</v>
      </c>
      <c r="R325" s="1">
        <v>8356</v>
      </c>
      <c r="S325" s="1">
        <v>84725</v>
      </c>
      <c r="T325" s="1" t="s">
        <v>3093</v>
      </c>
      <c r="U325" s="1">
        <v>0</v>
      </c>
      <c r="V325" t="s">
        <v>6392</v>
      </c>
      <c r="W325" t="s">
        <v>6393</v>
      </c>
      <c r="X325" t="s">
        <v>68</v>
      </c>
      <c r="Y325" t="s">
        <v>6394</v>
      </c>
      <c r="Z325" t="s">
        <v>6395</v>
      </c>
      <c r="AA325" t="s">
        <v>6396</v>
      </c>
      <c r="AB325" t="s">
        <v>4056</v>
      </c>
      <c r="AC325" t="s">
        <v>73</v>
      </c>
      <c r="AD325" t="s">
        <v>6397</v>
      </c>
      <c r="AE325" t="s">
        <v>75</v>
      </c>
      <c r="AF325" t="s">
        <v>76</v>
      </c>
      <c r="AG325" t="s">
        <v>77</v>
      </c>
      <c r="AH325" t="s">
        <v>3842</v>
      </c>
      <c r="AI325" t="s">
        <v>107</v>
      </c>
      <c r="AJ325" t="s">
        <v>401</v>
      </c>
      <c r="AK325" t="s">
        <v>158</v>
      </c>
      <c r="AL325" t="s">
        <v>159</v>
      </c>
      <c r="AM325" t="s">
        <v>83</v>
      </c>
      <c r="AO325">
        <v>75018</v>
      </c>
      <c r="AP325">
        <v>5026230</v>
      </c>
      <c r="AQ325">
        <v>210</v>
      </c>
      <c r="AR325" t="s">
        <v>84</v>
      </c>
      <c r="AS325">
        <v>562</v>
      </c>
      <c r="AT325" t="s">
        <v>85</v>
      </c>
      <c r="AU325" t="s">
        <v>86</v>
      </c>
      <c r="AV325">
        <v>562</v>
      </c>
      <c r="AW325" t="s">
        <v>6398</v>
      </c>
      <c r="AX325" t="s">
        <v>88</v>
      </c>
    </row>
    <row r="326" spans="1:53" x14ac:dyDescent="0.2">
      <c r="A326" t="s">
        <v>4200</v>
      </c>
      <c r="B326" t="s">
        <v>4200</v>
      </c>
      <c r="C326" t="s">
        <v>4201</v>
      </c>
      <c r="D326" t="s">
        <v>4202</v>
      </c>
      <c r="E326" t="s">
        <v>4202</v>
      </c>
      <c r="G326" t="s">
        <v>56</v>
      </c>
      <c r="H326" t="s">
        <v>93</v>
      </c>
      <c r="I326" t="s">
        <v>406</v>
      </c>
      <c r="J326" t="s">
        <v>389</v>
      </c>
      <c r="K326" t="s">
        <v>7165</v>
      </c>
      <c r="L326" t="s">
        <v>7172</v>
      </c>
      <c r="M326" s="1" t="s">
        <v>390</v>
      </c>
      <c r="N326" t="s">
        <v>390</v>
      </c>
      <c r="O326" s="1" t="s">
        <v>166</v>
      </c>
      <c r="P326" s="1" t="s">
        <v>167</v>
      </c>
      <c r="Q326" s="11" t="s">
        <v>7197</v>
      </c>
      <c r="R326" s="1">
        <v>8356</v>
      </c>
      <c r="S326" s="1">
        <v>84725</v>
      </c>
      <c r="T326" s="1" t="s">
        <v>3093</v>
      </c>
      <c r="U326" s="1" t="s">
        <v>170</v>
      </c>
      <c r="V326" t="s">
        <v>4203</v>
      </c>
      <c r="W326" t="s">
        <v>4204</v>
      </c>
      <c r="X326" t="s">
        <v>68</v>
      </c>
      <c r="Y326" t="s">
        <v>4205</v>
      </c>
      <c r="Z326" t="s">
        <v>4206</v>
      </c>
      <c r="AA326" t="s">
        <v>4207</v>
      </c>
      <c r="AB326" t="s">
        <v>3112</v>
      </c>
      <c r="AC326" t="s">
        <v>73</v>
      </c>
      <c r="AD326" t="s">
        <v>4208</v>
      </c>
      <c r="AE326" t="s">
        <v>75</v>
      </c>
      <c r="AF326" t="s">
        <v>76</v>
      </c>
      <c r="AG326" t="s">
        <v>77</v>
      </c>
      <c r="AH326" t="s">
        <v>3842</v>
      </c>
      <c r="AI326" t="s">
        <v>107</v>
      </c>
      <c r="AJ326" t="s">
        <v>401</v>
      </c>
      <c r="AK326" t="s">
        <v>158</v>
      </c>
      <c r="AL326" t="s">
        <v>159</v>
      </c>
      <c r="AM326" t="s">
        <v>83</v>
      </c>
      <c r="AO326">
        <v>102057</v>
      </c>
      <c r="AP326">
        <v>4970375</v>
      </c>
      <c r="AQ326">
        <v>219</v>
      </c>
      <c r="AR326" t="s">
        <v>84</v>
      </c>
      <c r="AS326">
        <v>562</v>
      </c>
      <c r="AT326" t="s">
        <v>85</v>
      </c>
      <c r="AU326" t="s">
        <v>86</v>
      </c>
      <c r="AV326">
        <v>562</v>
      </c>
      <c r="AW326" t="s">
        <v>4209</v>
      </c>
      <c r="AX326" t="s">
        <v>88</v>
      </c>
    </row>
    <row r="327" spans="1:53" x14ac:dyDescent="0.2">
      <c r="A327" t="s">
        <v>3103</v>
      </c>
      <c r="B327" t="s">
        <v>3103</v>
      </c>
      <c r="C327" t="s">
        <v>3104</v>
      </c>
      <c r="D327" t="s">
        <v>3105</v>
      </c>
      <c r="E327" t="s">
        <v>3105</v>
      </c>
      <c r="G327" t="s">
        <v>56</v>
      </c>
      <c r="H327" t="s">
        <v>93</v>
      </c>
      <c r="I327" t="s">
        <v>406</v>
      </c>
      <c r="J327" t="s">
        <v>480</v>
      </c>
      <c r="K327" t="s">
        <v>7165</v>
      </c>
      <c r="L327" t="s">
        <v>7165</v>
      </c>
      <c r="M327" s="1" t="s">
        <v>390</v>
      </c>
      <c r="N327" t="s">
        <v>390</v>
      </c>
      <c r="O327" s="1" t="s">
        <v>166</v>
      </c>
      <c r="P327" s="1" t="s">
        <v>167</v>
      </c>
      <c r="Q327" s="11" t="s">
        <v>7197</v>
      </c>
      <c r="R327" s="1">
        <v>8356</v>
      </c>
      <c r="S327" s="1">
        <v>84725</v>
      </c>
      <c r="T327" s="1" t="s">
        <v>3106</v>
      </c>
      <c r="U327" s="1">
        <v>12617846</v>
      </c>
      <c r="V327" t="s">
        <v>3107</v>
      </c>
      <c r="W327" t="s">
        <v>3108</v>
      </c>
      <c r="X327" t="s">
        <v>68</v>
      </c>
      <c r="Y327" t="s">
        <v>3109</v>
      </c>
      <c r="Z327" t="s">
        <v>3110</v>
      </c>
      <c r="AA327" t="s">
        <v>3111</v>
      </c>
      <c r="AB327" t="s">
        <v>3112</v>
      </c>
      <c r="AC327" t="s">
        <v>73</v>
      </c>
      <c r="AD327" t="s">
        <v>3113</v>
      </c>
      <c r="AE327" t="s">
        <v>967</v>
      </c>
      <c r="AF327" t="s">
        <v>76</v>
      </c>
      <c r="AG327" t="s">
        <v>77</v>
      </c>
      <c r="AH327" t="s">
        <v>3114</v>
      </c>
      <c r="AI327" t="s">
        <v>3115</v>
      </c>
      <c r="AJ327" t="s">
        <v>3116</v>
      </c>
      <c r="AK327" t="s">
        <v>158</v>
      </c>
      <c r="AL327" t="s">
        <v>159</v>
      </c>
      <c r="AM327" t="s">
        <v>83</v>
      </c>
      <c r="AO327">
        <v>116065</v>
      </c>
      <c r="AP327">
        <v>5293939</v>
      </c>
      <c r="AQ327">
        <v>245</v>
      </c>
      <c r="AR327" t="s">
        <v>84</v>
      </c>
      <c r="AS327">
        <v>562</v>
      </c>
      <c r="AT327" t="s">
        <v>85</v>
      </c>
      <c r="AU327" t="s">
        <v>86</v>
      </c>
      <c r="AV327">
        <v>562</v>
      </c>
      <c r="AW327" t="s">
        <v>3117</v>
      </c>
      <c r="AX327" t="s">
        <v>88</v>
      </c>
    </row>
    <row r="328" spans="1:53" x14ac:dyDescent="0.2">
      <c r="A328" t="s">
        <v>3833</v>
      </c>
      <c r="B328" t="s">
        <v>3833</v>
      </c>
      <c r="C328" t="s">
        <v>3821</v>
      </c>
      <c r="D328" t="s">
        <v>3834</v>
      </c>
      <c r="E328" t="s">
        <v>3834</v>
      </c>
      <c r="G328" t="s">
        <v>56</v>
      </c>
      <c r="H328" t="s">
        <v>93</v>
      </c>
      <c r="I328" t="s">
        <v>406</v>
      </c>
      <c r="J328" t="s">
        <v>389</v>
      </c>
      <c r="K328" t="s">
        <v>7165</v>
      </c>
      <c r="L328" t="s">
        <v>7165</v>
      </c>
      <c r="M328" s="1" t="s">
        <v>3702</v>
      </c>
      <c r="N328" t="s">
        <v>3703</v>
      </c>
      <c r="O328" s="1" t="s">
        <v>166</v>
      </c>
      <c r="P328" s="1" t="s">
        <v>167</v>
      </c>
      <c r="Q328" s="11" t="s">
        <v>7197</v>
      </c>
      <c r="R328" s="1">
        <v>8356</v>
      </c>
      <c r="S328" s="1">
        <v>162289</v>
      </c>
      <c r="T328" s="1" t="s">
        <v>3093</v>
      </c>
      <c r="U328" s="1">
        <v>0</v>
      </c>
      <c r="V328" t="s">
        <v>3835</v>
      </c>
      <c r="W328" t="s">
        <v>3836</v>
      </c>
      <c r="X328" t="s">
        <v>68</v>
      </c>
      <c r="Y328" t="s">
        <v>3837</v>
      </c>
      <c r="Z328" t="s">
        <v>3838</v>
      </c>
      <c r="AA328" t="s">
        <v>3839</v>
      </c>
      <c r="AB328" t="s">
        <v>3840</v>
      </c>
      <c r="AC328" t="s">
        <v>73</v>
      </c>
      <c r="AD328" t="s">
        <v>3841</v>
      </c>
      <c r="AE328" t="s">
        <v>75</v>
      </c>
      <c r="AF328" t="s">
        <v>76</v>
      </c>
      <c r="AG328" t="s">
        <v>77</v>
      </c>
      <c r="AH328" t="s">
        <v>3842</v>
      </c>
      <c r="AI328" t="s">
        <v>107</v>
      </c>
      <c r="AJ328" t="s">
        <v>401</v>
      </c>
      <c r="AK328" t="s">
        <v>158</v>
      </c>
      <c r="AL328" t="s">
        <v>159</v>
      </c>
      <c r="AM328" t="s">
        <v>83</v>
      </c>
      <c r="AO328">
        <v>90517</v>
      </c>
      <c r="AP328">
        <v>5069545</v>
      </c>
      <c r="AQ328">
        <v>204</v>
      </c>
      <c r="AR328" t="s">
        <v>84</v>
      </c>
      <c r="AS328">
        <v>562</v>
      </c>
      <c r="AT328" t="s">
        <v>85</v>
      </c>
      <c r="AU328" t="s">
        <v>86</v>
      </c>
      <c r="AV328">
        <v>562</v>
      </c>
      <c r="AW328" t="s">
        <v>3843</v>
      </c>
      <c r="AX328" t="s">
        <v>88</v>
      </c>
    </row>
    <row r="329" spans="1:53" x14ac:dyDescent="0.2">
      <c r="A329" t="s">
        <v>4210</v>
      </c>
      <c r="B329" t="s">
        <v>4210</v>
      </c>
      <c r="C329" t="s">
        <v>4211</v>
      </c>
      <c r="D329" t="s">
        <v>4212</v>
      </c>
      <c r="E329" t="s">
        <v>4212</v>
      </c>
      <c r="G329" t="s">
        <v>56</v>
      </c>
      <c r="H329" t="s">
        <v>93</v>
      </c>
      <c r="I329" t="s">
        <v>602</v>
      </c>
      <c r="K329" t="s">
        <v>7162</v>
      </c>
      <c r="L329" t="s">
        <v>7162</v>
      </c>
      <c r="M329" s="1" t="s">
        <v>4213</v>
      </c>
      <c r="N329" t="s">
        <v>4214</v>
      </c>
      <c r="O329" s="1" t="s">
        <v>126</v>
      </c>
      <c r="P329" s="1" t="s">
        <v>434</v>
      </c>
      <c r="Q329" t="s">
        <v>7195</v>
      </c>
      <c r="R329" s="1">
        <v>446</v>
      </c>
      <c r="S329" s="1">
        <v>35112</v>
      </c>
      <c r="T329" s="1"/>
      <c r="U329" s="1"/>
      <c r="V329" t="s">
        <v>4216</v>
      </c>
      <c r="W329" t="s">
        <v>4217</v>
      </c>
      <c r="X329" t="s">
        <v>3579</v>
      </c>
      <c r="Z329" t="s">
        <v>4218</v>
      </c>
    </row>
    <row r="330" spans="1:53" x14ac:dyDescent="0.2">
      <c r="A330" t="s">
        <v>4219</v>
      </c>
      <c r="B330" t="s">
        <v>4219</v>
      </c>
      <c r="C330" t="s">
        <v>4220</v>
      </c>
      <c r="D330" t="s">
        <v>4221</v>
      </c>
      <c r="E330" t="s">
        <v>4221</v>
      </c>
      <c r="G330" t="s">
        <v>56</v>
      </c>
      <c r="H330" t="s">
        <v>93</v>
      </c>
      <c r="I330" t="s">
        <v>602</v>
      </c>
      <c r="K330" t="s">
        <v>7162</v>
      </c>
      <c r="L330" t="s">
        <v>7162</v>
      </c>
      <c r="M330" s="1" t="s">
        <v>4223</v>
      </c>
      <c r="N330" t="s">
        <v>4224</v>
      </c>
      <c r="O330" s="1" t="s">
        <v>4225</v>
      </c>
      <c r="P330" s="1" t="s">
        <v>4226</v>
      </c>
      <c r="Q330" t="s">
        <v>7196</v>
      </c>
      <c r="R330" s="1">
        <v>722</v>
      </c>
      <c r="S330" s="1">
        <v>2145</v>
      </c>
      <c r="T330" s="1"/>
      <c r="U330" s="1"/>
      <c r="V330" t="s">
        <v>4228</v>
      </c>
      <c r="W330" t="s">
        <v>4229</v>
      </c>
      <c r="X330" t="s">
        <v>3579</v>
      </c>
      <c r="Z330" t="s">
        <v>4230</v>
      </c>
    </row>
    <row r="331" spans="1:53" x14ac:dyDescent="0.2">
      <c r="A331" t="s">
        <v>6399</v>
      </c>
      <c r="B331" t="s">
        <v>6400</v>
      </c>
      <c r="C331" t="s">
        <v>6401</v>
      </c>
      <c r="D331" t="s">
        <v>6402</v>
      </c>
      <c r="E331" t="s">
        <v>6402</v>
      </c>
      <c r="G331" t="s">
        <v>56</v>
      </c>
      <c r="H331" t="s">
        <v>93</v>
      </c>
      <c r="I331" t="s">
        <v>447</v>
      </c>
      <c r="J331" t="s">
        <v>406</v>
      </c>
      <c r="K331" t="s">
        <v>7165</v>
      </c>
      <c r="L331" t="s">
        <v>7172</v>
      </c>
      <c r="M331" s="1" t="s">
        <v>3702</v>
      </c>
      <c r="N331" t="s">
        <v>6403</v>
      </c>
      <c r="O331" s="1" t="s">
        <v>166</v>
      </c>
      <c r="P331" s="1" t="s">
        <v>167</v>
      </c>
      <c r="Q331" s="11" t="s">
        <v>7197</v>
      </c>
      <c r="R331" s="1">
        <v>8356</v>
      </c>
      <c r="S331" s="1">
        <v>84725</v>
      </c>
      <c r="T331" s="1" t="s">
        <v>3093</v>
      </c>
      <c r="U331" s="1">
        <v>11682361</v>
      </c>
      <c r="V331" t="s">
        <v>6404</v>
      </c>
      <c r="W331" t="s">
        <v>6405</v>
      </c>
      <c r="X331" t="s">
        <v>68</v>
      </c>
      <c r="Y331" t="s">
        <v>6406</v>
      </c>
      <c r="Z331" t="s">
        <v>6407</v>
      </c>
      <c r="AA331" t="s">
        <v>6408</v>
      </c>
      <c r="AB331" t="s">
        <v>3840</v>
      </c>
      <c r="AC331" t="s">
        <v>73</v>
      </c>
      <c r="AD331" t="s">
        <v>6409</v>
      </c>
      <c r="AE331" t="s">
        <v>75</v>
      </c>
      <c r="AF331" t="s">
        <v>76</v>
      </c>
      <c r="AG331" t="s">
        <v>77</v>
      </c>
      <c r="AH331" t="s">
        <v>4058</v>
      </c>
      <c r="AI331" t="s">
        <v>107</v>
      </c>
      <c r="AJ331" t="s">
        <v>401</v>
      </c>
      <c r="AK331" t="s">
        <v>158</v>
      </c>
      <c r="AL331" t="s">
        <v>159</v>
      </c>
      <c r="AM331" t="s">
        <v>83</v>
      </c>
      <c r="AO331">
        <v>60275</v>
      </c>
      <c r="AP331">
        <v>5012184</v>
      </c>
      <c r="AQ331">
        <v>285</v>
      </c>
      <c r="AR331" t="s">
        <v>84</v>
      </c>
      <c r="AS331">
        <v>562</v>
      </c>
      <c r="AT331" t="s">
        <v>85</v>
      </c>
      <c r="AU331" t="s">
        <v>86</v>
      </c>
      <c r="AV331">
        <v>562</v>
      </c>
      <c r="AW331" t="s">
        <v>6410</v>
      </c>
      <c r="AX331" t="s">
        <v>88</v>
      </c>
    </row>
    <row r="332" spans="1:53" x14ac:dyDescent="0.2">
      <c r="A332" t="s">
        <v>6527</v>
      </c>
      <c r="B332" t="s">
        <v>6528</v>
      </c>
      <c r="C332" t="s">
        <v>6529</v>
      </c>
      <c r="D332" t="s">
        <v>6530</v>
      </c>
      <c r="E332" t="s">
        <v>6530</v>
      </c>
      <c r="G332" t="s">
        <v>56</v>
      </c>
      <c r="H332" t="s">
        <v>58</v>
      </c>
      <c r="I332" t="s">
        <v>406</v>
      </c>
      <c r="J332" t="s">
        <v>6488</v>
      </c>
      <c r="K332" t="s">
        <v>7165</v>
      </c>
      <c r="L332" t="s">
        <v>7172</v>
      </c>
      <c r="M332" s="1" t="s">
        <v>4502</v>
      </c>
      <c r="N332" t="s">
        <v>6531</v>
      </c>
      <c r="O332" s="1" t="s">
        <v>3090</v>
      </c>
      <c r="P332" s="1" t="s">
        <v>434</v>
      </c>
      <c r="Q332" s="11" t="s">
        <v>7195</v>
      </c>
      <c r="R332" s="1">
        <v>10</v>
      </c>
      <c r="S332" s="1">
        <v>168642</v>
      </c>
      <c r="T332" s="1" t="s">
        <v>3265</v>
      </c>
      <c r="U332" s="1">
        <v>12269877</v>
      </c>
      <c r="V332" t="s">
        <v>6532</v>
      </c>
      <c r="W332" t="s">
        <v>6533</v>
      </c>
      <c r="X332" t="s">
        <v>68</v>
      </c>
      <c r="Y332" t="s">
        <v>6534</v>
      </c>
      <c r="Z332" t="s">
        <v>6535</v>
      </c>
      <c r="AA332" t="s">
        <v>6536</v>
      </c>
      <c r="AB332" t="s">
        <v>3746</v>
      </c>
      <c r="AC332" t="s">
        <v>73</v>
      </c>
      <c r="AD332" t="s">
        <v>6537</v>
      </c>
      <c r="AF332" t="s">
        <v>76</v>
      </c>
      <c r="AG332" t="s">
        <v>77</v>
      </c>
      <c r="AH332" t="s">
        <v>6538</v>
      </c>
      <c r="AI332" t="s">
        <v>79</v>
      </c>
      <c r="AJ332" t="s">
        <v>531</v>
      </c>
      <c r="AK332" t="s">
        <v>158</v>
      </c>
      <c r="AL332" t="s">
        <v>159</v>
      </c>
      <c r="AM332" t="s">
        <v>83</v>
      </c>
      <c r="AO332">
        <v>113060</v>
      </c>
      <c r="AP332">
        <v>5307235</v>
      </c>
      <c r="AQ332">
        <v>173</v>
      </c>
      <c r="AR332" t="s">
        <v>84</v>
      </c>
      <c r="AS332">
        <v>562</v>
      </c>
      <c r="AT332" t="s">
        <v>85</v>
      </c>
      <c r="AU332" t="s">
        <v>86</v>
      </c>
      <c r="AV332">
        <v>562</v>
      </c>
      <c r="AW332" t="s">
        <v>6539</v>
      </c>
      <c r="AX332" t="s">
        <v>88</v>
      </c>
    </row>
    <row r="333" spans="1:53" x14ac:dyDescent="0.2">
      <c r="A333" t="s">
        <v>3736</v>
      </c>
      <c r="B333" t="s">
        <v>3736</v>
      </c>
      <c r="C333" t="s">
        <v>3737</v>
      </c>
      <c r="D333" t="s">
        <v>3738</v>
      </c>
      <c r="E333" t="s">
        <v>3738</v>
      </c>
      <c r="F333" t="s">
        <v>2035</v>
      </c>
      <c r="G333" t="s">
        <v>56</v>
      </c>
      <c r="H333" t="s">
        <v>93</v>
      </c>
      <c r="I333" t="s">
        <v>406</v>
      </c>
      <c r="J333" t="s">
        <v>389</v>
      </c>
      <c r="K333" t="s">
        <v>7165</v>
      </c>
      <c r="L333" t="s">
        <v>7165</v>
      </c>
      <c r="M333" s="1" t="s">
        <v>3739</v>
      </c>
      <c r="N333" t="s">
        <v>3739</v>
      </c>
      <c r="O333" s="1" t="s">
        <v>3090</v>
      </c>
      <c r="P333" s="1" t="s">
        <v>434</v>
      </c>
      <c r="Q333" s="11" t="s">
        <v>7196</v>
      </c>
      <c r="R333" s="1">
        <v>6274</v>
      </c>
      <c r="S333" s="1">
        <v>45610</v>
      </c>
      <c r="T333" s="1" t="s">
        <v>3196</v>
      </c>
      <c r="U333" s="1">
        <v>14296084</v>
      </c>
      <c r="V333" t="s">
        <v>3741</v>
      </c>
      <c r="W333" t="s">
        <v>3742</v>
      </c>
      <c r="X333" t="s">
        <v>68</v>
      </c>
      <c r="Y333" t="s">
        <v>3743</v>
      </c>
      <c r="Z333" t="s">
        <v>3744</v>
      </c>
      <c r="AA333" t="s">
        <v>3745</v>
      </c>
      <c r="AB333" t="s">
        <v>3746</v>
      </c>
      <c r="AC333" t="s">
        <v>73</v>
      </c>
      <c r="AD333" t="s">
        <v>3747</v>
      </c>
      <c r="AE333" t="s">
        <v>75</v>
      </c>
      <c r="AF333" t="s">
        <v>76</v>
      </c>
      <c r="AG333" t="s">
        <v>77</v>
      </c>
      <c r="AH333" t="s">
        <v>3748</v>
      </c>
      <c r="AI333" t="s">
        <v>107</v>
      </c>
      <c r="AJ333" t="s">
        <v>80</v>
      </c>
      <c r="AK333" t="s">
        <v>158</v>
      </c>
      <c r="AL333" t="s">
        <v>159</v>
      </c>
      <c r="AM333" t="s">
        <v>83</v>
      </c>
      <c r="AO333">
        <v>107041</v>
      </c>
      <c r="AP333">
        <v>5415990</v>
      </c>
      <c r="AQ333">
        <v>282</v>
      </c>
      <c r="AR333" t="s">
        <v>84</v>
      </c>
      <c r="AS333">
        <v>562</v>
      </c>
      <c r="AT333" t="s">
        <v>85</v>
      </c>
      <c r="AU333" t="s">
        <v>86</v>
      </c>
      <c r="AV333">
        <v>562</v>
      </c>
      <c r="AW333" t="s">
        <v>3749</v>
      </c>
      <c r="AX333" t="s">
        <v>88</v>
      </c>
    </row>
    <row r="334" spans="1:53" x14ac:dyDescent="0.2">
      <c r="A334" t="s">
        <v>6329</v>
      </c>
      <c r="B334" t="s">
        <v>6330</v>
      </c>
      <c r="C334" t="s">
        <v>6331</v>
      </c>
      <c r="D334" t="s">
        <v>6332</v>
      </c>
      <c r="E334" t="s">
        <v>6332</v>
      </c>
      <c r="G334" t="s">
        <v>56</v>
      </c>
      <c r="H334" t="s">
        <v>93</v>
      </c>
      <c r="I334" t="s">
        <v>406</v>
      </c>
      <c r="J334" t="s">
        <v>6333</v>
      </c>
      <c r="K334" t="s">
        <v>7165</v>
      </c>
      <c r="L334" t="s">
        <v>7172</v>
      </c>
      <c r="M334" s="1" t="s">
        <v>448</v>
      </c>
      <c r="N334" t="s">
        <v>6334</v>
      </c>
      <c r="O334" s="1" t="s">
        <v>166</v>
      </c>
      <c r="P334" s="1" t="s">
        <v>167</v>
      </c>
      <c r="Q334" s="11" t="s">
        <v>7322</v>
      </c>
      <c r="R334" s="1">
        <v>4748</v>
      </c>
      <c r="S334" s="1">
        <v>29367</v>
      </c>
      <c r="T334" s="1" t="s">
        <v>3196</v>
      </c>
      <c r="U334" s="1">
        <v>11587273</v>
      </c>
      <c r="V334" t="s">
        <v>6336</v>
      </c>
      <c r="W334" t="s">
        <v>6337</v>
      </c>
      <c r="X334" t="s">
        <v>68</v>
      </c>
      <c r="Y334" t="s">
        <v>6338</v>
      </c>
      <c r="Z334" t="s">
        <v>6339</v>
      </c>
      <c r="AA334" t="s">
        <v>6340</v>
      </c>
      <c r="AB334" t="s">
        <v>3856</v>
      </c>
      <c r="AC334" t="s">
        <v>73</v>
      </c>
      <c r="AD334" t="s">
        <v>6341</v>
      </c>
      <c r="AE334" t="s">
        <v>75</v>
      </c>
      <c r="AF334" t="s">
        <v>76</v>
      </c>
      <c r="AG334" t="s">
        <v>77</v>
      </c>
      <c r="AH334" t="s">
        <v>6342</v>
      </c>
      <c r="AI334" t="s">
        <v>3511</v>
      </c>
      <c r="AJ334" t="s">
        <v>80</v>
      </c>
      <c r="AK334" t="s">
        <v>158</v>
      </c>
      <c r="AL334" t="s">
        <v>159</v>
      </c>
      <c r="AM334" t="s">
        <v>83</v>
      </c>
      <c r="AO334">
        <v>31325</v>
      </c>
      <c r="AP334">
        <v>5347647</v>
      </c>
      <c r="AQ334">
        <v>532</v>
      </c>
      <c r="AR334" t="s">
        <v>84</v>
      </c>
      <c r="AS334">
        <v>562</v>
      </c>
      <c r="AT334" t="s">
        <v>85</v>
      </c>
      <c r="AU334" t="s">
        <v>86</v>
      </c>
      <c r="AV334">
        <v>562</v>
      </c>
      <c r="AW334" t="s">
        <v>6343</v>
      </c>
      <c r="AX334" t="s">
        <v>88</v>
      </c>
    </row>
    <row r="335" spans="1:53" x14ac:dyDescent="0.2">
      <c r="A335" t="s">
        <v>4282</v>
      </c>
      <c r="B335" t="s">
        <v>4282</v>
      </c>
      <c r="C335" t="s">
        <v>4283</v>
      </c>
      <c r="D335" t="s">
        <v>4284</v>
      </c>
      <c r="E335" t="s">
        <v>4284</v>
      </c>
      <c r="G335" t="s">
        <v>56</v>
      </c>
      <c r="H335" t="s">
        <v>93</v>
      </c>
      <c r="I335" t="s">
        <v>602</v>
      </c>
      <c r="K335" t="s">
        <v>7162</v>
      </c>
      <c r="L335" t="s">
        <v>7162</v>
      </c>
      <c r="M335" s="1" t="s">
        <v>4285</v>
      </c>
      <c r="N335" t="s">
        <v>4286</v>
      </c>
      <c r="O335" s="1" t="s">
        <v>144</v>
      </c>
      <c r="P335" s="1" t="s">
        <v>313</v>
      </c>
      <c r="Q335" t="s">
        <v>7197</v>
      </c>
      <c r="R335" s="1">
        <v>442</v>
      </c>
      <c r="S335" s="1">
        <v>15262</v>
      </c>
      <c r="T335" s="1"/>
      <c r="U335" s="1"/>
      <c r="V335" t="s">
        <v>4288</v>
      </c>
      <c r="W335" t="s">
        <v>4289</v>
      </c>
      <c r="X335" t="s">
        <v>3579</v>
      </c>
      <c r="Z335" t="s">
        <v>4290</v>
      </c>
    </row>
    <row r="336" spans="1:53" x14ac:dyDescent="0.2">
      <c r="A336" t="s">
        <v>3844</v>
      </c>
      <c r="B336" t="s">
        <v>3844</v>
      </c>
      <c r="C336" t="s">
        <v>3845</v>
      </c>
      <c r="D336" t="s">
        <v>3846</v>
      </c>
      <c r="E336" t="s">
        <v>3846</v>
      </c>
      <c r="G336" t="s">
        <v>56</v>
      </c>
      <c r="H336" t="s">
        <v>93</v>
      </c>
      <c r="I336" t="s">
        <v>406</v>
      </c>
      <c r="J336" t="s">
        <v>3847</v>
      </c>
      <c r="K336" t="s">
        <v>7165</v>
      </c>
      <c r="L336" t="s">
        <v>7165</v>
      </c>
      <c r="M336" s="1" t="s">
        <v>3848</v>
      </c>
      <c r="N336" t="s">
        <v>3849</v>
      </c>
      <c r="O336" s="1" t="s">
        <v>3090</v>
      </c>
      <c r="P336" s="1" t="s">
        <v>434</v>
      </c>
      <c r="Q336" s="11" t="s">
        <v>7304</v>
      </c>
      <c r="R336" s="1">
        <v>3695</v>
      </c>
      <c r="S336" s="1">
        <v>48393</v>
      </c>
      <c r="T336" s="1" t="s">
        <v>3093</v>
      </c>
      <c r="U336" s="1">
        <v>14472336</v>
      </c>
      <c r="V336" t="s">
        <v>3851</v>
      </c>
      <c r="W336" t="s">
        <v>3852</v>
      </c>
      <c r="X336" t="s">
        <v>68</v>
      </c>
      <c r="Y336" t="s">
        <v>3853</v>
      </c>
      <c r="Z336" t="s">
        <v>3854</v>
      </c>
      <c r="AA336" t="s">
        <v>3855</v>
      </c>
      <c r="AB336" t="s">
        <v>3856</v>
      </c>
      <c r="AC336" t="s">
        <v>73</v>
      </c>
      <c r="AD336" t="s">
        <v>3857</v>
      </c>
      <c r="AE336" t="s">
        <v>75</v>
      </c>
      <c r="AF336" t="s">
        <v>76</v>
      </c>
      <c r="AG336" t="s">
        <v>77</v>
      </c>
      <c r="AH336" t="s">
        <v>3858</v>
      </c>
      <c r="AI336" t="s">
        <v>107</v>
      </c>
      <c r="AJ336" t="s">
        <v>80</v>
      </c>
      <c r="AK336" t="s">
        <v>158</v>
      </c>
      <c r="AL336" t="s">
        <v>159</v>
      </c>
      <c r="AM336" t="s">
        <v>83</v>
      </c>
      <c r="AO336">
        <v>55535</v>
      </c>
      <c r="AP336">
        <v>5459009</v>
      </c>
      <c r="AQ336">
        <v>386</v>
      </c>
      <c r="AR336" t="s">
        <v>84</v>
      </c>
      <c r="AS336">
        <v>562</v>
      </c>
      <c r="AT336" t="s">
        <v>85</v>
      </c>
      <c r="AU336" t="s">
        <v>86</v>
      </c>
      <c r="AV336">
        <v>562</v>
      </c>
      <c r="AW336" t="s">
        <v>3859</v>
      </c>
      <c r="AX336" t="s">
        <v>88</v>
      </c>
    </row>
    <row r="337" spans="1:54" x14ac:dyDescent="0.2">
      <c r="A337" t="s">
        <v>4304</v>
      </c>
      <c r="B337" t="s">
        <v>4304</v>
      </c>
      <c r="C337" t="s">
        <v>4305</v>
      </c>
      <c r="D337" t="s">
        <v>4306</v>
      </c>
      <c r="E337" s="9" t="s">
        <v>4307</v>
      </c>
      <c r="G337" t="s">
        <v>56</v>
      </c>
      <c r="H337" t="s">
        <v>58</v>
      </c>
      <c r="I337" t="s">
        <v>602</v>
      </c>
      <c r="K337" t="s">
        <v>7162</v>
      </c>
      <c r="L337" t="s">
        <v>7162</v>
      </c>
      <c r="M337" s="1" t="s">
        <v>142</v>
      </c>
      <c r="N337" t="s">
        <v>143</v>
      </c>
      <c r="O337" s="1" t="s">
        <v>144</v>
      </c>
      <c r="P337" s="1" t="s">
        <v>4308</v>
      </c>
      <c r="Q337" t="s">
        <v>7198</v>
      </c>
      <c r="R337" s="1">
        <v>332</v>
      </c>
      <c r="S337" s="1">
        <v>35092</v>
      </c>
      <c r="T337" s="1"/>
      <c r="U337" s="1"/>
      <c r="V337" t="s">
        <v>4310</v>
      </c>
      <c r="W337" t="s">
        <v>4311</v>
      </c>
      <c r="X337" t="s">
        <v>3579</v>
      </c>
      <c r="Z337" t="s">
        <v>4312</v>
      </c>
    </row>
    <row r="338" spans="1:54" x14ac:dyDescent="0.2">
      <c r="A338" t="s">
        <v>4313</v>
      </c>
      <c r="B338" t="s">
        <v>4313</v>
      </c>
      <c r="C338" t="s">
        <v>4314</v>
      </c>
      <c r="D338" t="s">
        <v>4315</v>
      </c>
      <c r="E338" t="s">
        <v>4315</v>
      </c>
      <c r="G338" t="s">
        <v>56</v>
      </c>
      <c r="H338" t="s">
        <v>93</v>
      </c>
      <c r="I338" t="s">
        <v>602</v>
      </c>
      <c r="K338" t="s">
        <v>7162</v>
      </c>
      <c r="L338" t="s">
        <v>7162</v>
      </c>
      <c r="M338" s="1" t="s">
        <v>4316</v>
      </c>
      <c r="N338" t="s">
        <v>4317</v>
      </c>
      <c r="O338" s="1" t="s">
        <v>144</v>
      </c>
      <c r="P338" s="1" t="s">
        <v>4318</v>
      </c>
      <c r="Q338" t="s">
        <v>7199</v>
      </c>
      <c r="R338" s="1">
        <v>1</v>
      </c>
      <c r="S338" s="1">
        <v>1793</v>
      </c>
      <c r="T338" s="1"/>
      <c r="U338" s="1"/>
      <c r="V338" t="s">
        <v>4320</v>
      </c>
      <c r="W338" t="s">
        <v>4321</v>
      </c>
      <c r="X338" t="s">
        <v>3579</v>
      </c>
      <c r="Z338" t="s">
        <v>4322</v>
      </c>
    </row>
    <row r="339" spans="1:54" x14ac:dyDescent="0.2">
      <c r="A339" t="s">
        <v>4323</v>
      </c>
      <c r="B339" t="s">
        <v>4323</v>
      </c>
      <c r="C339" t="s">
        <v>4324</v>
      </c>
      <c r="D339" t="s">
        <v>4325</v>
      </c>
      <c r="E339" t="s">
        <v>4325</v>
      </c>
      <c r="G339" t="s">
        <v>56</v>
      </c>
      <c r="H339" t="s">
        <v>93</v>
      </c>
      <c r="I339" t="s">
        <v>602</v>
      </c>
      <c r="K339" t="s">
        <v>7162</v>
      </c>
      <c r="L339" t="s">
        <v>7162</v>
      </c>
      <c r="M339" s="1" t="s">
        <v>4326</v>
      </c>
      <c r="N339" t="s">
        <v>4327</v>
      </c>
      <c r="O339" s="1" t="s">
        <v>166</v>
      </c>
      <c r="P339" s="1" t="s">
        <v>4328</v>
      </c>
      <c r="Q339" t="s">
        <v>7200</v>
      </c>
      <c r="R339" s="1">
        <v>1892</v>
      </c>
      <c r="S339" s="1">
        <v>35113</v>
      </c>
      <c r="T339" s="1"/>
      <c r="U339" s="1"/>
      <c r="V339" t="s">
        <v>4330</v>
      </c>
      <c r="W339" t="s">
        <v>4331</v>
      </c>
      <c r="X339" t="s">
        <v>3579</v>
      </c>
      <c r="Z339" t="s">
        <v>4332</v>
      </c>
    </row>
    <row r="340" spans="1:54" x14ac:dyDescent="0.2">
      <c r="A340" t="s">
        <v>4333</v>
      </c>
      <c r="B340" t="s">
        <v>4333</v>
      </c>
      <c r="C340" t="s">
        <v>4334</v>
      </c>
      <c r="D340" t="s">
        <v>4335</v>
      </c>
      <c r="E340" t="s">
        <v>4335</v>
      </c>
      <c r="G340" t="s">
        <v>56</v>
      </c>
      <c r="H340" t="s">
        <v>58</v>
      </c>
      <c r="I340" t="s">
        <v>602</v>
      </c>
      <c r="K340" t="s">
        <v>7162</v>
      </c>
      <c r="L340" t="s">
        <v>7162</v>
      </c>
      <c r="M340" s="1" t="s">
        <v>4337</v>
      </c>
      <c r="N340" t="s">
        <v>4338</v>
      </c>
      <c r="O340" s="1" t="s">
        <v>126</v>
      </c>
      <c r="P340" s="1" t="s">
        <v>4339</v>
      </c>
      <c r="Q340" t="s">
        <v>7200</v>
      </c>
      <c r="R340" s="1">
        <v>7657</v>
      </c>
      <c r="S340" s="1">
        <v>1629</v>
      </c>
      <c r="T340" s="1"/>
      <c r="U340" s="1"/>
      <c r="V340" t="s">
        <v>4341</v>
      </c>
      <c r="W340" t="s">
        <v>4342</v>
      </c>
      <c r="X340" t="s">
        <v>3579</v>
      </c>
      <c r="Z340" t="s">
        <v>4343</v>
      </c>
    </row>
    <row r="341" spans="1:54" x14ac:dyDescent="0.2">
      <c r="A341" t="s">
        <v>4344</v>
      </c>
      <c r="B341" t="s">
        <v>4344</v>
      </c>
      <c r="C341" t="s">
        <v>4345</v>
      </c>
      <c r="D341" t="s">
        <v>4346</v>
      </c>
      <c r="E341" t="s">
        <v>4346</v>
      </c>
      <c r="G341" t="s">
        <v>56</v>
      </c>
      <c r="H341" t="s">
        <v>58</v>
      </c>
      <c r="I341" t="s">
        <v>602</v>
      </c>
      <c r="K341" t="s">
        <v>7162</v>
      </c>
      <c r="L341" t="s">
        <v>7162</v>
      </c>
      <c r="M341" s="1" t="s">
        <v>4348</v>
      </c>
      <c r="N341" t="s">
        <v>4349</v>
      </c>
      <c r="O341" s="1" t="s">
        <v>4350</v>
      </c>
      <c r="P341" s="1" t="s">
        <v>127</v>
      </c>
      <c r="Q341" t="s">
        <v>7201</v>
      </c>
      <c r="R341" s="1">
        <v>2103</v>
      </c>
      <c r="S341" s="1">
        <v>29698</v>
      </c>
      <c r="T341" s="1"/>
      <c r="U341" s="1"/>
      <c r="V341" t="s">
        <v>4352</v>
      </c>
      <c r="W341" t="s">
        <v>4353</v>
      </c>
      <c r="X341" t="s">
        <v>3579</v>
      </c>
      <c r="Z341" t="s">
        <v>4354</v>
      </c>
    </row>
    <row r="342" spans="1:54" x14ac:dyDescent="0.2">
      <c r="A342" t="s">
        <v>4355</v>
      </c>
      <c r="B342" t="s">
        <v>4355</v>
      </c>
      <c r="C342" t="s">
        <v>4356</v>
      </c>
      <c r="D342" t="s">
        <v>4357</v>
      </c>
      <c r="E342" t="s">
        <v>4357</v>
      </c>
      <c r="G342" t="s">
        <v>56</v>
      </c>
      <c r="H342" t="s">
        <v>93</v>
      </c>
      <c r="I342" t="s">
        <v>602</v>
      </c>
      <c r="K342" t="s">
        <v>7162</v>
      </c>
      <c r="L342" t="s">
        <v>7162</v>
      </c>
      <c r="M342" s="1" t="s">
        <v>353</v>
      </c>
      <c r="N342" t="s">
        <v>354</v>
      </c>
      <c r="O342" s="1" t="s">
        <v>144</v>
      </c>
      <c r="P342" s="1" t="s">
        <v>3649</v>
      </c>
      <c r="Q342" t="s">
        <v>7202</v>
      </c>
      <c r="R342" s="1">
        <v>677</v>
      </c>
      <c r="S342" s="1">
        <v>15267</v>
      </c>
      <c r="T342" s="1"/>
      <c r="U342" s="1"/>
      <c r="V342" t="s">
        <v>4358</v>
      </c>
      <c r="W342" t="s">
        <v>4359</v>
      </c>
      <c r="X342" t="s">
        <v>3579</v>
      </c>
      <c r="Z342" t="s">
        <v>4360</v>
      </c>
    </row>
    <row r="343" spans="1:54" x14ac:dyDescent="0.2">
      <c r="A343" t="s">
        <v>4361</v>
      </c>
      <c r="B343" t="s">
        <v>4361</v>
      </c>
      <c r="C343" t="s">
        <v>4362</v>
      </c>
      <c r="D343" t="s">
        <v>4363</v>
      </c>
      <c r="E343" t="s">
        <v>4363</v>
      </c>
      <c r="G343" t="s">
        <v>56</v>
      </c>
      <c r="H343" t="s">
        <v>93</v>
      </c>
      <c r="I343" t="s">
        <v>602</v>
      </c>
      <c r="K343" t="s">
        <v>7162</v>
      </c>
      <c r="L343" t="s">
        <v>7162</v>
      </c>
      <c r="M343" s="1" t="s">
        <v>4364</v>
      </c>
      <c r="N343" t="s">
        <v>4365</v>
      </c>
      <c r="O343" s="1" t="s">
        <v>144</v>
      </c>
      <c r="P343" s="1" t="s">
        <v>3649</v>
      </c>
      <c r="Q343" t="s">
        <v>7201</v>
      </c>
      <c r="R343" s="1">
        <v>10</v>
      </c>
      <c r="S343" s="1">
        <v>15264</v>
      </c>
      <c r="T343" s="1"/>
      <c r="U343" s="1"/>
      <c r="V343" t="s">
        <v>4366</v>
      </c>
      <c r="W343" t="s">
        <v>4367</v>
      </c>
      <c r="X343" t="s">
        <v>3579</v>
      </c>
      <c r="Z343" t="s">
        <v>4368</v>
      </c>
    </row>
    <row r="344" spans="1:54" x14ac:dyDescent="0.2">
      <c r="A344" t="s">
        <v>4369</v>
      </c>
      <c r="B344" t="s">
        <v>4369</v>
      </c>
      <c r="C344" t="s">
        <v>4370</v>
      </c>
      <c r="D344" t="s">
        <v>4371</v>
      </c>
      <c r="E344" t="s">
        <v>4371</v>
      </c>
      <c r="G344" t="s">
        <v>56</v>
      </c>
      <c r="H344" t="s">
        <v>93</v>
      </c>
      <c r="I344" t="s">
        <v>602</v>
      </c>
      <c r="K344" t="s">
        <v>7162</v>
      </c>
      <c r="L344" t="s">
        <v>7162</v>
      </c>
      <c r="M344" s="1" t="s">
        <v>4372</v>
      </c>
      <c r="N344" t="s">
        <v>4373</v>
      </c>
      <c r="O344" s="1" t="s">
        <v>4374</v>
      </c>
      <c r="P344" s="1" t="s">
        <v>313</v>
      </c>
      <c r="Q344" t="s">
        <v>7201</v>
      </c>
      <c r="R344" s="1">
        <v>69</v>
      </c>
      <c r="S344" s="1">
        <v>15263</v>
      </c>
      <c r="T344" s="1"/>
      <c r="U344" s="1"/>
      <c r="V344" t="s">
        <v>4375</v>
      </c>
      <c r="W344" t="s">
        <v>4376</v>
      </c>
      <c r="X344" t="s">
        <v>3579</v>
      </c>
      <c r="Z344" t="s">
        <v>4377</v>
      </c>
    </row>
    <row r="345" spans="1:54" x14ac:dyDescent="0.2">
      <c r="A345" t="s">
        <v>4378</v>
      </c>
      <c r="B345" t="s">
        <v>4378</v>
      </c>
      <c r="C345" t="s">
        <v>4379</v>
      </c>
      <c r="D345" t="s">
        <v>4380</v>
      </c>
      <c r="E345" t="s">
        <v>4380</v>
      </c>
      <c r="G345" t="s">
        <v>56</v>
      </c>
      <c r="H345" t="s">
        <v>93</v>
      </c>
      <c r="I345" t="s">
        <v>602</v>
      </c>
      <c r="K345" t="s">
        <v>7162</v>
      </c>
      <c r="L345" t="s">
        <v>7162</v>
      </c>
      <c r="M345" s="1" t="s">
        <v>4381</v>
      </c>
      <c r="N345" t="s">
        <v>4382</v>
      </c>
      <c r="O345" s="1" t="s">
        <v>144</v>
      </c>
      <c r="P345" s="1" t="s">
        <v>3476</v>
      </c>
      <c r="Q345" t="s">
        <v>7195</v>
      </c>
      <c r="R345" s="1">
        <v>2715</v>
      </c>
      <c r="S345" s="1">
        <v>15261</v>
      </c>
      <c r="T345" s="1"/>
      <c r="U345" s="1"/>
      <c r="V345" t="s">
        <v>4383</v>
      </c>
      <c r="W345" t="s">
        <v>4384</v>
      </c>
      <c r="X345" t="s">
        <v>3579</v>
      </c>
      <c r="Z345" t="s">
        <v>4385</v>
      </c>
    </row>
    <row r="346" spans="1:54" x14ac:dyDescent="0.2">
      <c r="A346" t="s">
        <v>3860</v>
      </c>
      <c r="B346" t="s">
        <v>3860</v>
      </c>
      <c r="C346" t="s">
        <v>3861</v>
      </c>
      <c r="D346" t="s">
        <v>3862</v>
      </c>
      <c r="E346" t="s">
        <v>3862</v>
      </c>
      <c r="G346" t="s">
        <v>56</v>
      </c>
      <c r="H346" t="s">
        <v>93</v>
      </c>
      <c r="I346" t="s">
        <v>406</v>
      </c>
      <c r="J346" t="s">
        <v>389</v>
      </c>
      <c r="K346" t="s">
        <v>7165</v>
      </c>
      <c r="L346" t="s">
        <v>7165</v>
      </c>
      <c r="M346" s="1" t="s">
        <v>3863</v>
      </c>
      <c r="N346" t="s">
        <v>3863</v>
      </c>
      <c r="O346" s="1" t="s">
        <v>3090</v>
      </c>
      <c r="P346" s="1" t="s">
        <v>434</v>
      </c>
      <c r="Q346" s="11" t="s">
        <v>7195</v>
      </c>
      <c r="R346" s="1">
        <v>3695</v>
      </c>
      <c r="S346" s="1">
        <v>48393</v>
      </c>
      <c r="T346" s="1" t="s">
        <v>3093</v>
      </c>
      <c r="U346" s="1">
        <v>14968530</v>
      </c>
      <c r="V346" t="s">
        <v>3864</v>
      </c>
      <c r="W346" t="s">
        <v>3865</v>
      </c>
      <c r="X346" t="s">
        <v>68</v>
      </c>
      <c r="Y346" t="s">
        <v>3866</v>
      </c>
      <c r="Z346" t="s">
        <v>3867</v>
      </c>
      <c r="AA346" t="s">
        <v>3868</v>
      </c>
      <c r="AB346" t="s">
        <v>3869</v>
      </c>
      <c r="AC346" t="s">
        <v>73</v>
      </c>
      <c r="AD346" t="s">
        <v>3870</v>
      </c>
      <c r="AE346" t="s">
        <v>75</v>
      </c>
      <c r="AF346" t="s">
        <v>76</v>
      </c>
      <c r="AG346" t="s">
        <v>77</v>
      </c>
      <c r="AH346" t="s">
        <v>3871</v>
      </c>
      <c r="AI346" t="s">
        <v>107</v>
      </c>
      <c r="AJ346" t="s">
        <v>80</v>
      </c>
      <c r="AK346" t="s">
        <v>158</v>
      </c>
      <c r="AL346" t="s">
        <v>159</v>
      </c>
      <c r="AM346" t="s">
        <v>83</v>
      </c>
      <c r="AO346">
        <v>92102</v>
      </c>
      <c r="AP346">
        <v>5470363</v>
      </c>
      <c r="AQ346">
        <v>237</v>
      </c>
      <c r="AR346" t="s">
        <v>84</v>
      </c>
      <c r="AS346">
        <v>562</v>
      </c>
      <c r="AT346" t="s">
        <v>85</v>
      </c>
      <c r="AU346" t="s">
        <v>86</v>
      </c>
      <c r="AV346">
        <v>562</v>
      </c>
      <c r="AW346" t="s">
        <v>3872</v>
      </c>
      <c r="AX346" t="s">
        <v>88</v>
      </c>
    </row>
    <row r="347" spans="1:54" x14ac:dyDescent="0.2">
      <c r="A347" t="s">
        <v>3915</v>
      </c>
      <c r="B347" t="s">
        <v>3915</v>
      </c>
      <c r="C347" t="s">
        <v>3916</v>
      </c>
      <c r="D347" t="s">
        <v>3917</v>
      </c>
      <c r="E347" t="s">
        <v>3917</v>
      </c>
      <c r="F347" t="s">
        <v>2035</v>
      </c>
      <c r="G347" t="s">
        <v>56</v>
      </c>
      <c r="H347" t="s">
        <v>93</v>
      </c>
      <c r="I347" t="s">
        <v>406</v>
      </c>
      <c r="J347" t="s">
        <v>389</v>
      </c>
      <c r="K347" t="s">
        <v>7165</v>
      </c>
      <c r="L347" t="s">
        <v>7165</v>
      </c>
      <c r="M347" s="1" t="s">
        <v>3918</v>
      </c>
      <c r="N347" t="s">
        <v>3918</v>
      </c>
      <c r="O347" s="1" t="s">
        <v>144</v>
      </c>
      <c r="P347" s="1" t="s">
        <v>3649</v>
      </c>
      <c r="Q347" s="11" t="s">
        <v>7325</v>
      </c>
      <c r="R347" s="1">
        <v>2101</v>
      </c>
      <c r="S347" s="1">
        <v>29895</v>
      </c>
      <c r="T347" s="1" t="s">
        <v>3920</v>
      </c>
      <c r="U347" s="1">
        <v>14908038</v>
      </c>
      <c r="V347" t="s">
        <v>3921</v>
      </c>
      <c r="W347" t="s">
        <v>3922</v>
      </c>
      <c r="X347" t="s">
        <v>68</v>
      </c>
      <c r="Y347" t="s">
        <v>3923</v>
      </c>
      <c r="Z347" t="s">
        <v>3924</v>
      </c>
      <c r="AA347" t="s">
        <v>3925</v>
      </c>
      <c r="AB347" t="s">
        <v>3894</v>
      </c>
      <c r="AC347" t="s">
        <v>73</v>
      </c>
      <c r="AD347" t="s">
        <v>3926</v>
      </c>
      <c r="AE347" t="s">
        <v>3927</v>
      </c>
      <c r="AF347" t="s">
        <v>76</v>
      </c>
      <c r="AG347" t="s">
        <v>77</v>
      </c>
      <c r="AH347" t="s">
        <v>3928</v>
      </c>
      <c r="AI347" t="s">
        <v>107</v>
      </c>
      <c r="AJ347" t="s">
        <v>3929</v>
      </c>
      <c r="AK347" t="s">
        <v>158</v>
      </c>
      <c r="AL347" t="s">
        <v>159</v>
      </c>
      <c r="AM347" t="s">
        <v>83</v>
      </c>
      <c r="AO347">
        <v>282758</v>
      </c>
      <c r="AP347">
        <v>5113784</v>
      </c>
      <c r="AQ347">
        <v>82</v>
      </c>
      <c r="AR347" t="s">
        <v>84</v>
      </c>
      <c r="AS347">
        <v>562</v>
      </c>
      <c r="AT347" t="s">
        <v>85</v>
      </c>
      <c r="AU347" t="s">
        <v>86</v>
      </c>
      <c r="AV347">
        <v>562</v>
      </c>
      <c r="AW347" t="s">
        <v>3930</v>
      </c>
      <c r="AX347" t="s">
        <v>88</v>
      </c>
    </row>
    <row r="348" spans="1:54" x14ac:dyDescent="0.2">
      <c r="A348" t="s">
        <v>3886</v>
      </c>
      <c r="B348" t="s">
        <v>3886</v>
      </c>
      <c r="C348" t="s">
        <v>3874</v>
      </c>
      <c r="D348" t="s">
        <v>3887</v>
      </c>
      <c r="E348" t="s">
        <v>3887</v>
      </c>
      <c r="G348" t="s">
        <v>56</v>
      </c>
      <c r="H348" t="s">
        <v>93</v>
      </c>
      <c r="I348" t="s">
        <v>406</v>
      </c>
      <c r="J348" t="s">
        <v>389</v>
      </c>
      <c r="K348" t="s">
        <v>7165</v>
      </c>
      <c r="L348" t="s">
        <v>7165</v>
      </c>
      <c r="M348" s="1" t="s">
        <v>3194</v>
      </c>
      <c r="N348" t="s">
        <v>2815</v>
      </c>
      <c r="O348" s="1" t="s">
        <v>166</v>
      </c>
      <c r="P348" s="1" t="s">
        <v>167</v>
      </c>
      <c r="Q348" s="11" t="s">
        <v>7197</v>
      </c>
      <c r="R348" s="1">
        <v>1817</v>
      </c>
      <c r="S348" s="1">
        <v>61940</v>
      </c>
      <c r="T348" s="1" t="s">
        <v>3888</v>
      </c>
      <c r="U348" s="1">
        <v>15024563</v>
      </c>
      <c r="V348" t="s">
        <v>3889</v>
      </c>
      <c r="W348" t="s">
        <v>3890</v>
      </c>
      <c r="X348" t="s">
        <v>68</v>
      </c>
      <c r="Y348" t="s">
        <v>3891</v>
      </c>
      <c r="Z348" t="s">
        <v>3892</v>
      </c>
      <c r="AA348" t="s">
        <v>3893</v>
      </c>
      <c r="AB348" t="s">
        <v>3894</v>
      </c>
      <c r="AC348" t="s">
        <v>73</v>
      </c>
      <c r="AD348" t="s">
        <v>3895</v>
      </c>
      <c r="AE348" t="s">
        <v>3896</v>
      </c>
      <c r="AF348" t="s">
        <v>76</v>
      </c>
      <c r="AG348" t="s">
        <v>77</v>
      </c>
      <c r="AH348" t="s">
        <v>3897</v>
      </c>
      <c r="AI348" t="s">
        <v>107</v>
      </c>
      <c r="AJ348" t="s">
        <v>3898</v>
      </c>
      <c r="AK348" t="s">
        <v>158</v>
      </c>
      <c r="AL348" t="s">
        <v>159</v>
      </c>
      <c r="AM348" t="s">
        <v>83</v>
      </c>
      <c r="AO348">
        <v>82220</v>
      </c>
      <c r="AP348">
        <v>5226878</v>
      </c>
      <c r="AQ348">
        <v>220</v>
      </c>
      <c r="AR348" t="s">
        <v>84</v>
      </c>
      <c r="AS348">
        <v>562</v>
      </c>
      <c r="AT348" t="s">
        <v>85</v>
      </c>
      <c r="AU348" t="s">
        <v>86</v>
      </c>
      <c r="AV348">
        <v>562</v>
      </c>
      <c r="AW348" t="s">
        <v>3899</v>
      </c>
      <c r="AX348" t="s">
        <v>88</v>
      </c>
    </row>
    <row r="349" spans="1:54" x14ac:dyDescent="0.2">
      <c r="A349" t="s">
        <v>3429</v>
      </c>
      <c r="B349" t="s">
        <v>3429</v>
      </c>
      <c r="C349" t="s">
        <v>3430</v>
      </c>
      <c r="D349" t="s">
        <v>3431</v>
      </c>
      <c r="E349" t="s">
        <v>3431</v>
      </c>
      <c r="G349" t="s">
        <v>56</v>
      </c>
      <c r="H349" t="s">
        <v>93</v>
      </c>
      <c r="I349" t="s">
        <v>406</v>
      </c>
      <c r="J349" t="s">
        <v>480</v>
      </c>
      <c r="K349" t="s">
        <v>7165</v>
      </c>
      <c r="L349" t="s">
        <v>7165</v>
      </c>
      <c r="M349" s="1" t="s">
        <v>3150</v>
      </c>
      <c r="N349" t="s">
        <v>3150</v>
      </c>
      <c r="O349" s="1" t="s">
        <v>144</v>
      </c>
      <c r="P349" s="1" t="s">
        <v>3432</v>
      </c>
      <c r="Q349" s="11" t="s">
        <v>7349</v>
      </c>
      <c r="R349" s="1">
        <v>1611</v>
      </c>
      <c r="S349" s="1">
        <v>14912</v>
      </c>
      <c r="T349" s="1" t="s">
        <v>3181</v>
      </c>
      <c r="U349" s="1">
        <v>12518697</v>
      </c>
      <c r="V349" t="s">
        <v>3434</v>
      </c>
      <c r="W349" t="s">
        <v>3435</v>
      </c>
      <c r="X349" t="s">
        <v>68</v>
      </c>
      <c r="Y349" t="s">
        <v>3436</v>
      </c>
      <c r="Z349" t="s">
        <v>3437</v>
      </c>
      <c r="AA349" t="s">
        <v>3438</v>
      </c>
      <c r="AB349" t="s">
        <v>3439</v>
      </c>
      <c r="AC349" t="s">
        <v>73</v>
      </c>
      <c r="AD349" t="s">
        <v>3440</v>
      </c>
      <c r="AE349" t="s">
        <v>75</v>
      </c>
      <c r="AF349" t="s">
        <v>76</v>
      </c>
      <c r="AG349" t="s">
        <v>77</v>
      </c>
      <c r="AH349" t="s">
        <v>3441</v>
      </c>
      <c r="AI349" t="s">
        <v>156</v>
      </c>
      <c r="AJ349" t="s">
        <v>80</v>
      </c>
      <c r="AK349" t="s">
        <v>158</v>
      </c>
      <c r="AL349" t="s">
        <v>159</v>
      </c>
      <c r="AM349" t="s">
        <v>83</v>
      </c>
      <c r="AO349">
        <v>185506</v>
      </c>
      <c r="AP349">
        <v>5252504</v>
      </c>
      <c r="AQ349">
        <v>128</v>
      </c>
      <c r="AR349" t="s">
        <v>84</v>
      </c>
      <c r="AS349">
        <v>562</v>
      </c>
      <c r="AT349" t="s">
        <v>85</v>
      </c>
      <c r="AU349" t="s">
        <v>86</v>
      </c>
      <c r="AV349">
        <v>562</v>
      </c>
      <c r="AW349" t="s">
        <v>3442</v>
      </c>
      <c r="AX349" t="s">
        <v>88</v>
      </c>
      <c r="AZ349" t="s">
        <v>3443</v>
      </c>
      <c r="BB349">
        <v>39</v>
      </c>
    </row>
    <row r="350" spans="1:54" x14ac:dyDescent="0.2">
      <c r="A350" t="s">
        <v>4435</v>
      </c>
      <c r="B350" t="s">
        <v>4435</v>
      </c>
      <c r="C350" t="s">
        <v>4436</v>
      </c>
      <c r="D350" t="s">
        <v>4437</v>
      </c>
      <c r="E350" t="s">
        <v>4437</v>
      </c>
      <c r="G350" t="s">
        <v>56</v>
      </c>
      <c r="H350" t="s">
        <v>58</v>
      </c>
      <c r="I350" t="s">
        <v>602</v>
      </c>
      <c r="K350" t="s">
        <v>7162</v>
      </c>
      <c r="L350" t="s">
        <v>7162</v>
      </c>
      <c r="M350" s="1" t="s">
        <v>603</v>
      </c>
      <c r="N350" t="s">
        <v>649</v>
      </c>
      <c r="O350" s="1" t="s">
        <v>605</v>
      </c>
      <c r="P350" s="1" t="s">
        <v>127</v>
      </c>
      <c r="Q350" t="s">
        <v>7198</v>
      </c>
      <c r="R350" s="1">
        <v>11</v>
      </c>
      <c r="S350" s="1">
        <v>2124</v>
      </c>
      <c r="T350" s="1"/>
      <c r="U350" s="1"/>
      <c r="V350" t="s">
        <v>4438</v>
      </c>
      <c r="W350" t="s">
        <v>4439</v>
      </c>
      <c r="X350" t="s">
        <v>3579</v>
      </c>
      <c r="Z350" t="s">
        <v>4440</v>
      </c>
    </row>
    <row r="351" spans="1:54" x14ac:dyDescent="0.2">
      <c r="A351" t="s">
        <v>4441</v>
      </c>
      <c r="B351" t="s">
        <v>4441</v>
      </c>
      <c r="C351" t="s">
        <v>4442</v>
      </c>
      <c r="D351" t="s">
        <v>4443</v>
      </c>
      <c r="E351" t="s">
        <v>4443</v>
      </c>
      <c r="G351" t="s">
        <v>56</v>
      </c>
      <c r="H351" t="s">
        <v>93</v>
      </c>
      <c r="I351" t="s">
        <v>602</v>
      </c>
      <c r="K351" t="s">
        <v>7162</v>
      </c>
      <c r="L351" t="s">
        <v>7162</v>
      </c>
      <c r="M351" s="1" t="s">
        <v>3134</v>
      </c>
      <c r="N351" t="s">
        <v>4444</v>
      </c>
      <c r="O351" s="1" t="s">
        <v>373</v>
      </c>
      <c r="P351" s="1" t="s">
        <v>4328</v>
      </c>
      <c r="Q351" t="s">
        <v>7200</v>
      </c>
      <c r="R351" s="1">
        <v>3233</v>
      </c>
      <c r="S351" s="1">
        <v>15266</v>
      </c>
      <c r="T351" s="1"/>
      <c r="U351" s="1"/>
      <c r="V351" t="s">
        <v>4446</v>
      </c>
      <c r="W351" t="s">
        <v>4447</v>
      </c>
      <c r="X351" t="s">
        <v>3579</v>
      </c>
      <c r="Z351" t="s">
        <v>4448</v>
      </c>
    </row>
    <row r="352" spans="1:54" x14ac:dyDescent="0.2">
      <c r="A352" t="s">
        <v>4449</v>
      </c>
      <c r="B352" t="s">
        <v>4449</v>
      </c>
      <c r="C352" t="s">
        <v>4450</v>
      </c>
      <c r="D352" t="s">
        <v>4451</v>
      </c>
      <c r="E352" t="s">
        <v>4451</v>
      </c>
      <c r="G352" t="s">
        <v>56</v>
      </c>
      <c r="H352" t="s">
        <v>93</v>
      </c>
      <c r="I352" t="s">
        <v>602</v>
      </c>
      <c r="K352" t="s">
        <v>7162</v>
      </c>
      <c r="L352" t="s">
        <v>7162</v>
      </c>
      <c r="M352" s="1" t="s">
        <v>448</v>
      </c>
      <c r="N352" t="s">
        <v>3244</v>
      </c>
      <c r="O352" s="1" t="s">
        <v>4452</v>
      </c>
      <c r="P352" s="1" t="s">
        <v>4226</v>
      </c>
      <c r="Q352" t="s">
        <v>7203</v>
      </c>
      <c r="R352" s="1">
        <v>20</v>
      </c>
      <c r="S352" s="1">
        <v>15619</v>
      </c>
      <c r="T352" s="1"/>
      <c r="U352" s="1"/>
      <c r="V352" t="s">
        <v>4454</v>
      </c>
      <c r="W352" t="s">
        <v>4455</v>
      </c>
      <c r="X352" t="s">
        <v>3579</v>
      </c>
      <c r="Z352" t="s">
        <v>4456</v>
      </c>
    </row>
    <row r="353" spans="1:26" x14ac:dyDescent="0.2">
      <c r="A353" t="s">
        <v>4457</v>
      </c>
      <c r="B353" t="s">
        <v>4457</v>
      </c>
      <c r="C353" t="s">
        <v>4458</v>
      </c>
      <c r="D353" t="s">
        <v>4459</v>
      </c>
      <c r="E353" t="s">
        <v>4459</v>
      </c>
      <c r="G353" t="s">
        <v>56</v>
      </c>
      <c r="H353" t="s">
        <v>93</v>
      </c>
      <c r="I353" t="s">
        <v>602</v>
      </c>
      <c r="K353" t="s">
        <v>7162</v>
      </c>
      <c r="L353" t="s">
        <v>7162</v>
      </c>
      <c r="M353" s="1" t="s">
        <v>4460</v>
      </c>
      <c r="N353" t="s">
        <v>4461</v>
      </c>
      <c r="O353" s="1" t="s">
        <v>4462</v>
      </c>
      <c r="P353" s="1" t="s">
        <v>434</v>
      </c>
      <c r="Q353" t="s">
        <v>7204</v>
      </c>
      <c r="R353" s="1">
        <v>13</v>
      </c>
      <c r="S353" s="1">
        <v>15613</v>
      </c>
      <c r="T353" s="1"/>
      <c r="U353" s="1"/>
      <c r="V353" t="s">
        <v>4463</v>
      </c>
      <c r="W353" t="s">
        <v>4464</v>
      </c>
      <c r="X353" t="s">
        <v>3579</v>
      </c>
      <c r="Z353" t="s">
        <v>4465</v>
      </c>
    </row>
    <row r="354" spans="1:26" x14ac:dyDescent="0.2">
      <c r="A354" t="s">
        <v>4466</v>
      </c>
      <c r="B354" t="s">
        <v>4466</v>
      </c>
      <c r="C354" t="s">
        <v>4467</v>
      </c>
      <c r="D354" t="s">
        <v>4468</v>
      </c>
      <c r="E354" t="s">
        <v>4468</v>
      </c>
      <c r="G354" t="s">
        <v>56</v>
      </c>
      <c r="H354" t="s">
        <v>93</v>
      </c>
      <c r="I354" t="s">
        <v>602</v>
      </c>
      <c r="K354" t="s">
        <v>7162</v>
      </c>
      <c r="L354" t="s">
        <v>7162</v>
      </c>
      <c r="M354" s="1" t="s">
        <v>4316</v>
      </c>
      <c r="N354" t="s">
        <v>4317</v>
      </c>
      <c r="O354" s="1" t="s">
        <v>4469</v>
      </c>
      <c r="P354" s="1" t="s">
        <v>4318</v>
      </c>
      <c r="Q354" t="s">
        <v>7205</v>
      </c>
      <c r="R354" s="1">
        <v>1</v>
      </c>
      <c r="S354" s="1">
        <v>1793</v>
      </c>
      <c r="T354" s="1"/>
      <c r="U354" s="1"/>
      <c r="V354" t="s">
        <v>4470</v>
      </c>
      <c r="W354" t="s">
        <v>4471</v>
      </c>
      <c r="X354" t="s">
        <v>3579</v>
      </c>
      <c r="Z354" t="s">
        <v>4472</v>
      </c>
    </row>
    <row r="355" spans="1:26" x14ac:dyDescent="0.2">
      <c r="A355" t="s">
        <v>4473</v>
      </c>
      <c r="B355" t="s">
        <v>4473</v>
      </c>
      <c r="C355" t="s">
        <v>4474</v>
      </c>
      <c r="D355" t="s">
        <v>4475</v>
      </c>
      <c r="E355" s="9" t="s">
        <v>4476</v>
      </c>
      <c r="G355" t="s">
        <v>56</v>
      </c>
      <c r="H355" t="s">
        <v>93</v>
      </c>
      <c r="I355" t="s">
        <v>602</v>
      </c>
      <c r="K355" t="s">
        <v>7162</v>
      </c>
      <c r="L355" t="s">
        <v>7162</v>
      </c>
      <c r="M355" s="1" t="s">
        <v>4477</v>
      </c>
      <c r="N355" t="s">
        <v>4478</v>
      </c>
      <c r="O355" s="1" t="s">
        <v>144</v>
      </c>
      <c r="P355" s="1" t="s">
        <v>313</v>
      </c>
      <c r="Q355" t="s">
        <v>7206</v>
      </c>
      <c r="R355" s="1">
        <v>2914</v>
      </c>
      <c r="S355" s="1">
        <v>15101</v>
      </c>
      <c r="T355" s="1"/>
      <c r="U355" s="1"/>
      <c r="V355" t="s">
        <v>4479</v>
      </c>
      <c r="W355" t="s">
        <v>4480</v>
      </c>
      <c r="X355" t="s">
        <v>3579</v>
      </c>
      <c r="Z355" t="s">
        <v>4481</v>
      </c>
    </row>
    <row r="356" spans="1:26" x14ac:dyDescent="0.2">
      <c r="A356" t="s">
        <v>4482</v>
      </c>
      <c r="B356" t="s">
        <v>4482</v>
      </c>
      <c r="C356" t="s">
        <v>4483</v>
      </c>
      <c r="D356" t="s">
        <v>4484</v>
      </c>
      <c r="E356" t="s">
        <v>4484</v>
      </c>
      <c r="G356" t="s">
        <v>56</v>
      </c>
      <c r="H356" t="s">
        <v>93</v>
      </c>
      <c r="I356" t="s">
        <v>602</v>
      </c>
      <c r="K356" t="s">
        <v>7162</v>
      </c>
      <c r="L356" t="s">
        <v>7162</v>
      </c>
      <c r="M356" s="1" t="s">
        <v>448</v>
      </c>
      <c r="N356" t="s">
        <v>4485</v>
      </c>
      <c r="O356" s="1" t="s">
        <v>166</v>
      </c>
      <c r="P356" s="1" t="s">
        <v>167</v>
      </c>
      <c r="Q356" t="s">
        <v>7207</v>
      </c>
      <c r="R356" s="1">
        <v>25</v>
      </c>
      <c r="S356" s="1">
        <v>35119</v>
      </c>
      <c r="T356" s="1"/>
      <c r="U356" s="1"/>
      <c r="V356" t="s">
        <v>4486</v>
      </c>
      <c r="W356" t="s">
        <v>4487</v>
      </c>
      <c r="X356" t="s">
        <v>3579</v>
      </c>
      <c r="Z356" t="s">
        <v>4488</v>
      </c>
    </row>
    <row r="357" spans="1:26" x14ac:dyDescent="0.2">
      <c r="A357" t="s">
        <v>4489</v>
      </c>
      <c r="B357" t="s">
        <v>4489</v>
      </c>
      <c r="C357" t="s">
        <v>4490</v>
      </c>
      <c r="D357" t="s">
        <v>4491</v>
      </c>
      <c r="E357" t="s">
        <v>4491</v>
      </c>
      <c r="G357" t="s">
        <v>56</v>
      </c>
      <c r="H357" t="s">
        <v>93</v>
      </c>
      <c r="I357" t="s">
        <v>602</v>
      </c>
      <c r="K357" t="s">
        <v>7162</v>
      </c>
      <c r="L357" t="s">
        <v>7162</v>
      </c>
      <c r="M357" s="1" t="s">
        <v>4492</v>
      </c>
      <c r="N357" t="s">
        <v>4493</v>
      </c>
      <c r="O357" s="1" t="s">
        <v>4494</v>
      </c>
      <c r="P357" s="1" t="s">
        <v>250</v>
      </c>
      <c r="Q357" t="s">
        <v>7207</v>
      </c>
      <c r="R357" s="1">
        <v>17</v>
      </c>
      <c r="S357" s="1">
        <v>15619</v>
      </c>
      <c r="T357" s="1"/>
      <c r="U357" s="1"/>
      <c r="V357" t="s">
        <v>4495</v>
      </c>
      <c r="W357" t="s">
        <v>4496</v>
      </c>
      <c r="X357" t="s">
        <v>3579</v>
      </c>
      <c r="Z357" t="s">
        <v>4497</v>
      </c>
    </row>
    <row r="358" spans="1:26" x14ac:dyDescent="0.2">
      <c r="A358" t="s">
        <v>4498</v>
      </c>
      <c r="B358" t="s">
        <v>4498</v>
      </c>
      <c r="C358" t="s">
        <v>4499</v>
      </c>
      <c r="D358" t="s">
        <v>4500</v>
      </c>
      <c r="E358" s="9" t="s">
        <v>4501</v>
      </c>
      <c r="G358" t="s">
        <v>56</v>
      </c>
      <c r="H358" t="s">
        <v>93</v>
      </c>
      <c r="I358" t="s">
        <v>602</v>
      </c>
      <c r="K358" t="s">
        <v>7162</v>
      </c>
      <c r="L358" t="s">
        <v>7162</v>
      </c>
      <c r="M358" s="1" t="s">
        <v>4502</v>
      </c>
      <c r="N358" t="s">
        <v>4503</v>
      </c>
      <c r="O358" s="1" t="s">
        <v>166</v>
      </c>
      <c r="P358" s="1" t="s">
        <v>4328</v>
      </c>
      <c r="Q358" t="s">
        <v>7208</v>
      </c>
      <c r="R358" s="1">
        <v>6034</v>
      </c>
      <c r="S358" s="1">
        <v>34264</v>
      </c>
      <c r="T358" s="1"/>
      <c r="U358" s="1"/>
      <c r="V358" t="s">
        <v>4504</v>
      </c>
      <c r="W358" t="s">
        <v>4505</v>
      </c>
      <c r="X358" t="s">
        <v>3579</v>
      </c>
      <c r="Z358" t="s">
        <v>4506</v>
      </c>
    </row>
    <row r="359" spans="1:26" x14ac:dyDescent="0.2">
      <c r="A359" t="s">
        <v>4507</v>
      </c>
      <c r="B359" t="s">
        <v>4507</v>
      </c>
      <c r="C359" t="s">
        <v>4508</v>
      </c>
      <c r="D359" t="s">
        <v>4509</v>
      </c>
      <c r="E359" t="s">
        <v>4509</v>
      </c>
      <c r="G359" t="s">
        <v>56</v>
      </c>
      <c r="H359" t="s">
        <v>58</v>
      </c>
      <c r="I359" t="s">
        <v>602</v>
      </c>
      <c r="K359" t="s">
        <v>7162</v>
      </c>
      <c r="L359" t="s">
        <v>7162</v>
      </c>
      <c r="M359" s="1" t="s">
        <v>4511</v>
      </c>
      <c r="N359" t="s">
        <v>4512</v>
      </c>
      <c r="O359" s="1" t="s">
        <v>4513</v>
      </c>
      <c r="P359" s="1" t="s">
        <v>250</v>
      </c>
      <c r="Q359" t="s">
        <v>7209</v>
      </c>
      <c r="R359" s="1">
        <v>16</v>
      </c>
      <c r="S359" s="1">
        <v>35094</v>
      </c>
      <c r="T359" s="1"/>
      <c r="U359" s="1"/>
      <c r="V359" t="s">
        <v>4515</v>
      </c>
      <c r="W359" t="s">
        <v>4516</v>
      </c>
      <c r="X359" t="s">
        <v>3579</v>
      </c>
      <c r="Z359" t="s">
        <v>4517</v>
      </c>
    </row>
    <row r="360" spans="1:26" x14ac:dyDescent="0.2">
      <c r="A360" t="s">
        <v>4518</v>
      </c>
      <c r="B360" t="s">
        <v>4518</v>
      </c>
      <c r="C360" t="s">
        <v>4519</v>
      </c>
      <c r="D360" t="s">
        <v>4520</v>
      </c>
      <c r="E360" t="s">
        <v>4520</v>
      </c>
      <c r="G360" t="s">
        <v>56</v>
      </c>
      <c r="H360" t="s">
        <v>93</v>
      </c>
      <c r="I360" t="s">
        <v>602</v>
      </c>
      <c r="K360" t="s">
        <v>7162</v>
      </c>
      <c r="L360" t="s">
        <v>7162</v>
      </c>
      <c r="M360" s="1" t="s">
        <v>4337</v>
      </c>
      <c r="N360" t="s">
        <v>4338</v>
      </c>
      <c r="O360" s="1" t="s">
        <v>144</v>
      </c>
      <c r="P360" s="1" t="s">
        <v>313</v>
      </c>
      <c r="Q360" t="s">
        <v>7208</v>
      </c>
      <c r="R360" s="1">
        <v>829</v>
      </c>
      <c r="S360" s="1">
        <v>30433</v>
      </c>
      <c r="T360" s="1"/>
      <c r="U360" s="1"/>
      <c r="V360" t="s">
        <v>4522</v>
      </c>
      <c r="W360" t="s">
        <v>4523</v>
      </c>
      <c r="X360" t="s">
        <v>3579</v>
      </c>
      <c r="Z360" t="s">
        <v>4524</v>
      </c>
    </row>
    <row r="361" spans="1:26" x14ac:dyDescent="0.2">
      <c r="A361" t="s">
        <v>4525</v>
      </c>
      <c r="B361" t="s">
        <v>4525</v>
      </c>
      <c r="C361" t="s">
        <v>4526</v>
      </c>
      <c r="D361" t="s">
        <v>4527</v>
      </c>
      <c r="E361" t="s">
        <v>4527</v>
      </c>
      <c r="G361" t="s">
        <v>170</v>
      </c>
      <c r="H361" t="s">
        <v>93</v>
      </c>
      <c r="I361" t="s">
        <v>602</v>
      </c>
      <c r="K361" t="s">
        <v>7162</v>
      </c>
      <c r="L361" t="s">
        <v>7162</v>
      </c>
      <c r="M361" s="1" t="s">
        <v>4528</v>
      </c>
      <c r="N361" t="s">
        <v>4529</v>
      </c>
      <c r="O361" s="1" t="s">
        <v>4530</v>
      </c>
      <c r="P361" s="1" t="s">
        <v>169</v>
      </c>
      <c r="Q361" t="s">
        <v>7210</v>
      </c>
      <c r="R361" s="1">
        <v>6</v>
      </c>
      <c r="S361" s="1">
        <v>29621</v>
      </c>
      <c r="T361" s="1"/>
      <c r="U361" s="1"/>
      <c r="V361" t="s">
        <v>4531</v>
      </c>
      <c r="W361" t="s">
        <v>4532</v>
      </c>
      <c r="X361" t="s">
        <v>3579</v>
      </c>
      <c r="Z361" t="s">
        <v>4533</v>
      </c>
    </row>
    <row r="362" spans="1:26" x14ac:dyDescent="0.2">
      <c r="A362" t="s">
        <v>4534</v>
      </c>
      <c r="B362" t="s">
        <v>4534</v>
      </c>
      <c r="C362" t="s">
        <v>4535</v>
      </c>
      <c r="D362" t="s">
        <v>4536</v>
      </c>
      <c r="E362" t="s">
        <v>4536</v>
      </c>
      <c r="G362" t="s">
        <v>56</v>
      </c>
      <c r="H362" t="s">
        <v>58</v>
      </c>
      <c r="I362" t="s">
        <v>602</v>
      </c>
      <c r="K362" t="s">
        <v>7162</v>
      </c>
      <c r="L362" t="s">
        <v>7162</v>
      </c>
      <c r="M362" s="1" t="s">
        <v>4538</v>
      </c>
      <c r="N362" t="s">
        <v>4539</v>
      </c>
      <c r="O362" s="1" t="s">
        <v>4540</v>
      </c>
      <c r="P362" s="1" t="s">
        <v>64</v>
      </c>
      <c r="Q362" t="s">
        <v>7211</v>
      </c>
      <c r="R362" s="1">
        <v>21</v>
      </c>
      <c r="S362" s="1">
        <v>35114</v>
      </c>
      <c r="T362" s="1"/>
      <c r="U362" s="1"/>
      <c r="V362" t="s">
        <v>4541</v>
      </c>
      <c r="W362" t="s">
        <v>4542</v>
      </c>
      <c r="X362" t="s">
        <v>3579</v>
      </c>
      <c r="Z362" t="s">
        <v>4543</v>
      </c>
    </row>
    <row r="363" spans="1:26" x14ac:dyDescent="0.2">
      <c r="A363" t="s">
        <v>4544</v>
      </c>
      <c r="B363" t="s">
        <v>4544</v>
      </c>
      <c r="C363" t="s">
        <v>4545</v>
      </c>
      <c r="D363" t="s">
        <v>4546</v>
      </c>
      <c r="E363" t="s">
        <v>4546</v>
      </c>
      <c r="G363" t="s">
        <v>56</v>
      </c>
      <c r="H363" t="s">
        <v>58</v>
      </c>
      <c r="I363" t="s">
        <v>602</v>
      </c>
      <c r="K363" t="s">
        <v>7162</v>
      </c>
      <c r="L363" t="s">
        <v>7162</v>
      </c>
      <c r="M363" s="1" t="s">
        <v>61</v>
      </c>
      <c r="N363" t="s">
        <v>4548</v>
      </c>
      <c r="O363" s="1" t="s">
        <v>4549</v>
      </c>
      <c r="P363" s="1" t="s">
        <v>64</v>
      </c>
      <c r="Q363" t="s">
        <v>7212</v>
      </c>
      <c r="R363" s="1">
        <v>655</v>
      </c>
      <c r="S363" s="1">
        <v>1693</v>
      </c>
      <c r="T363" s="1"/>
      <c r="U363" s="1"/>
      <c r="V363" t="s">
        <v>4550</v>
      </c>
      <c r="W363" t="s">
        <v>4551</v>
      </c>
      <c r="X363" t="s">
        <v>3579</v>
      </c>
      <c r="Z363" t="s">
        <v>4552</v>
      </c>
    </row>
    <row r="364" spans="1:26" x14ac:dyDescent="0.2">
      <c r="A364" t="s">
        <v>4553</v>
      </c>
      <c r="B364" t="s">
        <v>4553</v>
      </c>
      <c r="C364" t="s">
        <v>4554</v>
      </c>
      <c r="D364" t="s">
        <v>4555</v>
      </c>
      <c r="E364" t="s">
        <v>4555</v>
      </c>
      <c r="G364" t="s">
        <v>170</v>
      </c>
      <c r="H364" t="s">
        <v>93</v>
      </c>
      <c r="I364" t="s">
        <v>602</v>
      </c>
      <c r="K364" t="s">
        <v>7162</v>
      </c>
      <c r="L364" t="s">
        <v>7162</v>
      </c>
      <c r="M364" s="1" t="s">
        <v>4556</v>
      </c>
      <c r="N364" t="s">
        <v>4557</v>
      </c>
      <c r="O364" s="1" t="s">
        <v>4530</v>
      </c>
      <c r="P364" s="1" t="s">
        <v>169</v>
      </c>
      <c r="Q364" t="s">
        <v>7197</v>
      </c>
      <c r="R364" s="1">
        <v>48</v>
      </c>
      <c r="S364" s="1">
        <v>14935</v>
      </c>
      <c r="T364" s="1"/>
      <c r="U364" s="1"/>
      <c r="V364" t="s">
        <v>4558</v>
      </c>
      <c r="W364" t="s">
        <v>4559</v>
      </c>
      <c r="X364" t="s">
        <v>3579</v>
      </c>
      <c r="Z364" t="s">
        <v>4560</v>
      </c>
    </row>
    <row r="365" spans="1:26" x14ac:dyDescent="0.2">
      <c r="A365" t="s">
        <v>4561</v>
      </c>
      <c r="B365" t="s">
        <v>4561</v>
      </c>
      <c r="C365" t="s">
        <v>4562</v>
      </c>
      <c r="D365" t="s">
        <v>4563</v>
      </c>
      <c r="E365" t="s">
        <v>4563</v>
      </c>
      <c r="G365" t="s">
        <v>170</v>
      </c>
      <c r="H365" t="s">
        <v>58</v>
      </c>
      <c r="I365" t="s">
        <v>602</v>
      </c>
      <c r="K365" t="s">
        <v>7162</v>
      </c>
      <c r="L365" t="s">
        <v>7162</v>
      </c>
      <c r="M365" s="1" t="s">
        <v>4565</v>
      </c>
      <c r="N365" t="s">
        <v>4566</v>
      </c>
      <c r="O365" s="1" t="s">
        <v>4567</v>
      </c>
      <c r="P365" s="1" t="s">
        <v>169</v>
      </c>
      <c r="Q365" t="s">
        <v>7213</v>
      </c>
      <c r="R365" s="1">
        <v>678</v>
      </c>
      <c r="S365" s="1">
        <v>35116</v>
      </c>
      <c r="T365" s="1"/>
      <c r="U365" s="1"/>
      <c r="V365" t="s">
        <v>4568</v>
      </c>
      <c r="W365" t="s">
        <v>4569</v>
      </c>
      <c r="X365" t="s">
        <v>3579</v>
      </c>
      <c r="Z365" t="s">
        <v>4570</v>
      </c>
    </row>
    <row r="366" spans="1:26" x14ac:dyDescent="0.2">
      <c r="A366" t="s">
        <v>4571</v>
      </c>
      <c r="B366" t="s">
        <v>4571</v>
      </c>
      <c r="C366" t="s">
        <v>4572</v>
      </c>
      <c r="D366" t="s">
        <v>4573</v>
      </c>
      <c r="E366" t="s">
        <v>4573</v>
      </c>
      <c r="G366" t="s">
        <v>56</v>
      </c>
      <c r="H366" t="s">
        <v>93</v>
      </c>
      <c r="I366" t="s">
        <v>602</v>
      </c>
      <c r="K366" t="s">
        <v>7162</v>
      </c>
      <c r="L366" t="s">
        <v>7162</v>
      </c>
      <c r="M366" s="1" t="s">
        <v>4574</v>
      </c>
      <c r="N366" t="s">
        <v>4575</v>
      </c>
      <c r="O366" s="1" t="s">
        <v>144</v>
      </c>
      <c r="P366" s="1" t="s">
        <v>313</v>
      </c>
      <c r="Q366" t="s">
        <v>7214</v>
      </c>
      <c r="R366" s="1">
        <v>2914</v>
      </c>
      <c r="S366" s="1">
        <v>15101</v>
      </c>
      <c r="T366" s="1"/>
      <c r="U366" s="1"/>
      <c r="V366" t="s">
        <v>4576</v>
      </c>
      <c r="W366" t="s">
        <v>4577</v>
      </c>
      <c r="X366" t="s">
        <v>3579</v>
      </c>
      <c r="Z366" t="s">
        <v>4578</v>
      </c>
    </row>
    <row r="367" spans="1:26" x14ac:dyDescent="0.2">
      <c r="A367" t="s">
        <v>4579</v>
      </c>
      <c r="B367" t="s">
        <v>4579</v>
      </c>
      <c r="C367" t="s">
        <v>4580</v>
      </c>
      <c r="D367" t="s">
        <v>4581</v>
      </c>
      <c r="E367" t="s">
        <v>4581</v>
      </c>
      <c r="G367" t="s">
        <v>170</v>
      </c>
      <c r="H367" t="s">
        <v>58</v>
      </c>
      <c r="I367" t="s">
        <v>602</v>
      </c>
      <c r="K367" t="s">
        <v>7162</v>
      </c>
      <c r="L367" t="s">
        <v>7162</v>
      </c>
      <c r="M367" s="1" t="s">
        <v>4583</v>
      </c>
      <c r="N367" t="s">
        <v>4584</v>
      </c>
      <c r="O367" s="1" t="s">
        <v>4585</v>
      </c>
      <c r="P367" s="1" t="s">
        <v>169</v>
      </c>
      <c r="Q367" t="s">
        <v>7215</v>
      </c>
      <c r="R367" s="1">
        <v>342</v>
      </c>
      <c r="S367" s="1">
        <v>15060</v>
      </c>
      <c r="T367" s="1"/>
      <c r="U367" s="1"/>
      <c r="V367" t="s">
        <v>4586</v>
      </c>
      <c r="W367" t="s">
        <v>4587</v>
      </c>
      <c r="X367" t="s">
        <v>3579</v>
      </c>
      <c r="Z367" t="s">
        <v>4588</v>
      </c>
    </row>
    <row r="368" spans="1:26" x14ac:dyDescent="0.2">
      <c r="A368" t="s">
        <v>4589</v>
      </c>
      <c r="B368" t="s">
        <v>4589</v>
      </c>
      <c r="C368" t="s">
        <v>4590</v>
      </c>
      <c r="D368" t="s">
        <v>4591</v>
      </c>
      <c r="E368" t="s">
        <v>4591</v>
      </c>
      <c r="G368" t="s">
        <v>56</v>
      </c>
      <c r="H368" t="s">
        <v>93</v>
      </c>
      <c r="I368" t="s">
        <v>602</v>
      </c>
      <c r="K368" t="s">
        <v>7162</v>
      </c>
      <c r="L368" t="s">
        <v>7162</v>
      </c>
      <c r="M368" s="1" t="s">
        <v>3261</v>
      </c>
      <c r="N368" t="s">
        <v>3262</v>
      </c>
      <c r="O368" s="1" t="s">
        <v>126</v>
      </c>
      <c r="P368" s="1" t="s">
        <v>434</v>
      </c>
      <c r="Q368" t="s">
        <v>7210</v>
      </c>
      <c r="R368" s="1">
        <v>10</v>
      </c>
      <c r="S368" s="1">
        <v>35093</v>
      </c>
      <c r="T368" s="1"/>
      <c r="U368" s="1"/>
      <c r="V368" t="s">
        <v>4592</v>
      </c>
      <c r="W368" t="s">
        <v>4593</v>
      </c>
      <c r="X368" t="s">
        <v>3579</v>
      </c>
      <c r="Z368" t="s">
        <v>4594</v>
      </c>
    </row>
    <row r="369" spans="1:53" x14ac:dyDescent="0.2">
      <c r="A369" t="s">
        <v>4036</v>
      </c>
      <c r="B369" t="s">
        <v>4036</v>
      </c>
      <c r="C369" t="s">
        <v>4026</v>
      </c>
      <c r="D369" t="s">
        <v>4037</v>
      </c>
      <c r="E369" t="s">
        <v>4037</v>
      </c>
      <c r="G369" t="s">
        <v>56</v>
      </c>
      <c r="H369" t="s">
        <v>58</v>
      </c>
      <c r="I369" t="s">
        <v>3584</v>
      </c>
      <c r="J369" t="s">
        <v>3584</v>
      </c>
      <c r="K369" t="s">
        <v>7165</v>
      </c>
      <c r="L369" t="s">
        <v>7172</v>
      </c>
      <c r="M369" s="1" t="s">
        <v>4039</v>
      </c>
      <c r="N369" t="s">
        <v>4039</v>
      </c>
      <c r="O369" s="1" t="s">
        <v>144</v>
      </c>
      <c r="P369" s="1" t="s">
        <v>355</v>
      </c>
      <c r="Q369" s="11" t="s">
        <v>7198</v>
      </c>
      <c r="R369" s="1">
        <v>1294</v>
      </c>
      <c r="S369" s="1">
        <v>64900</v>
      </c>
      <c r="T369" s="1" t="s">
        <v>3265</v>
      </c>
      <c r="U369" s="1">
        <v>15263764</v>
      </c>
      <c r="V369" t="s">
        <v>4040</v>
      </c>
      <c r="W369" t="s">
        <v>4041</v>
      </c>
      <c r="X369" t="s">
        <v>68</v>
      </c>
      <c r="Y369" t="s">
        <v>4042</v>
      </c>
      <c r="Z369" t="s">
        <v>4043</v>
      </c>
      <c r="AA369" t="s">
        <v>4044</v>
      </c>
      <c r="AB369" t="s">
        <v>3439</v>
      </c>
      <c r="AC369" t="s">
        <v>73</v>
      </c>
      <c r="AD369" t="s">
        <v>4045</v>
      </c>
      <c r="AE369" t="s">
        <v>3402</v>
      </c>
      <c r="AF369" t="s">
        <v>76</v>
      </c>
      <c r="AG369" t="s">
        <v>77</v>
      </c>
      <c r="AH369" t="s">
        <v>4046</v>
      </c>
      <c r="AI369" t="s">
        <v>364</v>
      </c>
      <c r="AJ369" t="s">
        <v>3404</v>
      </c>
      <c r="AK369" t="s">
        <v>158</v>
      </c>
      <c r="AL369" t="s">
        <v>159</v>
      </c>
      <c r="AM369" t="s">
        <v>83</v>
      </c>
      <c r="AN369">
        <v>2021</v>
      </c>
      <c r="AO369">
        <v>118172</v>
      </c>
      <c r="AP369">
        <v>5068957</v>
      </c>
      <c r="AQ369">
        <v>139</v>
      </c>
      <c r="AR369" t="s">
        <v>84</v>
      </c>
      <c r="AS369">
        <v>562</v>
      </c>
      <c r="AT369" t="s">
        <v>85</v>
      </c>
      <c r="AU369" t="s">
        <v>86</v>
      </c>
      <c r="AV369">
        <v>562</v>
      </c>
      <c r="AW369" t="s">
        <v>4047</v>
      </c>
      <c r="AX369" t="s">
        <v>88</v>
      </c>
    </row>
    <row r="370" spans="1:53" x14ac:dyDescent="0.2">
      <c r="A370" t="s">
        <v>3724</v>
      </c>
      <c r="B370" t="s">
        <v>3724</v>
      </c>
      <c r="C370" t="s">
        <v>3725</v>
      </c>
      <c r="D370" t="s">
        <v>3726</v>
      </c>
      <c r="E370" t="s">
        <v>3726</v>
      </c>
      <c r="G370" t="s">
        <v>56</v>
      </c>
      <c r="H370" t="s">
        <v>58</v>
      </c>
      <c r="I370" t="s">
        <v>406</v>
      </c>
      <c r="J370" t="s">
        <v>389</v>
      </c>
      <c r="K370" t="s">
        <v>7165</v>
      </c>
      <c r="L370" t="s">
        <v>7165</v>
      </c>
      <c r="M370" s="1" t="s">
        <v>448</v>
      </c>
      <c r="N370" t="s">
        <v>448</v>
      </c>
      <c r="O370" s="1" t="s">
        <v>3090</v>
      </c>
      <c r="P370" s="1" t="s">
        <v>434</v>
      </c>
      <c r="Q370" s="11" t="s">
        <v>7199</v>
      </c>
      <c r="R370" s="1">
        <v>811</v>
      </c>
      <c r="S370" s="1">
        <v>30074</v>
      </c>
      <c r="T370" s="1" t="s">
        <v>3196</v>
      </c>
      <c r="U370" s="1">
        <v>14340781</v>
      </c>
      <c r="V370" t="s">
        <v>3728</v>
      </c>
      <c r="W370" t="s">
        <v>3729</v>
      </c>
      <c r="X370" t="s">
        <v>68</v>
      </c>
      <c r="Y370" t="s">
        <v>3730</v>
      </c>
      <c r="Z370" t="s">
        <v>3731</v>
      </c>
      <c r="AA370" t="s">
        <v>3732</v>
      </c>
      <c r="AB370" t="s">
        <v>3672</v>
      </c>
      <c r="AC370" t="s">
        <v>73</v>
      </c>
      <c r="AD370" t="s">
        <v>3733</v>
      </c>
      <c r="AE370" t="s">
        <v>75</v>
      </c>
      <c r="AF370" t="s">
        <v>76</v>
      </c>
      <c r="AG370" t="s">
        <v>77</v>
      </c>
      <c r="AH370" t="s">
        <v>3734</v>
      </c>
      <c r="AI370" t="s">
        <v>364</v>
      </c>
      <c r="AJ370" t="s">
        <v>80</v>
      </c>
      <c r="AK370" t="s">
        <v>158</v>
      </c>
      <c r="AL370" t="s">
        <v>159</v>
      </c>
      <c r="AM370" t="s">
        <v>83</v>
      </c>
      <c r="AO370">
        <v>111512</v>
      </c>
      <c r="AP370">
        <v>5538118</v>
      </c>
      <c r="AQ370">
        <v>154</v>
      </c>
      <c r="AR370" t="s">
        <v>84</v>
      </c>
      <c r="AS370">
        <v>562</v>
      </c>
      <c r="AT370" t="s">
        <v>85</v>
      </c>
      <c r="AU370" t="s">
        <v>86</v>
      </c>
      <c r="AV370">
        <v>562</v>
      </c>
      <c r="AW370" t="s">
        <v>3735</v>
      </c>
      <c r="AX370" t="s">
        <v>88</v>
      </c>
    </row>
    <row r="371" spans="1:53" x14ac:dyDescent="0.2">
      <c r="A371" t="s">
        <v>4622</v>
      </c>
      <c r="B371" t="s">
        <v>4622</v>
      </c>
      <c r="C371" t="s">
        <v>4623</v>
      </c>
      <c r="D371" t="s">
        <v>4624</v>
      </c>
      <c r="E371" t="s">
        <v>4624</v>
      </c>
      <c r="G371" t="s">
        <v>56</v>
      </c>
      <c r="H371" t="s">
        <v>58</v>
      </c>
      <c r="I371" t="s">
        <v>602</v>
      </c>
      <c r="K371" t="s">
        <v>7162</v>
      </c>
      <c r="L371" t="s">
        <v>7162</v>
      </c>
      <c r="M371" s="1" t="s">
        <v>603</v>
      </c>
      <c r="N371" t="s">
        <v>604</v>
      </c>
      <c r="O371" s="1" t="s">
        <v>875</v>
      </c>
      <c r="P371" s="1" t="s">
        <v>270</v>
      </c>
      <c r="Q371" t="s">
        <v>7200</v>
      </c>
      <c r="R371" s="1">
        <v>11</v>
      </c>
      <c r="S371" s="1">
        <v>2124</v>
      </c>
      <c r="T371" s="1"/>
      <c r="U371" s="1"/>
      <c r="V371" t="s">
        <v>4625</v>
      </c>
      <c r="W371" t="s">
        <v>4626</v>
      </c>
      <c r="X371" t="s">
        <v>3579</v>
      </c>
      <c r="Z371" t="s">
        <v>4627</v>
      </c>
    </row>
    <row r="372" spans="1:53" x14ac:dyDescent="0.2">
      <c r="A372" t="s">
        <v>4025</v>
      </c>
      <c r="B372" t="s">
        <v>4025</v>
      </c>
      <c r="C372" t="s">
        <v>4026</v>
      </c>
      <c r="D372" t="s">
        <v>4027</v>
      </c>
      <c r="E372" t="s">
        <v>4027</v>
      </c>
      <c r="G372" t="s">
        <v>56</v>
      </c>
      <c r="H372" t="s">
        <v>93</v>
      </c>
      <c r="I372" t="s">
        <v>406</v>
      </c>
      <c r="J372" t="s">
        <v>389</v>
      </c>
      <c r="K372" t="s">
        <v>7165</v>
      </c>
      <c r="L372" t="s">
        <v>7165</v>
      </c>
      <c r="M372" s="1" t="s">
        <v>448</v>
      </c>
      <c r="N372" t="s">
        <v>448</v>
      </c>
      <c r="O372" s="1" t="s">
        <v>126</v>
      </c>
      <c r="P372" s="1" t="s">
        <v>434</v>
      </c>
      <c r="Q372" s="11" t="s">
        <v>7200</v>
      </c>
      <c r="R372" s="1">
        <v>811</v>
      </c>
      <c r="S372" s="1">
        <v>38655</v>
      </c>
      <c r="T372" s="1" t="s">
        <v>3196</v>
      </c>
      <c r="U372" s="1">
        <v>15263764</v>
      </c>
      <c r="V372" t="s">
        <v>4028</v>
      </c>
      <c r="W372" t="s">
        <v>4029</v>
      </c>
      <c r="X372" t="s">
        <v>68</v>
      </c>
      <c r="Y372" t="s">
        <v>4030</v>
      </c>
      <c r="Z372" t="s">
        <v>4031</v>
      </c>
      <c r="AA372" t="s">
        <v>4032</v>
      </c>
      <c r="AB372" t="s">
        <v>3672</v>
      </c>
      <c r="AC372" t="s">
        <v>73</v>
      </c>
      <c r="AD372" t="s">
        <v>4033</v>
      </c>
      <c r="AF372" t="s">
        <v>76</v>
      </c>
      <c r="AG372" t="s">
        <v>77</v>
      </c>
      <c r="AH372" t="s">
        <v>4034</v>
      </c>
      <c r="AI372" t="s">
        <v>156</v>
      </c>
      <c r="AJ372" t="s">
        <v>531</v>
      </c>
      <c r="AK372" t="s">
        <v>532</v>
      </c>
      <c r="AL372" t="s">
        <v>533</v>
      </c>
      <c r="AM372" t="s">
        <v>83</v>
      </c>
      <c r="AO372">
        <v>94435</v>
      </c>
      <c r="AP372">
        <v>5387050</v>
      </c>
      <c r="AQ372">
        <v>190</v>
      </c>
      <c r="AR372" t="s">
        <v>84</v>
      </c>
      <c r="AS372">
        <v>562</v>
      </c>
      <c r="AT372" t="s">
        <v>85</v>
      </c>
      <c r="AU372" t="s">
        <v>86</v>
      </c>
      <c r="AV372">
        <v>562</v>
      </c>
      <c r="AW372" t="s">
        <v>4035</v>
      </c>
      <c r="AX372" t="s">
        <v>88</v>
      </c>
    </row>
    <row r="373" spans="1:53" x14ac:dyDescent="0.2">
      <c r="A373" t="s">
        <v>3664</v>
      </c>
      <c r="B373" t="s">
        <v>3664</v>
      </c>
      <c r="C373" t="s">
        <v>3665</v>
      </c>
      <c r="D373" t="s">
        <v>3666</v>
      </c>
      <c r="E373" t="s">
        <v>3666</v>
      </c>
      <c r="G373" t="s">
        <v>56</v>
      </c>
      <c r="H373" t="s">
        <v>58</v>
      </c>
      <c r="I373" t="s">
        <v>406</v>
      </c>
      <c r="J373" t="s">
        <v>389</v>
      </c>
      <c r="K373" t="s">
        <v>7165</v>
      </c>
      <c r="L373" t="s">
        <v>7165</v>
      </c>
      <c r="M373" s="1" t="s">
        <v>3461</v>
      </c>
      <c r="N373" t="s">
        <v>3461</v>
      </c>
      <c r="O373" s="1" t="s">
        <v>3090</v>
      </c>
      <c r="P373" s="1" t="s">
        <v>434</v>
      </c>
      <c r="Q373" s="11" t="s">
        <v>7200</v>
      </c>
      <c r="R373" s="1">
        <v>10</v>
      </c>
      <c r="S373" s="1">
        <v>29474</v>
      </c>
      <c r="T373" s="1" t="s">
        <v>3265</v>
      </c>
      <c r="U373" s="1">
        <v>14003015</v>
      </c>
      <c r="V373" t="s">
        <v>3667</v>
      </c>
      <c r="W373" t="s">
        <v>3668</v>
      </c>
      <c r="X373" t="s">
        <v>68</v>
      </c>
      <c r="Y373" t="s">
        <v>3669</v>
      </c>
      <c r="Z373" t="s">
        <v>3670</v>
      </c>
      <c r="AA373" t="s">
        <v>3671</v>
      </c>
      <c r="AB373" t="s">
        <v>3672</v>
      </c>
      <c r="AC373" t="s">
        <v>73</v>
      </c>
      <c r="AD373" t="s">
        <v>3673</v>
      </c>
      <c r="AF373" t="s">
        <v>76</v>
      </c>
      <c r="AG373" t="s">
        <v>77</v>
      </c>
      <c r="AH373" t="s">
        <v>3468</v>
      </c>
      <c r="AI373" t="s">
        <v>79</v>
      </c>
      <c r="AJ373" t="s">
        <v>531</v>
      </c>
      <c r="AK373" t="s">
        <v>158</v>
      </c>
      <c r="AL373" t="s">
        <v>159</v>
      </c>
      <c r="AM373" t="s">
        <v>83</v>
      </c>
      <c r="AO373">
        <v>115096</v>
      </c>
      <c r="AP373">
        <v>5492768</v>
      </c>
      <c r="AQ373">
        <v>214</v>
      </c>
      <c r="AR373" t="s">
        <v>84</v>
      </c>
      <c r="AS373">
        <v>562</v>
      </c>
      <c r="AT373" t="s">
        <v>85</v>
      </c>
      <c r="AU373" t="s">
        <v>86</v>
      </c>
      <c r="AV373">
        <v>562</v>
      </c>
      <c r="AW373" t="s">
        <v>3674</v>
      </c>
      <c r="AX373" t="s">
        <v>88</v>
      </c>
      <c r="AZ373" t="s">
        <v>3470</v>
      </c>
      <c r="BA373">
        <v>1</v>
      </c>
    </row>
    <row r="374" spans="1:53" x14ac:dyDescent="0.2">
      <c r="A374" t="s">
        <v>6344</v>
      </c>
      <c r="B374" t="s">
        <v>6345</v>
      </c>
      <c r="C374" t="s">
        <v>6346</v>
      </c>
      <c r="D374" t="s">
        <v>6347</v>
      </c>
      <c r="E374" t="s">
        <v>6347</v>
      </c>
      <c r="G374" t="s">
        <v>56</v>
      </c>
      <c r="H374" t="s">
        <v>93</v>
      </c>
      <c r="I374" t="s">
        <v>406</v>
      </c>
      <c r="J374" t="s">
        <v>6348</v>
      </c>
      <c r="K374" t="s">
        <v>7165</v>
      </c>
      <c r="L374" t="s">
        <v>7172</v>
      </c>
      <c r="M374" s="1" t="s">
        <v>208</v>
      </c>
      <c r="N374" t="s">
        <v>209</v>
      </c>
      <c r="O374" s="1" t="s">
        <v>234</v>
      </c>
      <c r="P374" s="1" t="s">
        <v>167</v>
      </c>
      <c r="Q374" s="11" t="s">
        <v>7201</v>
      </c>
      <c r="R374" s="1">
        <v>675</v>
      </c>
      <c r="S374" s="1">
        <v>168719</v>
      </c>
      <c r="T374" s="1" t="s">
        <v>235</v>
      </c>
      <c r="U374" s="1" t="s">
        <v>6349</v>
      </c>
      <c r="V374" t="s">
        <v>6350</v>
      </c>
      <c r="W374" t="s">
        <v>6351</v>
      </c>
      <c r="X374" t="s">
        <v>68</v>
      </c>
      <c r="Y374" t="s">
        <v>6352</v>
      </c>
      <c r="Z374" t="s">
        <v>6353</v>
      </c>
      <c r="AA374" t="s">
        <v>6354</v>
      </c>
      <c r="AB374" t="s">
        <v>6355</v>
      </c>
      <c r="AC374" t="s">
        <v>73</v>
      </c>
      <c r="AD374" t="s">
        <v>6356</v>
      </c>
      <c r="AE374" t="s">
        <v>75</v>
      </c>
      <c r="AF374" t="s">
        <v>76</v>
      </c>
      <c r="AG374" t="s">
        <v>77</v>
      </c>
      <c r="AH374" t="s">
        <v>6357</v>
      </c>
      <c r="AI374" t="s">
        <v>156</v>
      </c>
      <c r="AJ374" t="s">
        <v>80</v>
      </c>
      <c r="AK374" t="s">
        <v>158</v>
      </c>
      <c r="AL374" t="s">
        <v>159</v>
      </c>
      <c r="AM374" t="s">
        <v>83</v>
      </c>
      <c r="AO374">
        <v>140852</v>
      </c>
      <c r="AP374">
        <v>5491462</v>
      </c>
      <c r="AQ374">
        <v>186</v>
      </c>
      <c r="AR374" t="s">
        <v>84</v>
      </c>
      <c r="AS374">
        <v>562</v>
      </c>
      <c r="AT374" t="s">
        <v>85</v>
      </c>
      <c r="AU374" t="s">
        <v>86</v>
      </c>
      <c r="AV374">
        <v>562</v>
      </c>
      <c r="AW374" t="s">
        <v>6358</v>
      </c>
      <c r="AX374" t="s">
        <v>88</v>
      </c>
    </row>
    <row r="375" spans="1:53" x14ac:dyDescent="0.2">
      <c r="A375" t="s">
        <v>3931</v>
      </c>
      <c r="B375" t="s">
        <v>3931</v>
      </c>
      <c r="C375" t="s">
        <v>3932</v>
      </c>
      <c r="D375" t="s">
        <v>3933</v>
      </c>
      <c r="E375" t="s">
        <v>3933</v>
      </c>
      <c r="G375" t="s">
        <v>56</v>
      </c>
      <c r="H375" t="s">
        <v>93</v>
      </c>
      <c r="I375" t="s">
        <v>406</v>
      </c>
      <c r="J375" t="s">
        <v>389</v>
      </c>
      <c r="K375" t="s">
        <v>7165</v>
      </c>
      <c r="L375" t="s">
        <v>7165</v>
      </c>
      <c r="M375" s="1" t="s">
        <v>208</v>
      </c>
      <c r="N375" t="s">
        <v>208</v>
      </c>
      <c r="O375" s="1" t="s">
        <v>3677</v>
      </c>
      <c r="P375" s="1" t="s">
        <v>3649</v>
      </c>
      <c r="Q375" s="11" t="s">
        <v>7202</v>
      </c>
      <c r="R375" s="1">
        <v>675</v>
      </c>
      <c r="S375" s="1">
        <v>14960</v>
      </c>
      <c r="T375" s="1" t="s">
        <v>235</v>
      </c>
      <c r="U375" s="1">
        <v>14908038</v>
      </c>
      <c r="V375" t="s">
        <v>3935</v>
      </c>
      <c r="W375" t="s">
        <v>3936</v>
      </c>
      <c r="X375" t="s">
        <v>68</v>
      </c>
      <c r="Y375" t="s">
        <v>3937</v>
      </c>
      <c r="Z375" t="s">
        <v>3938</v>
      </c>
      <c r="AA375" t="s">
        <v>3939</v>
      </c>
      <c r="AB375" t="s">
        <v>3235</v>
      </c>
      <c r="AC375" t="s">
        <v>73</v>
      </c>
      <c r="AD375" t="s">
        <v>3940</v>
      </c>
      <c r="AE375" t="s">
        <v>75</v>
      </c>
      <c r="AF375" t="s">
        <v>76</v>
      </c>
      <c r="AG375" t="s">
        <v>77</v>
      </c>
      <c r="AH375" t="s">
        <v>3941</v>
      </c>
      <c r="AI375" t="s">
        <v>156</v>
      </c>
      <c r="AJ375" t="s">
        <v>80</v>
      </c>
      <c r="AK375" t="s">
        <v>158</v>
      </c>
      <c r="AL375" t="s">
        <v>159</v>
      </c>
      <c r="AM375" t="s">
        <v>83</v>
      </c>
      <c r="AO375">
        <v>135641</v>
      </c>
      <c r="AP375">
        <v>5317112</v>
      </c>
      <c r="AQ375">
        <v>148</v>
      </c>
      <c r="AR375" t="s">
        <v>84</v>
      </c>
      <c r="AS375">
        <v>562</v>
      </c>
      <c r="AT375" t="s">
        <v>85</v>
      </c>
      <c r="AU375" t="s">
        <v>86</v>
      </c>
      <c r="AV375">
        <v>562</v>
      </c>
      <c r="AW375" t="s">
        <v>3942</v>
      </c>
      <c r="AX375" t="s">
        <v>88</v>
      </c>
    </row>
    <row r="376" spans="1:53" x14ac:dyDescent="0.2">
      <c r="A376" t="s">
        <v>3225</v>
      </c>
      <c r="B376" t="s">
        <v>3225</v>
      </c>
      <c r="C376" t="s">
        <v>3226</v>
      </c>
      <c r="D376" t="s">
        <v>3227</v>
      </c>
      <c r="E376" t="s">
        <v>3227</v>
      </c>
      <c r="G376" t="s">
        <v>56</v>
      </c>
      <c r="H376" t="s">
        <v>58</v>
      </c>
      <c r="I376" t="s">
        <v>406</v>
      </c>
      <c r="J376" t="s">
        <v>389</v>
      </c>
      <c r="K376" t="s">
        <v>7165</v>
      </c>
      <c r="L376" t="s">
        <v>7165</v>
      </c>
      <c r="M376" s="1" t="s">
        <v>208</v>
      </c>
      <c r="N376" t="s">
        <v>209</v>
      </c>
      <c r="O376" s="1" t="s">
        <v>234</v>
      </c>
      <c r="P376" s="1" t="s">
        <v>167</v>
      </c>
      <c r="Q376" s="11" t="s">
        <v>7201</v>
      </c>
      <c r="R376" s="1">
        <v>675</v>
      </c>
      <c r="S376" s="1">
        <v>168721</v>
      </c>
      <c r="T376" s="1" t="s">
        <v>3229</v>
      </c>
      <c r="U376" s="1">
        <v>11439913</v>
      </c>
      <c r="V376" t="s">
        <v>3230</v>
      </c>
      <c r="W376" t="s">
        <v>3231</v>
      </c>
      <c r="X376" t="s">
        <v>68</v>
      </c>
      <c r="Y376" t="s">
        <v>3232</v>
      </c>
      <c r="Z376" t="s">
        <v>3233</v>
      </c>
      <c r="AA376" t="s">
        <v>3234</v>
      </c>
      <c r="AB376" t="s">
        <v>3235</v>
      </c>
      <c r="AC376" t="s">
        <v>73</v>
      </c>
      <c r="AD376" t="s">
        <v>3236</v>
      </c>
      <c r="AE376" t="s">
        <v>2095</v>
      </c>
      <c r="AF376" t="s">
        <v>76</v>
      </c>
      <c r="AG376" t="s">
        <v>77</v>
      </c>
      <c r="AH376" t="s">
        <v>3237</v>
      </c>
      <c r="AI376" t="s">
        <v>364</v>
      </c>
      <c r="AJ376" t="s">
        <v>3238</v>
      </c>
      <c r="AK376" t="s">
        <v>158</v>
      </c>
      <c r="AL376" t="s">
        <v>159</v>
      </c>
      <c r="AM376" t="s">
        <v>83</v>
      </c>
      <c r="AO376">
        <v>140844</v>
      </c>
      <c r="AP376">
        <v>5573635</v>
      </c>
      <c r="AQ376">
        <v>148</v>
      </c>
      <c r="AR376" t="s">
        <v>84</v>
      </c>
      <c r="AS376">
        <v>562</v>
      </c>
      <c r="AT376" t="s">
        <v>85</v>
      </c>
      <c r="AU376" t="s">
        <v>86</v>
      </c>
      <c r="AV376">
        <v>562</v>
      </c>
      <c r="AW376" t="s">
        <v>3239</v>
      </c>
      <c r="AX376" t="s">
        <v>88</v>
      </c>
    </row>
    <row r="377" spans="1:53" x14ac:dyDescent="0.2">
      <c r="A377" t="s">
        <v>4689</v>
      </c>
      <c r="B377" t="s">
        <v>4689</v>
      </c>
      <c r="C377" t="s">
        <v>4690</v>
      </c>
      <c r="D377" t="s">
        <v>4691</v>
      </c>
      <c r="E377" t="s">
        <v>4691</v>
      </c>
      <c r="G377" t="s">
        <v>56</v>
      </c>
      <c r="H377" t="s">
        <v>58</v>
      </c>
      <c r="I377" t="s">
        <v>602</v>
      </c>
      <c r="K377" t="s">
        <v>7162</v>
      </c>
      <c r="L377" t="s">
        <v>7162</v>
      </c>
      <c r="M377" s="1" t="s">
        <v>4511</v>
      </c>
      <c r="N377" t="s">
        <v>4692</v>
      </c>
      <c r="O377" s="1" t="s">
        <v>4513</v>
      </c>
      <c r="P377" s="1" t="s">
        <v>250</v>
      </c>
      <c r="Q377" t="s">
        <v>7200</v>
      </c>
      <c r="R377" s="1">
        <v>16</v>
      </c>
      <c r="S377" s="1">
        <v>35094</v>
      </c>
      <c r="T377" s="1"/>
      <c r="U377" s="1"/>
      <c r="V377" t="s">
        <v>4693</v>
      </c>
      <c r="W377" t="s">
        <v>4694</v>
      </c>
      <c r="X377" t="s">
        <v>3579</v>
      </c>
      <c r="Z377" t="s">
        <v>4695</v>
      </c>
    </row>
    <row r="378" spans="1:53" x14ac:dyDescent="0.2">
      <c r="A378" t="s">
        <v>4696</v>
      </c>
      <c r="B378" t="s">
        <v>4696</v>
      </c>
      <c r="C378" t="s">
        <v>4697</v>
      </c>
      <c r="D378" t="s">
        <v>4698</v>
      </c>
      <c r="E378" t="s">
        <v>4698</v>
      </c>
      <c r="G378" t="s">
        <v>56</v>
      </c>
      <c r="H378" t="s">
        <v>93</v>
      </c>
      <c r="I378" t="s">
        <v>602</v>
      </c>
      <c r="K378" t="s">
        <v>7162</v>
      </c>
      <c r="L378" t="s">
        <v>7162</v>
      </c>
      <c r="M378" s="1" t="s">
        <v>4699</v>
      </c>
      <c r="N378" t="s">
        <v>4700</v>
      </c>
      <c r="O378" s="1" t="s">
        <v>144</v>
      </c>
      <c r="P378" s="1" t="s">
        <v>3649</v>
      </c>
      <c r="Q378" t="s">
        <v>7200</v>
      </c>
      <c r="R378" s="1">
        <v>33</v>
      </c>
      <c r="S378" s="1">
        <v>35118</v>
      </c>
      <c r="T378" s="1"/>
      <c r="U378" s="1"/>
      <c r="V378" t="s">
        <v>4702</v>
      </c>
      <c r="W378" t="s">
        <v>4703</v>
      </c>
      <c r="X378" t="s">
        <v>3579</v>
      </c>
      <c r="Z378" t="s">
        <v>4704</v>
      </c>
    </row>
    <row r="379" spans="1:53" x14ac:dyDescent="0.2">
      <c r="A379" t="s">
        <v>4705</v>
      </c>
      <c r="B379" t="s">
        <v>4705</v>
      </c>
      <c r="C379" t="s">
        <v>4706</v>
      </c>
      <c r="D379" t="s">
        <v>4707</v>
      </c>
      <c r="E379" t="s">
        <v>4707</v>
      </c>
      <c r="G379" t="s">
        <v>56</v>
      </c>
      <c r="H379" t="s">
        <v>58</v>
      </c>
      <c r="I379" t="s">
        <v>602</v>
      </c>
      <c r="K379" t="s">
        <v>7162</v>
      </c>
      <c r="L379" t="s">
        <v>7162</v>
      </c>
      <c r="M379" s="1" t="s">
        <v>61</v>
      </c>
      <c r="N379" t="s">
        <v>4548</v>
      </c>
      <c r="O379" s="1" t="s">
        <v>4549</v>
      </c>
      <c r="P379" s="1" t="s">
        <v>64</v>
      </c>
      <c r="Q379" t="s">
        <v>7214</v>
      </c>
      <c r="R379" s="1">
        <v>655</v>
      </c>
      <c r="S379" s="1">
        <v>1692</v>
      </c>
      <c r="T379" s="1"/>
      <c r="U379" s="1"/>
      <c r="V379" t="s">
        <v>4708</v>
      </c>
      <c r="W379" t="s">
        <v>4709</v>
      </c>
      <c r="X379" t="s">
        <v>3579</v>
      </c>
      <c r="Z379" t="s">
        <v>4710</v>
      </c>
    </row>
    <row r="380" spans="1:53" x14ac:dyDescent="0.2">
      <c r="A380" t="s">
        <v>4711</v>
      </c>
      <c r="B380" t="s">
        <v>4711</v>
      </c>
      <c r="C380" t="s">
        <v>4712</v>
      </c>
      <c r="D380" t="s">
        <v>4713</v>
      </c>
      <c r="E380" t="s">
        <v>4713</v>
      </c>
      <c r="G380" t="s">
        <v>56</v>
      </c>
      <c r="H380" t="s">
        <v>93</v>
      </c>
      <c r="I380" t="s">
        <v>602</v>
      </c>
      <c r="K380" t="s">
        <v>7162</v>
      </c>
      <c r="L380" t="s">
        <v>7162</v>
      </c>
      <c r="M380" s="1" t="s">
        <v>4574</v>
      </c>
      <c r="N380" t="s">
        <v>4575</v>
      </c>
      <c r="O380" s="1" t="s">
        <v>144</v>
      </c>
      <c r="P380" s="1" t="s">
        <v>313</v>
      </c>
      <c r="Q380" t="s">
        <v>7200</v>
      </c>
      <c r="R380" s="1">
        <v>2914</v>
      </c>
      <c r="S380" s="1">
        <v>15101</v>
      </c>
      <c r="T380" s="1"/>
      <c r="U380" s="1"/>
      <c r="V380" t="s">
        <v>4714</v>
      </c>
      <c r="W380" t="s">
        <v>4715</v>
      </c>
      <c r="X380" t="s">
        <v>3579</v>
      </c>
      <c r="Z380" t="s">
        <v>4716</v>
      </c>
    </row>
    <row r="381" spans="1:53" x14ac:dyDescent="0.2">
      <c r="A381" t="s">
        <v>4717</v>
      </c>
      <c r="B381" t="s">
        <v>4717</v>
      </c>
      <c r="C381" t="s">
        <v>4718</v>
      </c>
      <c r="D381" t="s">
        <v>4719</v>
      </c>
      <c r="E381" t="s">
        <v>4719</v>
      </c>
      <c r="G381" t="s">
        <v>56</v>
      </c>
      <c r="H381" t="s">
        <v>93</v>
      </c>
      <c r="I381" t="s">
        <v>602</v>
      </c>
      <c r="K381" t="s">
        <v>7162</v>
      </c>
      <c r="L381" t="s">
        <v>7162</v>
      </c>
      <c r="M381" s="1" t="s">
        <v>4492</v>
      </c>
      <c r="N381" t="s">
        <v>4493</v>
      </c>
      <c r="O381" s="1" t="s">
        <v>4494</v>
      </c>
      <c r="P381" s="1" t="s">
        <v>250</v>
      </c>
      <c r="Q381" t="s">
        <v>7216</v>
      </c>
      <c r="R381" s="1">
        <v>17</v>
      </c>
      <c r="S381" s="1">
        <v>15619</v>
      </c>
      <c r="T381" s="1"/>
      <c r="U381" s="1"/>
      <c r="V381" t="s">
        <v>4720</v>
      </c>
      <c r="W381" t="s">
        <v>4721</v>
      </c>
      <c r="X381" t="s">
        <v>3579</v>
      </c>
      <c r="Z381" t="s">
        <v>4722</v>
      </c>
    </row>
    <row r="382" spans="1:53" x14ac:dyDescent="0.2">
      <c r="A382" t="s">
        <v>4723</v>
      </c>
      <c r="B382" t="s">
        <v>4723</v>
      </c>
      <c r="C382" t="s">
        <v>4724</v>
      </c>
      <c r="D382" t="s">
        <v>4725</v>
      </c>
      <c r="E382" t="s">
        <v>4725</v>
      </c>
      <c r="G382" t="s">
        <v>56</v>
      </c>
      <c r="H382" t="s">
        <v>58</v>
      </c>
      <c r="I382" t="s">
        <v>602</v>
      </c>
      <c r="K382" t="s">
        <v>7162</v>
      </c>
      <c r="L382" t="s">
        <v>7162</v>
      </c>
      <c r="M382" s="1" t="s">
        <v>603</v>
      </c>
      <c r="N382" t="s">
        <v>649</v>
      </c>
      <c r="O382" s="1" t="s">
        <v>875</v>
      </c>
      <c r="P382" s="1" t="s">
        <v>64</v>
      </c>
      <c r="Q382" t="s">
        <v>7217</v>
      </c>
      <c r="R382" s="1">
        <v>11</v>
      </c>
      <c r="S382" s="1">
        <v>2130</v>
      </c>
      <c r="T382" s="1"/>
      <c r="U382" s="1"/>
      <c r="V382" t="s">
        <v>4726</v>
      </c>
      <c r="W382" t="s">
        <v>4727</v>
      </c>
      <c r="X382" t="s">
        <v>3579</v>
      </c>
      <c r="Z382" t="s">
        <v>4728</v>
      </c>
    </row>
    <row r="383" spans="1:53" x14ac:dyDescent="0.2">
      <c r="A383" t="s">
        <v>4729</v>
      </c>
      <c r="B383" t="s">
        <v>4729</v>
      </c>
      <c r="C383" t="s">
        <v>4730</v>
      </c>
      <c r="D383" t="s">
        <v>4731</v>
      </c>
      <c r="E383" t="s">
        <v>4731</v>
      </c>
      <c r="G383" t="s">
        <v>56</v>
      </c>
      <c r="H383" t="s">
        <v>93</v>
      </c>
      <c r="I383" t="s">
        <v>602</v>
      </c>
      <c r="K383" t="s">
        <v>7162</v>
      </c>
      <c r="L383" t="s">
        <v>7162</v>
      </c>
      <c r="M383" s="1" t="s">
        <v>4732</v>
      </c>
      <c r="N383" t="s">
        <v>4733</v>
      </c>
      <c r="O383" s="1" t="s">
        <v>4494</v>
      </c>
      <c r="P383" s="1" t="s">
        <v>250</v>
      </c>
      <c r="Q383" t="s">
        <v>7218</v>
      </c>
      <c r="R383" s="1">
        <v>335</v>
      </c>
      <c r="S383" s="1">
        <v>14938</v>
      </c>
      <c r="T383" s="1"/>
      <c r="U383" s="1"/>
      <c r="V383" t="s">
        <v>4734</v>
      </c>
      <c r="W383" t="s">
        <v>4735</v>
      </c>
      <c r="X383" t="s">
        <v>3579</v>
      </c>
      <c r="Z383" t="s">
        <v>4736</v>
      </c>
    </row>
    <row r="384" spans="1:53" x14ac:dyDescent="0.2">
      <c r="A384" t="s">
        <v>4737</v>
      </c>
      <c r="B384" t="s">
        <v>4737</v>
      </c>
      <c r="C384" t="s">
        <v>4738</v>
      </c>
      <c r="D384" t="s">
        <v>4739</v>
      </c>
      <c r="E384" t="s">
        <v>4739</v>
      </c>
      <c r="G384" t="s">
        <v>56</v>
      </c>
      <c r="H384" t="s">
        <v>58</v>
      </c>
      <c r="I384" t="s">
        <v>602</v>
      </c>
      <c r="K384" t="s">
        <v>7162</v>
      </c>
      <c r="L384" t="s">
        <v>7162</v>
      </c>
      <c r="M384" s="1" t="s">
        <v>4538</v>
      </c>
      <c r="N384" t="s">
        <v>169</v>
      </c>
      <c r="O384" s="1" t="s">
        <v>4741</v>
      </c>
      <c r="P384" s="1" t="s">
        <v>250</v>
      </c>
      <c r="Q384" t="s">
        <v>7219</v>
      </c>
      <c r="R384" s="1">
        <v>21</v>
      </c>
      <c r="S384" s="1">
        <v>2264</v>
      </c>
      <c r="T384" s="1"/>
      <c r="U384" s="1"/>
      <c r="V384" t="s">
        <v>4742</v>
      </c>
      <c r="W384" t="s">
        <v>4743</v>
      </c>
      <c r="X384" t="s">
        <v>3579</v>
      </c>
      <c r="Z384" t="s">
        <v>4744</v>
      </c>
    </row>
    <row r="385" spans="1:50" x14ac:dyDescent="0.2">
      <c r="A385" t="s">
        <v>4745</v>
      </c>
      <c r="B385" t="s">
        <v>4745</v>
      </c>
      <c r="C385" t="s">
        <v>4746</v>
      </c>
      <c r="D385" t="s">
        <v>4747</v>
      </c>
      <c r="E385" t="s">
        <v>4747</v>
      </c>
      <c r="G385" t="s">
        <v>56</v>
      </c>
      <c r="H385" t="s">
        <v>93</v>
      </c>
      <c r="I385" t="s">
        <v>602</v>
      </c>
      <c r="K385" t="s">
        <v>7162</v>
      </c>
      <c r="L385" t="s">
        <v>7162</v>
      </c>
      <c r="M385" s="1" t="s">
        <v>4223</v>
      </c>
      <c r="N385" t="s">
        <v>4224</v>
      </c>
      <c r="O385" s="1" t="s">
        <v>4225</v>
      </c>
      <c r="P385" s="1" t="s">
        <v>4226</v>
      </c>
      <c r="Q385" t="s">
        <v>7200</v>
      </c>
      <c r="R385" s="1">
        <v>722</v>
      </c>
      <c r="S385" s="1">
        <v>2145</v>
      </c>
      <c r="T385" s="1"/>
      <c r="U385" s="1"/>
      <c r="V385" t="s">
        <v>4748</v>
      </c>
      <c r="W385" t="s">
        <v>4749</v>
      </c>
      <c r="X385" t="s">
        <v>3579</v>
      </c>
      <c r="Z385" t="s">
        <v>4750</v>
      </c>
    </row>
    <row r="386" spans="1:50" x14ac:dyDescent="0.2">
      <c r="A386" t="s">
        <v>4751</v>
      </c>
      <c r="B386" t="s">
        <v>4751</v>
      </c>
      <c r="C386" t="s">
        <v>4752</v>
      </c>
      <c r="D386" t="s">
        <v>4753</v>
      </c>
      <c r="E386" t="s">
        <v>4753</v>
      </c>
      <c r="G386" t="s">
        <v>170</v>
      </c>
      <c r="H386" t="s">
        <v>93</v>
      </c>
      <c r="I386" t="s">
        <v>602</v>
      </c>
      <c r="K386" t="s">
        <v>7162</v>
      </c>
      <c r="L386" t="s">
        <v>7162</v>
      </c>
      <c r="M386" s="1" t="s">
        <v>4754</v>
      </c>
      <c r="N386" t="s">
        <v>4755</v>
      </c>
      <c r="O386" s="1" t="s">
        <v>4567</v>
      </c>
      <c r="P386" s="1" t="s">
        <v>169</v>
      </c>
      <c r="Q386" t="s">
        <v>7220</v>
      </c>
      <c r="R386" s="1">
        <v>10</v>
      </c>
      <c r="S386" s="1">
        <v>35095</v>
      </c>
      <c r="T386" s="1"/>
      <c r="U386" s="1"/>
      <c r="V386" t="s">
        <v>4756</v>
      </c>
      <c r="W386" t="s">
        <v>4757</v>
      </c>
      <c r="X386" t="s">
        <v>3579</v>
      </c>
      <c r="Z386" t="s">
        <v>4758</v>
      </c>
    </row>
    <row r="387" spans="1:50" x14ac:dyDescent="0.2">
      <c r="A387" t="s">
        <v>4759</v>
      </c>
      <c r="B387" t="s">
        <v>4759</v>
      </c>
      <c r="C387" t="s">
        <v>4760</v>
      </c>
      <c r="D387" t="s">
        <v>4761</v>
      </c>
      <c r="E387" t="s">
        <v>4761</v>
      </c>
      <c r="G387" t="s">
        <v>56</v>
      </c>
      <c r="H387" t="s">
        <v>58</v>
      </c>
      <c r="I387" t="s">
        <v>602</v>
      </c>
      <c r="K387" t="s">
        <v>7162</v>
      </c>
      <c r="L387" t="s">
        <v>7162</v>
      </c>
      <c r="M387" s="1" t="s">
        <v>4511</v>
      </c>
      <c r="N387" t="s">
        <v>4512</v>
      </c>
      <c r="O387" s="1" t="s">
        <v>4513</v>
      </c>
      <c r="P387" s="1" t="s">
        <v>250</v>
      </c>
      <c r="Q387" t="s">
        <v>7221</v>
      </c>
      <c r="R387" s="1">
        <v>16</v>
      </c>
      <c r="S387" s="1">
        <v>35108</v>
      </c>
      <c r="T387" s="1"/>
      <c r="U387" s="1"/>
      <c r="V387" t="s">
        <v>4762</v>
      </c>
      <c r="W387" t="s">
        <v>4763</v>
      </c>
      <c r="X387" t="s">
        <v>3579</v>
      </c>
      <c r="Z387" t="s">
        <v>4764</v>
      </c>
    </row>
    <row r="388" spans="1:50" x14ac:dyDescent="0.2">
      <c r="A388" t="s">
        <v>4765</v>
      </c>
      <c r="B388" t="s">
        <v>4765</v>
      </c>
      <c r="C388" t="s">
        <v>4766</v>
      </c>
      <c r="D388" t="s">
        <v>4767</v>
      </c>
      <c r="E388" t="s">
        <v>4767</v>
      </c>
      <c r="G388" t="s">
        <v>56</v>
      </c>
      <c r="H388" t="s">
        <v>58</v>
      </c>
      <c r="I388" t="s">
        <v>602</v>
      </c>
      <c r="K388" t="s">
        <v>7162</v>
      </c>
      <c r="L388" t="s">
        <v>7162</v>
      </c>
      <c r="M388" s="1" t="s">
        <v>4768</v>
      </c>
      <c r="N388" t="s">
        <v>4539</v>
      </c>
      <c r="O388" s="1" t="s">
        <v>4540</v>
      </c>
      <c r="P388" s="1" t="s">
        <v>64</v>
      </c>
      <c r="Q388" t="s">
        <v>7221</v>
      </c>
      <c r="R388" s="1">
        <v>21</v>
      </c>
      <c r="S388" s="1">
        <v>2264</v>
      </c>
      <c r="T388" s="1"/>
      <c r="U388" s="1"/>
      <c r="V388" t="s">
        <v>4769</v>
      </c>
      <c r="W388" t="s">
        <v>4770</v>
      </c>
      <c r="X388" t="s">
        <v>3579</v>
      </c>
      <c r="Z388" t="s">
        <v>4771</v>
      </c>
    </row>
    <row r="389" spans="1:50" x14ac:dyDescent="0.2">
      <c r="A389" t="s">
        <v>4772</v>
      </c>
      <c r="B389" t="s">
        <v>4772</v>
      </c>
      <c r="C389" t="s">
        <v>4773</v>
      </c>
      <c r="D389" t="s">
        <v>4774</v>
      </c>
      <c r="E389" t="s">
        <v>4774</v>
      </c>
      <c r="G389" t="s">
        <v>56</v>
      </c>
      <c r="H389" t="s">
        <v>93</v>
      </c>
      <c r="I389" t="s">
        <v>602</v>
      </c>
      <c r="K389" t="s">
        <v>7162</v>
      </c>
      <c r="L389" t="s">
        <v>7162</v>
      </c>
      <c r="M389" s="1" t="s">
        <v>353</v>
      </c>
      <c r="N389" t="s">
        <v>354</v>
      </c>
      <c r="O389" s="1" t="s">
        <v>144</v>
      </c>
      <c r="P389" s="1" t="s">
        <v>3649</v>
      </c>
      <c r="Q389" t="s">
        <v>7222</v>
      </c>
      <c r="R389" s="1">
        <v>677</v>
      </c>
      <c r="S389" s="1">
        <v>15649</v>
      </c>
      <c r="T389" s="1"/>
      <c r="U389" s="1"/>
      <c r="V389" t="s">
        <v>4775</v>
      </c>
      <c r="W389" t="s">
        <v>4776</v>
      </c>
      <c r="X389" t="s">
        <v>3579</v>
      </c>
      <c r="Z389" t="s">
        <v>4777</v>
      </c>
    </row>
    <row r="390" spans="1:50" x14ac:dyDescent="0.2">
      <c r="A390" t="s">
        <v>4778</v>
      </c>
      <c r="B390" t="s">
        <v>4778</v>
      </c>
      <c r="C390" t="s">
        <v>4779</v>
      </c>
      <c r="D390" t="s">
        <v>4780</v>
      </c>
      <c r="E390" t="s">
        <v>4780</v>
      </c>
      <c r="G390" t="s">
        <v>56</v>
      </c>
      <c r="H390" t="s">
        <v>93</v>
      </c>
      <c r="I390" t="s">
        <v>602</v>
      </c>
      <c r="K390" t="s">
        <v>7162</v>
      </c>
      <c r="L390" t="s">
        <v>7162</v>
      </c>
      <c r="M390" s="1" t="s">
        <v>4213</v>
      </c>
      <c r="N390" t="s">
        <v>4214</v>
      </c>
      <c r="O390" s="1" t="s">
        <v>126</v>
      </c>
      <c r="P390" s="1" t="s">
        <v>434</v>
      </c>
      <c r="Q390" t="s">
        <v>7223</v>
      </c>
      <c r="R390" s="1">
        <v>446</v>
      </c>
      <c r="S390" s="1">
        <v>35112</v>
      </c>
      <c r="T390" s="1"/>
      <c r="U390" s="1"/>
      <c r="V390" t="s">
        <v>4781</v>
      </c>
      <c r="W390" t="s">
        <v>4782</v>
      </c>
      <c r="X390" t="s">
        <v>3579</v>
      </c>
      <c r="Z390" t="s">
        <v>4783</v>
      </c>
    </row>
    <row r="391" spans="1:50" x14ac:dyDescent="0.2">
      <c r="A391" t="s">
        <v>4784</v>
      </c>
      <c r="B391" t="s">
        <v>4784</v>
      </c>
      <c r="C391" t="s">
        <v>4785</v>
      </c>
      <c r="D391" t="s">
        <v>4786</v>
      </c>
      <c r="E391" t="s">
        <v>4786</v>
      </c>
      <c r="G391" t="s">
        <v>56</v>
      </c>
      <c r="H391" t="s">
        <v>93</v>
      </c>
      <c r="I391" t="s">
        <v>602</v>
      </c>
      <c r="K391" t="s">
        <v>7162</v>
      </c>
      <c r="L391" t="s">
        <v>7162</v>
      </c>
      <c r="M391" s="1" t="s">
        <v>4787</v>
      </c>
      <c r="N391" t="s">
        <v>4788</v>
      </c>
      <c r="O391" s="1" t="s">
        <v>144</v>
      </c>
      <c r="P391" s="1" t="s">
        <v>4318</v>
      </c>
      <c r="Q391" t="s">
        <v>7224</v>
      </c>
      <c r="R391" s="1">
        <v>227</v>
      </c>
      <c r="S391" s="1">
        <v>35117</v>
      </c>
      <c r="T391" s="1"/>
      <c r="U391" s="1"/>
      <c r="V391" t="s">
        <v>4790</v>
      </c>
      <c r="W391" t="s">
        <v>4791</v>
      </c>
      <c r="X391" t="s">
        <v>3579</v>
      </c>
      <c r="Z391" t="s">
        <v>4792</v>
      </c>
    </row>
    <row r="392" spans="1:50" x14ac:dyDescent="0.2">
      <c r="A392" t="s">
        <v>4793</v>
      </c>
      <c r="B392" t="s">
        <v>4793</v>
      </c>
      <c r="C392" t="s">
        <v>4794</v>
      </c>
      <c r="D392" t="s">
        <v>4795</v>
      </c>
      <c r="E392" t="s">
        <v>4795</v>
      </c>
      <c r="G392" t="s">
        <v>56</v>
      </c>
      <c r="H392" t="s">
        <v>58</v>
      </c>
      <c r="I392" t="s">
        <v>602</v>
      </c>
      <c r="K392" t="s">
        <v>7162</v>
      </c>
      <c r="L392" t="s">
        <v>7162</v>
      </c>
      <c r="M392" s="1" t="s">
        <v>603</v>
      </c>
      <c r="N392" t="s">
        <v>649</v>
      </c>
      <c r="O392" s="1" t="s">
        <v>875</v>
      </c>
      <c r="P392" s="1" t="s">
        <v>270</v>
      </c>
      <c r="Q392" t="s">
        <v>7225</v>
      </c>
      <c r="R392" s="1">
        <v>11</v>
      </c>
      <c r="S392" s="1">
        <v>2130</v>
      </c>
      <c r="T392" s="1"/>
      <c r="U392" s="1"/>
      <c r="V392" t="s">
        <v>4797</v>
      </c>
      <c r="W392" t="s">
        <v>4798</v>
      </c>
      <c r="X392" t="s">
        <v>3579</v>
      </c>
      <c r="Z392" t="s">
        <v>4799</v>
      </c>
    </row>
    <row r="393" spans="1:50" x14ac:dyDescent="0.2">
      <c r="A393" t="s">
        <v>4800</v>
      </c>
      <c r="B393" t="s">
        <v>4800</v>
      </c>
      <c r="C393" t="s">
        <v>4801</v>
      </c>
      <c r="D393" t="s">
        <v>4802</v>
      </c>
      <c r="E393" t="s">
        <v>4802</v>
      </c>
      <c r="G393" t="s">
        <v>56</v>
      </c>
      <c r="H393" t="s">
        <v>58</v>
      </c>
      <c r="I393" t="s">
        <v>602</v>
      </c>
      <c r="K393" t="s">
        <v>7162</v>
      </c>
      <c r="L393" t="s">
        <v>7162</v>
      </c>
      <c r="M393" s="1" t="s">
        <v>603</v>
      </c>
      <c r="N393" t="s">
        <v>649</v>
      </c>
      <c r="O393" s="1" t="s">
        <v>875</v>
      </c>
      <c r="P393" s="1" t="s">
        <v>64</v>
      </c>
      <c r="Q393" t="s">
        <v>7198</v>
      </c>
      <c r="R393" s="1">
        <v>11</v>
      </c>
      <c r="S393" s="1">
        <v>2131</v>
      </c>
      <c r="T393" s="1"/>
      <c r="U393" s="1"/>
      <c r="V393" t="s">
        <v>4803</v>
      </c>
      <c r="W393" t="s">
        <v>4804</v>
      </c>
      <c r="X393" t="s">
        <v>3579</v>
      </c>
      <c r="Z393" t="s">
        <v>4805</v>
      </c>
    </row>
    <row r="394" spans="1:50" x14ac:dyDescent="0.2">
      <c r="A394" t="s">
        <v>4806</v>
      </c>
      <c r="B394" t="s">
        <v>4806</v>
      </c>
      <c r="C394" t="s">
        <v>4807</v>
      </c>
      <c r="D394" t="s">
        <v>4808</v>
      </c>
      <c r="E394" t="s">
        <v>4808</v>
      </c>
      <c r="G394" t="s">
        <v>56</v>
      </c>
      <c r="H394" t="s">
        <v>58</v>
      </c>
      <c r="I394" t="s">
        <v>602</v>
      </c>
      <c r="K394" t="s">
        <v>7162</v>
      </c>
      <c r="L394" t="s">
        <v>7162</v>
      </c>
      <c r="M394" s="1" t="s">
        <v>603</v>
      </c>
      <c r="N394" t="s">
        <v>604</v>
      </c>
      <c r="O394" s="1" t="s">
        <v>875</v>
      </c>
      <c r="P394" s="1" t="s">
        <v>64</v>
      </c>
      <c r="Q394" t="s">
        <v>7226</v>
      </c>
      <c r="R394" s="1">
        <v>11</v>
      </c>
      <c r="S394" s="1">
        <v>2131</v>
      </c>
      <c r="T394" s="1"/>
      <c r="U394" s="1"/>
      <c r="V394" t="s">
        <v>4809</v>
      </c>
      <c r="W394" t="s">
        <v>4810</v>
      </c>
      <c r="X394" t="s">
        <v>3579</v>
      </c>
      <c r="Z394" t="s">
        <v>4811</v>
      </c>
    </row>
    <row r="395" spans="1:50" x14ac:dyDescent="0.2">
      <c r="A395" t="s">
        <v>4812</v>
      </c>
      <c r="B395" t="s">
        <v>4812</v>
      </c>
      <c r="C395" t="s">
        <v>4813</v>
      </c>
      <c r="D395" t="s">
        <v>4814</v>
      </c>
      <c r="E395" t="s">
        <v>4814</v>
      </c>
      <c r="G395" t="s">
        <v>56</v>
      </c>
      <c r="H395" t="s">
        <v>58</v>
      </c>
      <c r="I395" t="s">
        <v>602</v>
      </c>
      <c r="K395" t="s">
        <v>7162</v>
      </c>
      <c r="L395" t="s">
        <v>7162</v>
      </c>
      <c r="M395" s="1" t="s">
        <v>603</v>
      </c>
      <c r="N395" t="s">
        <v>649</v>
      </c>
      <c r="O395" s="1" t="s">
        <v>875</v>
      </c>
      <c r="P395" s="1" t="s">
        <v>64</v>
      </c>
      <c r="Q395" t="s">
        <v>7227</v>
      </c>
      <c r="R395" s="1">
        <v>11</v>
      </c>
      <c r="S395" s="1">
        <v>2131</v>
      </c>
      <c r="T395" s="1"/>
      <c r="U395" s="1"/>
      <c r="V395" t="s">
        <v>4815</v>
      </c>
      <c r="W395" t="s">
        <v>4816</v>
      </c>
      <c r="X395" t="s">
        <v>3579</v>
      </c>
      <c r="Z395" t="s">
        <v>4817</v>
      </c>
    </row>
    <row r="396" spans="1:50" x14ac:dyDescent="0.2">
      <c r="A396" t="s">
        <v>4818</v>
      </c>
      <c r="B396" t="s">
        <v>4818</v>
      </c>
      <c r="C396" t="s">
        <v>4819</v>
      </c>
      <c r="D396" t="s">
        <v>4820</v>
      </c>
      <c r="E396" t="s">
        <v>4820</v>
      </c>
      <c r="G396" t="s">
        <v>56</v>
      </c>
      <c r="H396" t="s">
        <v>93</v>
      </c>
      <c r="I396" t="s">
        <v>602</v>
      </c>
      <c r="K396" t="s">
        <v>7162</v>
      </c>
      <c r="L396" t="s">
        <v>7162</v>
      </c>
      <c r="M396" s="1" t="s">
        <v>3165</v>
      </c>
      <c r="N396" t="s">
        <v>449</v>
      </c>
      <c r="O396" s="1" t="s">
        <v>4821</v>
      </c>
      <c r="P396" s="1" t="s">
        <v>4226</v>
      </c>
      <c r="Q396" t="s">
        <v>7228</v>
      </c>
      <c r="R396" s="1">
        <v>20</v>
      </c>
      <c r="S396" s="1">
        <v>15265</v>
      </c>
      <c r="T396" s="1"/>
      <c r="U396" s="1"/>
      <c r="V396" t="s">
        <v>4823</v>
      </c>
      <c r="W396" t="s">
        <v>4824</v>
      </c>
      <c r="X396" t="s">
        <v>3579</v>
      </c>
      <c r="Z396" t="s">
        <v>4825</v>
      </c>
    </row>
    <row r="397" spans="1:50" x14ac:dyDescent="0.2">
      <c r="A397" t="s">
        <v>4826</v>
      </c>
      <c r="B397" t="s">
        <v>4826</v>
      </c>
      <c r="C397" t="s">
        <v>4827</v>
      </c>
      <c r="D397" t="s">
        <v>4828</v>
      </c>
      <c r="E397" s="9" t="s">
        <v>4829</v>
      </c>
      <c r="G397" t="s">
        <v>56</v>
      </c>
      <c r="H397" t="s">
        <v>93</v>
      </c>
      <c r="I397" t="s">
        <v>602</v>
      </c>
      <c r="K397" t="s">
        <v>7162</v>
      </c>
      <c r="L397" t="s">
        <v>7162</v>
      </c>
      <c r="M397" s="1" t="s">
        <v>4381</v>
      </c>
      <c r="N397" t="s">
        <v>4382</v>
      </c>
      <c r="O397" s="1" t="s">
        <v>144</v>
      </c>
      <c r="P397" s="1" t="s">
        <v>3476</v>
      </c>
      <c r="Q397" t="s">
        <v>7197</v>
      </c>
      <c r="R397" s="1">
        <v>2715</v>
      </c>
      <c r="S397" s="1">
        <v>1696</v>
      </c>
      <c r="T397" s="1"/>
      <c r="U397" s="1"/>
      <c r="V397" t="s">
        <v>4831</v>
      </c>
      <c r="W397" t="s">
        <v>4832</v>
      </c>
      <c r="X397" t="s">
        <v>3579</v>
      </c>
      <c r="Z397" t="s">
        <v>4833</v>
      </c>
    </row>
    <row r="398" spans="1:50" x14ac:dyDescent="0.2">
      <c r="A398" t="s">
        <v>3632</v>
      </c>
      <c r="B398" t="s">
        <v>3632</v>
      </c>
      <c r="C398" t="s">
        <v>3633</v>
      </c>
      <c r="D398" t="s">
        <v>3634</v>
      </c>
      <c r="E398" t="s">
        <v>3634</v>
      </c>
      <c r="G398" t="s">
        <v>56</v>
      </c>
      <c r="H398" t="s">
        <v>93</v>
      </c>
      <c r="I398" t="s">
        <v>406</v>
      </c>
      <c r="J398" t="s">
        <v>389</v>
      </c>
      <c r="K398" t="s">
        <v>7165</v>
      </c>
      <c r="L398" t="s">
        <v>7165</v>
      </c>
      <c r="M398" s="1" t="s">
        <v>3635</v>
      </c>
      <c r="N398" t="s">
        <v>3635</v>
      </c>
      <c r="O398" s="1" t="s">
        <v>234</v>
      </c>
      <c r="P398" s="1" t="s">
        <v>167</v>
      </c>
      <c r="Q398" s="11" t="s">
        <v>7201</v>
      </c>
      <c r="R398" s="1">
        <v>447</v>
      </c>
      <c r="S398" s="1">
        <v>58791</v>
      </c>
      <c r="T398" s="1" t="s">
        <v>3196</v>
      </c>
      <c r="U398" s="1">
        <v>13558100</v>
      </c>
      <c r="V398" t="s">
        <v>3636</v>
      </c>
      <c r="W398" t="s">
        <v>3637</v>
      </c>
      <c r="X398" t="s">
        <v>68</v>
      </c>
      <c r="Y398" t="s">
        <v>3638</v>
      </c>
      <c r="Z398" t="s">
        <v>3639</v>
      </c>
      <c r="AA398" t="s">
        <v>3640</v>
      </c>
      <c r="AB398" t="s">
        <v>3235</v>
      </c>
      <c r="AC398" t="s">
        <v>73</v>
      </c>
      <c r="AD398" t="s">
        <v>3641</v>
      </c>
      <c r="AE398" t="s">
        <v>75</v>
      </c>
      <c r="AF398" t="s">
        <v>76</v>
      </c>
      <c r="AG398" t="s">
        <v>77</v>
      </c>
      <c r="AH398" t="s">
        <v>3642</v>
      </c>
      <c r="AI398" t="s">
        <v>156</v>
      </c>
      <c r="AJ398" t="s">
        <v>80</v>
      </c>
      <c r="AK398" t="s">
        <v>158</v>
      </c>
      <c r="AL398" t="s">
        <v>159</v>
      </c>
      <c r="AM398" t="s">
        <v>83</v>
      </c>
      <c r="AO398">
        <v>117287</v>
      </c>
      <c r="AP398">
        <v>5422620</v>
      </c>
      <c r="AQ398">
        <v>162</v>
      </c>
      <c r="AR398" t="s">
        <v>84</v>
      </c>
      <c r="AS398">
        <v>562</v>
      </c>
      <c r="AT398" t="s">
        <v>85</v>
      </c>
      <c r="AU398" t="s">
        <v>86</v>
      </c>
      <c r="AV398">
        <v>562</v>
      </c>
      <c r="AW398" t="s">
        <v>3643</v>
      </c>
      <c r="AX398" t="s">
        <v>88</v>
      </c>
    </row>
    <row r="399" spans="1:50" x14ac:dyDescent="0.2">
      <c r="A399" t="s">
        <v>4850</v>
      </c>
      <c r="B399" t="s">
        <v>4850</v>
      </c>
      <c r="C399" t="s">
        <v>4851</v>
      </c>
      <c r="D399" t="s">
        <v>4852</v>
      </c>
      <c r="E399" t="s">
        <v>4852</v>
      </c>
      <c r="G399" t="s">
        <v>56</v>
      </c>
      <c r="H399" t="s">
        <v>58</v>
      </c>
      <c r="I399" t="s">
        <v>602</v>
      </c>
      <c r="K399" t="s">
        <v>7162</v>
      </c>
      <c r="L399" t="s">
        <v>7162</v>
      </c>
      <c r="M399" s="1" t="s">
        <v>603</v>
      </c>
      <c r="N399" t="s">
        <v>604</v>
      </c>
      <c r="O399" s="1" t="s">
        <v>875</v>
      </c>
      <c r="P399" s="1" t="s">
        <v>4853</v>
      </c>
      <c r="Q399" t="s">
        <v>7229</v>
      </c>
      <c r="R399" s="1">
        <v>11</v>
      </c>
      <c r="S399" s="1">
        <v>2131</v>
      </c>
      <c r="T399" s="1"/>
      <c r="U399" s="1"/>
      <c r="V399" t="s">
        <v>4855</v>
      </c>
      <c r="W399" t="s">
        <v>4856</v>
      </c>
      <c r="X399" t="s">
        <v>3579</v>
      </c>
      <c r="Z399" t="s">
        <v>4857</v>
      </c>
    </row>
    <row r="400" spans="1:50" x14ac:dyDescent="0.2">
      <c r="A400" t="s">
        <v>3444</v>
      </c>
      <c r="B400" t="s">
        <v>3444</v>
      </c>
      <c r="C400" t="s">
        <v>3445</v>
      </c>
      <c r="D400" t="s">
        <v>3446</v>
      </c>
      <c r="E400" t="s">
        <v>3446</v>
      </c>
      <c r="F400" t="s">
        <v>2035</v>
      </c>
      <c r="G400" t="s">
        <v>56</v>
      </c>
      <c r="H400" t="s">
        <v>58</v>
      </c>
      <c r="I400" t="s">
        <v>406</v>
      </c>
      <c r="J400" t="s">
        <v>389</v>
      </c>
      <c r="K400" t="s">
        <v>7165</v>
      </c>
      <c r="L400" t="s">
        <v>7165</v>
      </c>
      <c r="M400" s="1" t="s">
        <v>3179</v>
      </c>
      <c r="N400" t="s">
        <v>3448</v>
      </c>
      <c r="O400" s="1" t="s">
        <v>3090</v>
      </c>
      <c r="P400" s="1" t="s">
        <v>434</v>
      </c>
      <c r="Q400" s="11" t="s">
        <v>7195</v>
      </c>
      <c r="R400" s="1">
        <v>447</v>
      </c>
      <c r="S400" s="1">
        <v>132897</v>
      </c>
      <c r="T400" s="1" t="s">
        <v>3196</v>
      </c>
      <c r="U400" s="1">
        <v>12647819</v>
      </c>
      <c r="V400" t="s">
        <v>3449</v>
      </c>
      <c r="X400" t="s">
        <v>68</v>
      </c>
      <c r="Y400" t="s">
        <v>3451</v>
      </c>
      <c r="Z400" t="s">
        <v>3452</v>
      </c>
      <c r="AA400" t="s">
        <v>3453</v>
      </c>
      <c r="AB400" t="s">
        <v>3454</v>
      </c>
      <c r="AC400" t="s">
        <v>73</v>
      </c>
      <c r="AE400" t="s">
        <v>75</v>
      </c>
      <c r="AF400" t="s">
        <v>76</v>
      </c>
      <c r="AG400" t="s">
        <v>77</v>
      </c>
      <c r="AH400" t="s">
        <v>3455</v>
      </c>
      <c r="AI400" t="s">
        <v>364</v>
      </c>
      <c r="AJ400" t="s">
        <v>80</v>
      </c>
      <c r="AK400" t="s">
        <v>158</v>
      </c>
      <c r="AL400" t="s">
        <v>3456</v>
      </c>
      <c r="AM400" t="s">
        <v>3457</v>
      </c>
      <c r="AO400">
        <v>92242</v>
      </c>
      <c r="AP400">
        <v>5594472</v>
      </c>
      <c r="AQ400">
        <v>219</v>
      </c>
      <c r="AR400" t="s">
        <v>84</v>
      </c>
      <c r="AS400">
        <v>562</v>
      </c>
      <c r="AV400">
        <v>562</v>
      </c>
      <c r="AX400" t="s">
        <v>88</v>
      </c>
    </row>
    <row r="401" spans="1:53" x14ac:dyDescent="0.2">
      <c r="A401" t="s">
        <v>6484</v>
      </c>
      <c r="B401" t="s">
        <v>6485</v>
      </c>
      <c r="C401" t="s">
        <v>6486</v>
      </c>
      <c r="D401" t="s">
        <v>6487</v>
      </c>
      <c r="E401" t="s">
        <v>6487</v>
      </c>
      <c r="G401" t="s">
        <v>56</v>
      </c>
      <c r="H401" t="s">
        <v>93</v>
      </c>
      <c r="I401" t="s">
        <v>406</v>
      </c>
      <c r="J401" t="s">
        <v>6488</v>
      </c>
      <c r="K401" t="s">
        <v>7165</v>
      </c>
      <c r="L401" t="s">
        <v>7172</v>
      </c>
      <c r="M401" s="1" t="s">
        <v>3635</v>
      </c>
      <c r="N401" t="s">
        <v>6304</v>
      </c>
      <c r="O401" s="1" t="s">
        <v>234</v>
      </c>
      <c r="P401" s="1" t="s">
        <v>167</v>
      </c>
      <c r="Q401" s="11" t="s">
        <v>7201</v>
      </c>
      <c r="R401" s="1">
        <v>447</v>
      </c>
      <c r="S401" s="1">
        <v>30622</v>
      </c>
      <c r="T401" s="1" t="s">
        <v>3196</v>
      </c>
      <c r="U401" s="1" t="s">
        <v>6489</v>
      </c>
      <c r="V401" t="s">
        <v>6490</v>
      </c>
      <c r="W401" t="s">
        <v>6491</v>
      </c>
      <c r="X401" t="s">
        <v>68</v>
      </c>
      <c r="Y401" t="s">
        <v>6492</v>
      </c>
      <c r="Z401" t="s">
        <v>6493</v>
      </c>
      <c r="AA401" t="s">
        <v>6494</v>
      </c>
      <c r="AB401" t="s">
        <v>3454</v>
      </c>
      <c r="AC401" t="s">
        <v>73</v>
      </c>
      <c r="AD401" t="s">
        <v>6495</v>
      </c>
      <c r="AE401" t="s">
        <v>75</v>
      </c>
      <c r="AF401" t="s">
        <v>76</v>
      </c>
      <c r="AG401" t="s">
        <v>77</v>
      </c>
      <c r="AH401" t="s">
        <v>6496</v>
      </c>
      <c r="AI401" t="s">
        <v>156</v>
      </c>
      <c r="AJ401" t="s">
        <v>80</v>
      </c>
      <c r="AK401" t="s">
        <v>158</v>
      </c>
      <c r="AL401" t="s">
        <v>159</v>
      </c>
      <c r="AM401" t="s">
        <v>83</v>
      </c>
      <c r="AO401">
        <v>204901</v>
      </c>
      <c r="AP401">
        <v>5340437</v>
      </c>
      <c r="AQ401">
        <v>111</v>
      </c>
      <c r="AR401" t="s">
        <v>84</v>
      </c>
      <c r="AS401">
        <v>562</v>
      </c>
      <c r="AT401" t="s">
        <v>85</v>
      </c>
      <c r="AU401" t="s">
        <v>86</v>
      </c>
      <c r="AV401">
        <v>562</v>
      </c>
      <c r="AW401" t="s">
        <v>6497</v>
      </c>
      <c r="AX401" t="s">
        <v>88</v>
      </c>
    </row>
    <row r="402" spans="1:53" x14ac:dyDescent="0.2">
      <c r="A402" t="s">
        <v>3956</v>
      </c>
      <c r="B402" t="s">
        <v>3956</v>
      </c>
      <c r="C402" t="s">
        <v>3957</v>
      </c>
      <c r="D402" t="s">
        <v>3958</v>
      </c>
      <c r="E402" t="s">
        <v>3958</v>
      </c>
      <c r="G402" t="s">
        <v>56</v>
      </c>
      <c r="H402" t="s">
        <v>93</v>
      </c>
      <c r="I402" t="s">
        <v>406</v>
      </c>
      <c r="J402" t="s">
        <v>389</v>
      </c>
      <c r="K402" t="s">
        <v>7165</v>
      </c>
      <c r="L402" t="s">
        <v>7165</v>
      </c>
      <c r="M402" s="1" t="s">
        <v>142</v>
      </c>
      <c r="N402" t="s">
        <v>142</v>
      </c>
      <c r="O402" s="1" t="s">
        <v>144</v>
      </c>
      <c r="P402" s="8" t="s">
        <v>313</v>
      </c>
      <c r="Q402" s="11" t="s">
        <v>7203</v>
      </c>
      <c r="R402" s="1">
        <v>332</v>
      </c>
      <c r="S402" s="1">
        <v>168868</v>
      </c>
      <c r="T402" s="1" t="s">
        <v>3960</v>
      </c>
      <c r="U402" s="1">
        <v>15011179</v>
      </c>
      <c r="V402" t="s">
        <v>3961</v>
      </c>
      <c r="W402" t="s">
        <v>3962</v>
      </c>
      <c r="X402" t="s">
        <v>68</v>
      </c>
      <c r="Y402" t="s">
        <v>3963</v>
      </c>
      <c r="Z402" t="s">
        <v>3964</v>
      </c>
      <c r="AA402" t="s">
        <v>3965</v>
      </c>
      <c r="AB402" t="s">
        <v>3454</v>
      </c>
      <c r="AC402" t="s">
        <v>73</v>
      </c>
      <c r="AD402" t="s">
        <v>3966</v>
      </c>
      <c r="AE402" t="s">
        <v>3967</v>
      </c>
      <c r="AF402" t="s">
        <v>76</v>
      </c>
      <c r="AG402" t="s">
        <v>77</v>
      </c>
      <c r="AH402" t="s">
        <v>3968</v>
      </c>
      <c r="AI402" t="s">
        <v>156</v>
      </c>
      <c r="AJ402" t="s">
        <v>3969</v>
      </c>
      <c r="AK402" t="s">
        <v>532</v>
      </c>
      <c r="AL402" t="s">
        <v>533</v>
      </c>
      <c r="AM402" t="s">
        <v>83</v>
      </c>
      <c r="AO402">
        <v>134745</v>
      </c>
      <c r="AP402">
        <v>5431144</v>
      </c>
      <c r="AQ402">
        <v>211</v>
      </c>
      <c r="AR402" t="s">
        <v>84</v>
      </c>
      <c r="AS402">
        <v>562</v>
      </c>
      <c r="AT402" t="s">
        <v>85</v>
      </c>
      <c r="AU402" t="s">
        <v>86</v>
      </c>
      <c r="AV402">
        <v>562</v>
      </c>
      <c r="AW402" t="s">
        <v>3970</v>
      </c>
      <c r="AX402" t="s">
        <v>88</v>
      </c>
    </row>
    <row r="403" spans="1:53" x14ac:dyDescent="0.2">
      <c r="A403" t="s">
        <v>6359</v>
      </c>
      <c r="B403" t="s">
        <v>6360</v>
      </c>
      <c r="C403" t="s">
        <v>6361</v>
      </c>
      <c r="D403" t="s">
        <v>6362</v>
      </c>
      <c r="E403" t="s">
        <v>6362</v>
      </c>
      <c r="G403" t="s">
        <v>56</v>
      </c>
      <c r="H403" t="s">
        <v>93</v>
      </c>
      <c r="I403" t="s">
        <v>406</v>
      </c>
      <c r="J403" t="s">
        <v>6348</v>
      </c>
      <c r="K403" t="s">
        <v>7165</v>
      </c>
      <c r="L403" t="s">
        <v>7172</v>
      </c>
      <c r="M403" s="1" t="s">
        <v>6363</v>
      </c>
      <c r="N403" t="s">
        <v>6364</v>
      </c>
      <c r="O403" s="1" t="s">
        <v>3090</v>
      </c>
      <c r="P403" s="1" t="s">
        <v>434</v>
      </c>
      <c r="Q403" s="11" t="s">
        <v>7309</v>
      </c>
      <c r="R403" s="1">
        <v>297</v>
      </c>
      <c r="S403" s="1">
        <v>15082</v>
      </c>
      <c r="T403" s="1" t="s">
        <v>3196</v>
      </c>
      <c r="U403" s="1">
        <v>11625320</v>
      </c>
      <c r="V403" t="s">
        <v>6365</v>
      </c>
      <c r="W403" t="s">
        <v>6366</v>
      </c>
      <c r="X403" t="s">
        <v>68</v>
      </c>
      <c r="Y403" t="s">
        <v>6367</v>
      </c>
      <c r="Z403" t="s">
        <v>6368</v>
      </c>
      <c r="AA403" t="s">
        <v>6369</v>
      </c>
      <c r="AB403" t="s">
        <v>3371</v>
      </c>
      <c r="AC403" t="s">
        <v>73</v>
      </c>
      <c r="AD403" t="s">
        <v>6370</v>
      </c>
      <c r="AE403" t="s">
        <v>75</v>
      </c>
      <c r="AF403" t="s">
        <v>76</v>
      </c>
      <c r="AG403" t="s">
        <v>77</v>
      </c>
      <c r="AH403" t="s">
        <v>6371</v>
      </c>
      <c r="AI403" t="s">
        <v>156</v>
      </c>
      <c r="AJ403" t="s">
        <v>80</v>
      </c>
      <c r="AK403" t="s">
        <v>158</v>
      </c>
      <c r="AL403" t="s">
        <v>159</v>
      </c>
      <c r="AM403" t="s">
        <v>83</v>
      </c>
      <c r="AO403">
        <v>78669</v>
      </c>
      <c r="AP403">
        <v>5465556</v>
      </c>
      <c r="AQ403">
        <v>275</v>
      </c>
      <c r="AR403" t="s">
        <v>84</v>
      </c>
      <c r="AS403">
        <v>562</v>
      </c>
      <c r="AT403" t="s">
        <v>85</v>
      </c>
      <c r="AU403" t="s">
        <v>86</v>
      </c>
      <c r="AV403">
        <v>562</v>
      </c>
      <c r="AW403" t="s">
        <v>6372</v>
      </c>
      <c r="AX403" t="s">
        <v>88</v>
      </c>
    </row>
    <row r="404" spans="1:53" x14ac:dyDescent="0.2">
      <c r="A404" t="s">
        <v>3361</v>
      </c>
      <c r="B404" t="s">
        <v>3361</v>
      </c>
      <c r="C404" t="s">
        <v>3362</v>
      </c>
      <c r="D404" t="s">
        <v>3363</v>
      </c>
      <c r="E404" s="2" t="s">
        <v>3364</v>
      </c>
      <c r="G404" t="s">
        <v>56</v>
      </c>
      <c r="H404" t="s">
        <v>58</v>
      </c>
      <c r="I404" t="s">
        <v>352</v>
      </c>
      <c r="J404" t="s">
        <v>352</v>
      </c>
      <c r="K404" t="s">
        <v>7165</v>
      </c>
      <c r="L404" t="s">
        <v>7172</v>
      </c>
      <c r="M404" s="1" t="s">
        <v>3134</v>
      </c>
      <c r="N404" t="s">
        <v>3134</v>
      </c>
      <c r="O404" s="1" t="s">
        <v>144</v>
      </c>
      <c r="P404" s="1" t="s">
        <v>355</v>
      </c>
      <c r="Q404" s="11" t="s">
        <v>7198</v>
      </c>
      <c r="R404" s="1">
        <v>162</v>
      </c>
      <c r="S404" s="1">
        <v>1544</v>
      </c>
      <c r="T404" s="1" t="s">
        <v>169</v>
      </c>
      <c r="U404" s="1">
        <v>12442961</v>
      </c>
      <c r="V404" t="s">
        <v>3366</v>
      </c>
      <c r="W404" t="s">
        <v>3367</v>
      </c>
      <c r="X404" t="s">
        <v>68</v>
      </c>
      <c r="Y404" t="s">
        <v>3368</v>
      </c>
      <c r="Z404" t="s">
        <v>3369</v>
      </c>
      <c r="AA404" t="s">
        <v>3370</v>
      </c>
      <c r="AB404" t="s">
        <v>3371</v>
      </c>
      <c r="AC404" t="s">
        <v>73</v>
      </c>
      <c r="AD404" t="s">
        <v>3372</v>
      </c>
      <c r="AE404" t="s">
        <v>75</v>
      </c>
      <c r="AF404" t="s">
        <v>76</v>
      </c>
      <c r="AG404" t="s">
        <v>77</v>
      </c>
      <c r="AH404" t="s">
        <v>3373</v>
      </c>
      <c r="AI404" t="s">
        <v>79</v>
      </c>
      <c r="AJ404" t="s">
        <v>80</v>
      </c>
      <c r="AK404" t="s">
        <v>158</v>
      </c>
      <c r="AL404" t="s">
        <v>159</v>
      </c>
      <c r="AM404" t="s">
        <v>83</v>
      </c>
      <c r="AN404">
        <v>2019</v>
      </c>
      <c r="AO404">
        <v>142477</v>
      </c>
      <c r="AP404">
        <v>5277841</v>
      </c>
      <c r="AQ404">
        <v>120</v>
      </c>
      <c r="AR404" t="s">
        <v>84</v>
      </c>
      <c r="AS404">
        <v>562</v>
      </c>
      <c r="AT404" t="s">
        <v>85</v>
      </c>
      <c r="AU404" t="s">
        <v>86</v>
      </c>
      <c r="AV404">
        <v>562</v>
      </c>
      <c r="AW404" t="s">
        <v>3374</v>
      </c>
      <c r="AX404" t="s">
        <v>88</v>
      </c>
    </row>
    <row r="405" spans="1:53" x14ac:dyDescent="0.2">
      <c r="A405" t="s">
        <v>4924</v>
      </c>
      <c r="B405" t="s">
        <v>4924</v>
      </c>
      <c r="C405" t="s">
        <v>4925</v>
      </c>
      <c r="D405" t="s">
        <v>4926</v>
      </c>
      <c r="E405" t="s">
        <v>4926</v>
      </c>
      <c r="G405" t="s">
        <v>56</v>
      </c>
      <c r="H405" t="s">
        <v>58</v>
      </c>
      <c r="I405" t="s">
        <v>602</v>
      </c>
      <c r="K405" t="s">
        <v>7162</v>
      </c>
      <c r="L405" t="s">
        <v>7162</v>
      </c>
      <c r="M405" s="1" t="s">
        <v>603</v>
      </c>
      <c r="N405" t="s">
        <v>649</v>
      </c>
      <c r="O405" s="1" t="s">
        <v>605</v>
      </c>
      <c r="P405" s="1" t="s">
        <v>127</v>
      </c>
      <c r="Q405" t="s">
        <v>7210</v>
      </c>
      <c r="R405" s="1">
        <v>11</v>
      </c>
      <c r="S405" s="1">
        <v>2133</v>
      </c>
      <c r="T405" s="1"/>
      <c r="U405" s="1"/>
      <c r="V405" t="s">
        <v>4927</v>
      </c>
      <c r="W405" t="s">
        <v>4928</v>
      </c>
      <c r="X405" t="s">
        <v>3579</v>
      </c>
      <c r="Z405" t="s">
        <v>4929</v>
      </c>
    </row>
    <row r="406" spans="1:53" x14ac:dyDescent="0.2">
      <c r="A406" t="s">
        <v>4930</v>
      </c>
      <c r="B406" t="s">
        <v>4930</v>
      </c>
      <c r="C406" t="s">
        <v>4931</v>
      </c>
      <c r="D406" t="s">
        <v>4932</v>
      </c>
      <c r="E406" t="s">
        <v>4932</v>
      </c>
      <c r="G406" t="s">
        <v>56</v>
      </c>
      <c r="H406" t="s">
        <v>93</v>
      </c>
      <c r="I406" t="s">
        <v>602</v>
      </c>
      <c r="K406" t="s">
        <v>7162</v>
      </c>
      <c r="L406" t="s">
        <v>7162</v>
      </c>
      <c r="M406" s="1" t="s">
        <v>4574</v>
      </c>
      <c r="N406" t="s">
        <v>4575</v>
      </c>
      <c r="O406" s="1" t="s">
        <v>144</v>
      </c>
      <c r="P406" s="1" t="s">
        <v>313</v>
      </c>
      <c r="Q406" t="s">
        <v>7210</v>
      </c>
      <c r="R406" s="1">
        <v>2914</v>
      </c>
      <c r="S406" s="1">
        <v>15101</v>
      </c>
      <c r="T406" s="1"/>
      <c r="U406" s="1"/>
      <c r="V406" t="s">
        <v>4933</v>
      </c>
      <c r="W406" t="s">
        <v>4934</v>
      </c>
      <c r="X406" t="s">
        <v>3579</v>
      </c>
      <c r="Z406" t="s">
        <v>4935</v>
      </c>
    </row>
    <row r="407" spans="1:53" x14ac:dyDescent="0.2">
      <c r="A407" t="s">
        <v>4936</v>
      </c>
      <c r="B407" t="s">
        <v>4936</v>
      </c>
      <c r="C407" t="s">
        <v>4937</v>
      </c>
      <c r="D407" t="s">
        <v>4938</v>
      </c>
      <c r="E407" t="s">
        <v>4938</v>
      </c>
      <c r="G407" t="s">
        <v>56</v>
      </c>
      <c r="H407" t="s">
        <v>93</v>
      </c>
      <c r="I407" t="s">
        <v>602</v>
      </c>
      <c r="K407" t="s">
        <v>7162</v>
      </c>
      <c r="L407" t="s">
        <v>7162</v>
      </c>
      <c r="M407" s="1" t="s">
        <v>3194</v>
      </c>
      <c r="N407" t="s">
        <v>4939</v>
      </c>
      <c r="O407" s="1" t="s">
        <v>166</v>
      </c>
      <c r="P407" s="1" t="s">
        <v>167</v>
      </c>
      <c r="Q407" t="s">
        <v>7230</v>
      </c>
      <c r="R407" s="1">
        <v>1817</v>
      </c>
      <c r="S407" s="1">
        <v>35115</v>
      </c>
      <c r="T407" s="1"/>
      <c r="U407" s="1"/>
      <c r="V407" t="s">
        <v>4940</v>
      </c>
      <c r="W407" t="s">
        <v>4941</v>
      </c>
      <c r="X407" t="s">
        <v>3579</v>
      </c>
      <c r="Z407" t="s">
        <v>4942</v>
      </c>
    </row>
    <row r="408" spans="1:53" x14ac:dyDescent="0.2">
      <c r="A408" t="s">
        <v>4943</v>
      </c>
      <c r="B408" t="s">
        <v>4943</v>
      </c>
      <c r="C408" t="s">
        <v>4944</v>
      </c>
      <c r="D408" t="s">
        <v>4945</v>
      </c>
      <c r="E408" t="s">
        <v>4945</v>
      </c>
      <c r="G408" t="s">
        <v>56</v>
      </c>
      <c r="H408" t="s">
        <v>58</v>
      </c>
      <c r="I408" t="s">
        <v>602</v>
      </c>
      <c r="K408" t="s">
        <v>7162</v>
      </c>
      <c r="L408" t="s">
        <v>7162</v>
      </c>
      <c r="M408" s="1" t="s">
        <v>4511</v>
      </c>
      <c r="N408" t="s">
        <v>4512</v>
      </c>
      <c r="O408" s="1" t="s">
        <v>4513</v>
      </c>
      <c r="P408" s="1" t="s">
        <v>250</v>
      </c>
      <c r="Q408" t="s">
        <v>7230</v>
      </c>
      <c r="R408" s="1">
        <v>16</v>
      </c>
      <c r="S408" s="1">
        <v>35094</v>
      </c>
      <c r="T408" s="1"/>
      <c r="U408" s="1"/>
      <c r="V408" t="s">
        <v>4946</v>
      </c>
      <c r="W408" t="s">
        <v>4947</v>
      </c>
      <c r="X408" t="s">
        <v>3579</v>
      </c>
      <c r="Z408" t="s">
        <v>4948</v>
      </c>
    </row>
    <row r="409" spans="1:53" x14ac:dyDescent="0.2">
      <c r="A409" t="s">
        <v>4949</v>
      </c>
      <c r="B409" t="s">
        <v>4949</v>
      </c>
      <c r="C409" t="s">
        <v>4950</v>
      </c>
      <c r="D409" t="s">
        <v>4951</v>
      </c>
      <c r="E409" t="s">
        <v>4951</v>
      </c>
      <c r="G409" t="s">
        <v>56</v>
      </c>
      <c r="H409" t="s">
        <v>58</v>
      </c>
      <c r="I409" t="s">
        <v>602</v>
      </c>
      <c r="K409" t="s">
        <v>7162</v>
      </c>
      <c r="L409" t="s">
        <v>7162</v>
      </c>
      <c r="M409" s="1" t="s">
        <v>61</v>
      </c>
      <c r="N409" t="s">
        <v>62</v>
      </c>
      <c r="O409" s="1" t="s">
        <v>4549</v>
      </c>
      <c r="P409" s="1" t="s">
        <v>64</v>
      </c>
      <c r="Q409" t="s">
        <v>7211</v>
      </c>
      <c r="R409" s="1">
        <v>655</v>
      </c>
      <c r="S409" s="1">
        <v>1692</v>
      </c>
      <c r="T409" s="1"/>
      <c r="U409" s="1"/>
      <c r="V409" t="s">
        <v>4952</v>
      </c>
      <c r="W409" t="s">
        <v>4953</v>
      </c>
      <c r="X409" t="s">
        <v>3579</v>
      </c>
      <c r="Z409" t="s">
        <v>4954</v>
      </c>
    </row>
    <row r="410" spans="1:53" x14ac:dyDescent="0.2">
      <c r="A410" t="s">
        <v>4955</v>
      </c>
      <c r="B410" t="s">
        <v>4955</v>
      </c>
      <c r="C410" t="s">
        <v>4956</v>
      </c>
      <c r="D410" t="s">
        <v>4957</v>
      </c>
      <c r="E410" t="s">
        <v>4957</v>
      </c>
      <c r="G410" t="s">
        <v>56</v>
      </c>
      <c r="H410" t="s">
        <v>58</v>
      </c>
      <c r="I410" t="s">
        <v>602</v>
      </c>
      <c r="K410" t="s">
        <v>7162</v>
      </c>
      <c r="L410" t="s">
        <v>7162</v>
      </c>
      <c r="M410" s="1" t="s">
        <v>4538</v>
      </c>
      <c r="N410" t="s">
        <v>4539</v>
      </c>
      <c r="O410" s="1" t="s">
        <v>4540</v>
      </c>
      <c r="P410" s="1" t="s">
        <v>64</v>
      </c>
      <c r="Q410" t="s">
        <v>7211</v>
      </c>
      <c r="R410" s="1">
        <v>21</v>
      </c>
      <c r="S410" s="1">
        <v>35114</v>
      </c>
      <c r="T410" s="1"/>
      <c r="U410" s="1"/>
      <c r="V410" t="s">
        <v>4958</v>
      </c>
      <c r="W410" t="s">
        <v>4959</v>
      </c>
      <c r="X410" t="s">
        <v>3579</v>
      </c>
      <c r="Z410" t="s">
        <v>4960</v>
      </c>
    </row>
    <row r="411" spans="1:53" x14ac:dyDescent="0.2">
      <c r="A411" t="s">
        <v>4961</v>
      </c>
      <c r="B411" t="s">
        <v>4961</v>
      </c>
      <c r="C411" t="s">
        <v>4962</v>
      </c>
      <c r="D411" t="s">
        <v>4963</v>
      </c>
      <c r="E411" t="s">
        <v>4963</v>
      </c>
      <c r="G411" t="s">
        <v>56</v>
      </c>
      <c r="H411" t="s">
        <v>93</v>
      </c>
      <c r="I411" t="s">
        <v>602</v>
      </c>
      <c r="K411" t="s">
        <v>7162</v>
      </c>
      <c r="L411" t="s">
        <v>7162</v>
      </c>
      <c r="M411" s="1" t="s">
        <v>4964</v>
      </c>
      <c r="N411" t="s">
        <v>4965</v>
      </c>
      <c r="O411" s="1" t="s">
        <v>4821</v>
      </c>
      <c r="P411" s="1" t="s">
        <v>4226</v>
      </c>
      <c r="Q411" t="s">
        <v>7198</v>
      </c>
      <c r="R411" s="1">
        <v>583</v>
      </c>
      <c r="S411" s="1">
        <v>1523</v>
      </c>
      <c r="T411" s="1"/>
      <c r="U411" s="1"/>
      <c r="V411" t="s">
        <v>4966</v>
      </c>
      <c r="W411" t="s">
        <v>4967</v>
      </c>
      <c r="X411" t="s">
        <v>3579</v>
      </c>
      <c r="Z411" t="s">
        <v>4968</v>
      </c>
    </row>
    <row r="412" spans="1:53" x14ac:dyDescent="0.2">
      <c r="A412" t="s">
        <v>4969</v>
      </c>
      <c r="B412" t="s">
        <v>4969</v>
      </c>
      <c r="C412" t="s">
        <v>4970</v>
      </c>
      <c r="D412" t="s">
        <v>4971</v>
      </c>
      <c r="E412" t="s">
        <v>4971</v>
      </c>
      <c r="G412" t="s">
        <v>56</v>
      </c>
      <c r="H412" t="s">
        <v>93</v>
      </c>
      <c r="I412" t="s">
        <v>602</v>
      </c>
      <c r="K412" t="s">
        <v>7162</v>
      </c>
      <c r="L412" t="s">
        <v>7162</v>
      </c>
      <c r="M412" s="1" t="s">
        <v>353</v>
      </c>
      <c r="N412" t="s">
        <v>354</v>
      </c>
      <c r="O412" s="1" t="s">
        <v>144</v>
      </c>
      <c r="P412" s="1" t="s">
        <v>3649</v>
      </c>
      <c r="Q412" t="s">
        <v>7231</v>
      </c>
      <c r="R412" s="1">
        <v>677</v>
      </c>
      <c r="S412" s="1">
        <v>15649</v>
      </c>
      <c r="T412" s="1"/>
      <c r="U412" s="1"/>
      <c r="V412" t="s">
        <v>4972</v>
      </c>
      <c r="W412" t="s">
        <v>4973</v>
      </c>
      <c r="X412" t="s">
        <v>3579</v>
      </c>
      <c r="Z412" t="s">
        <v>4974</v>
      </c>
    </row>
    <row r="413" spans="1:53" x14ac:dyDescent="0.2">
      <c r="A413" t="s">
        <v>4975</v>
      </c>
      <c r="B413" t="s">
        <v>4975</v>
      </c>
      <c r="C413" t="s">
        <v>4976</v>
      </c>
      <c r="D413" t="s">
        <v>4977</v>
      </c>
      <c r="E413" t="s">
        <v>4977</v>
      </c>
      <c r="G413" t="s">
        <v>56</v>
      </c>
      <c r="H413" t="s">
        <v>93</v>
      </c>
      <c r="I413" t="s">
        <v>602</v>
      </c>
      <c r="K413" t="s">
        <v>7162</v>
      </c>
      <c r="L413" t="s">
        <v>7162</v>
      </c>
      <c r="M413" s="1" t="s">
        <v>4502</v>
      </c>
      <c r="N413" t="s">
        <v>4978</v>
      </c>
      <c r="O413" s="1" t="s">
        <v>166</v>
      </c>
      <c r="P413" s="1" t="s">
        <v>4328</v>
      </c>
      <c r="Q413" t="s">
        <v>7231</v>
      </c>
      <c r="R413" s="1">
        <v>6034</v>
      </c>
      <c r="S413" s="1">
        <v>34264</v>
      </c>
      <c r="T413" s="1"/>
      <c r="U413" s="1"/>
      <c r="V413" t="s">
        <v>4979</v>
      </c>
      <c r="W413" t="s">
        <v>4980</v>
      </c>
      <c r="X413" t="s">
        <v>3579</v>
      </c>
      <c r="Z413" t="s">
        <v>4981</v>
      </c>
    </row>
    <row r="414" spans="1:53" x14ac:dyDescent="0.2">
      <c r="A414" t="s">
        <v>6474</v>
      </c>
      <c r="B414" t="s">
        <v>6475</v>
      </c>
      <c r="C414" t="s">
        <v>349</v>
      </c>
      <c r="D414" t="s">
        <v>6476</v>
      </c>
      <c r="E414" t="s">
        <v>6476</v>
      </c>
      <c r="G414" t="s">
        <v>56</v>
      </c>
      <c r="H414" t="s">
        <v>58</v>
      </c>
      <c r="I414" t="s">
        <v>352</v>
      </c>
      <c r="J414" t="s">
        <v>352</v>
      </c>
      <c r="K414" t="s">
        <v>7165</v>
      </c>
      <c r="L414" t="s">
        <v>7172</v>
      </c>
      <c r="M414" s="1" t="s">
        <v>353</v>
      </c>
      <c r="N414" t="s">
        <v>354</v>
      </c>
      <c r="O414" s="1" t="s">
        <v>144</v>
      </c>
      <c r="P414" s="1" t="s">
        <v>355</v>
      </c>
      <c r="Q414" s="11" t="s">
        <v>7198</v>
      </c>
      <c r="R414" s="1">
        <v>155</v>
      </c>
      <c r="S414" s="1">
        <v>1607</v>
      </c>
      <c r="T414" s="1" t="s">
        <v>169</v>
      </c>
      <c r="U414" s="1">
        <v>11774050</v>
      </c>
      <c r="V414" t="s">
        <v>6477</v>
      </c>
      <c r="W414" t="s">
        <v>6478</v>
      </c>
      <c r="X414" t="s">
        <v>68</v>
      </c>
      <c r="Y414" t="s">
        <v>6479</v>
      </c>
      <c r="Z414" t="s">
        <v>6480</v>
      </c>
      <c r="AA414" t="s">
        <v>6481</v>
      </c>
      <c r="AB414" t="s">
        <v>3371</v>
      </c>
      <c r="AC414" t="s">
        <v>73</v>
      </c>
      <c r="AD414" t="s">
        <v>6482</v>
      </c>
      <c r="AE414" t="s">
        <v>75</v>
      </c>
      <c r="AF414" t="s">
        <v>76</v>
      </c>
      <c r="AG414" t="s">
        <v>77</v>
      </c>
      <c r="AH414" t="s">
        <v>6472</v>
      </c>
      <c r="AI414" t="s">
        <v>364</v>
      </c>
      <c r="AJ414" t="s">
        <v>80</v>
      </c>
      <c r="AK414" t="s">
        <v>158</v>
      </c>
      <c r="AL414" t="s">
        <v>159</v>
      </c>
      <c r="AM414" t="s">
        <v>83</v>
      </c>
      <c r="AN414">
        <v>2018</v>
      </c>
      <c r="AO414">
        <v>136896</v>
      </c>
      <c r="AP414">
        <v>5192892</v>
      </c>
      <c r="AQ414">
        <v>132</v>
      </c>
      <c r="AR414" t="s">
        <v>84</v>
      </c>
      <c r="AS414">
        <v>562</v>
      </c>
      <c r="AT414" t="s">
        <v>85</v>
      </c>
      <c r="AU414" t="s">
        <v>86</v>
      </c>
      <c r="AV414">
        <v>562</v>
      </c>
      <c r="AW414" t="s">
        <v>6483</v>
      </c>
      <c r="AX414" t="s">
        <v>88</v>
      </c>
      <c r="AZ414" t="s">
        <v>366</v>
      </c>
      <c r="BA414">
        <v>0</v>
      </c>
    </row>
    <row r="415" spans="1:53" x14ac:dyDescent="0.2">
      <c r="A415" t="s">
        <v>3562</v>
      </c>
      <c r="B415" t="s">
        <v>3562</v>
      </c>
      <c r="C415" t="s">
        <v>3563</v>
      </c>
      <c r="D415" t="s">
        <v>3564</v>
      </c>
      <c r="E415" t="s">
        <v>3564</v>
      </c>
      <c r="G415" t="s">
        <v>56</v>
      </c>
      <c r="H415" t="s">
        <v>58</v>
      </c>
      <c r="I415" t="s">
        <v>406</v>
      </c>
      <c r="J415" t="s">
        <v>389</v>
      </c>
      <c r="K415" t="s">
        <v>7165</v>
      </c>
      <c r="L415" t="s">
        <v>7165</v>
      </c>
      <c r="M415" s="1" t="s">
        <v>3461</v>
      </c>
      <c r="N415" t="s">
        <v>3461</v>
      </c>
      <c r="O415" s="1" t="s">
        <v>3090</v>
      </c>
      <c r="P415" s="1" t="s">
        <v>434</v>
      </c>
      <c r="Q415" s="11" t="s">
        <v>7200</v>
      </c>
      <c r="R415" s="1">
        <v>10</v>
      </c>
      <c r="S415" s="1">
        <v>29474</v>
      </c>
      <c r="T415" s="1" t="s">
        <v>3265</v>
      </c>
      <c r="U415" s="1">
        <v>14295156</v>
      </c>
      <c r="V415" t="s">
        <v>3565</v>
      </c>
      <c r="W415" t="s">
        <v>3566</v>
      </c>
      <c r="X415" t="s">
        <v>68</v>
      </c>
      <c r="Y415" t="s">
        <v>3567</v>
      </c>
      <c r="Z415" t="s">
        <v>3568</v>
      </c>
      <c r="AA415" t="s">
        <v>3569</v>
      </c>
      <c r="AB415" t="s">
        <v>3484</v>
      </c>
      <c r="AC415" t="s">
        <v>73</v>
      </c>
      <c r="AD415" t="s">
        <v>3570</v>
      </c>
      <c r="AF415" t="s">
        <v>76</v>
      </c>
      <c r="AG415" t="s">
        <v>77</v>
      </c>
      <c r="AH415" t="s">
        <v>3468</v>
      </c>
      <c r="AI415" t="s">
        <v>79</v>
      </c>
      <c r="AJ415" t="s">
        <v>531</v>
      </c>
      <c r="AK415" t="s">
        <v>158</v>
      </c>
      <c r="AL415" t="s">
        <v>159</v>
      </c>
      <c r="AM415" t="s">
        <v>83</v>
      </c>
      <c r="AO415">
        <v>147451</v>
      </c>
      <c r="AP415">
        <v>5483178</v>
      </c>
      <c r="AQ415">
        <v>218</v>
      </c>
      <c r="AR415" t="s">
        <v>84</v>
      </c>
      <c r="AS415">
        <v>562</v>
      </c>
      <c r="AT415" t="s">
        <v>85</v>
      </c>
      <c r="AU415" t="s">
        <v>86</v>
      </c>
      <c r="AV415">
        <v>562</v>
      </c>
      <c r="AW415" t="s">
        <v>3571</v>
      </c>
      <c r="AX415" t="s">
        <v>88</v>
      </c>
      <c r="AZ415" t="s">
        <v>3470</v>
      </c>
      <c r="BA415">
        <v>0</v>
      </c>
    </row>
    <row r="416" spans="1:53" x14ac:dyDescent="0.2">
      <c r="A416" t="s">
        <v>4110</v>
      </c>
      <c r="B416" t="s">
        <v>4110</v>
      </c>
      <c r="C416" t="s">
        <v>4111</v>
      </c>
      <c r="D416" t="s">
        <v>4112</v>
      </c>
      <c r="E416" t="s">
        <v>4112</v>
      </c>
      <c r="G416" t="s">
        <v>56</v>
      </c>
      <c r="H416" t="s">
        <v>93</v>
      </c>
      <c r="I416" t="s">
        <v>140</v>
      </c>
      <c r="J416" t="s">
        <v>141</v>
      </c>
      <c r="K416" t="s">
        <v>7165</v>
      </c>
      <c r="L416" t="s">
        <v>7165</v>
      </c>
      <c r="M416" s="1" t="s">
        <v>3165</v>
      </c>
      <c r="N416" t="s">
        <v>3379</v>
      </c>
      <c r="O416" s="1" t="s">
        <v>144</v>
      </c>
      <c r="P416" s="1" t="s">
        <v>313</v>
      </c>
      <c r="Q416" s="11" t="s">
        <v>7203</v>
      </c>
      <c r="R416" s="1">
        <v>332</v>
      </c>
      <c r="S416" s="1">
        <v>44442</v>
      </c>
      <c r="T416" s="1" t="s">
        <v>3542</v>
      </c>
      <c r="U416" s="1">
        <v>15286436</v>
      </c>
      <c r="V416" t="s">
        <v>4114</v>
      </c>
      <c r="W416" t="s">
        <v>4115</v>
      </c>
      <c r="X416" t="s">
        <v>68</v>
      </c>
      <c r="Y416" t="s">
        <v>4116</v>
      </c>
      <c r="Z416" t="s">
        <v>4117</v>
      </c>
      <c r="AA416" t="s">
        <v>4118</v>
      </c>
      <c r="AB416" t="s">
        <v>3484</v>
      </c>
      <c r="AC416" t="s">
        <v>73</v>
      </c>
      <c r="AD416" t="s">
        <v>4119</v>
      </c>
      <c r="AE416" t="s">
        <v>75</v>
      </c>
      <c r="AF416" t="s">
        <v>76</v>
      </c>
      <c r="AG416" t="s">
        <v>77</v>
      </c>
      <c r="AH416" t="s">
        <v>4120</v>
      </c>
      <c r="AI416" t="s">
        <v>3511</v>
      </c>
      <c r="AJ416" t="s">
        <v>80</v>
      </c>
      <c r="AK416" t="s">
        <v>158</v>
      </c>
      <c r="AL416" t="s">
        <v>159</v>
      </c>
      <c r="AM416" t="s">
        <v>83</v>
      </c>
      <c r="AO416">
        <v>43260</v>
      </c>
      <c r="AP416">
        <v>5158072</v>
      </c>
      <c r="AQ416">
        <v>455</v>
      </c>
      <c r="AR416" t="s">
        <v>84</v>
      </c>
      <c r="AS416">
        <v>562</v>
      </c>
      <c r="AT416" t="s">
        <v>85</v>
      </c>
      <c r="AU416" t="s">
        <v>86</v>
      </c>
      <c r="AV416">
        <v>562</v>
      </c>
      <c r="AW416" t="s">
        <v>4121</v>
      </c>
      <c r="AX416" t="s">
        <v>88</v>
      </c>
    </row>
    <row r="417" spans="1:54" x14ac:dyDescent="0.2">
      <c r="A417" t="s">
        <v>3538</v>
      </c>
      <c r="B417" t="s">
        <v>3538</v>
      </c>
      <c r="C417" t="s">
        <v>3539</v>
      </c>
      <c r="D417" t="s">
        <v>3540</v>
      </c>
      <c r="E417" t="s">
        <v>3540</v>
      </c>
      <c r="G417" t="s">
        <v>56</v>
      </c>
      <c r="H417" t="s">
        <v>93</v>
      </c>
      <c r="I417" t="s">
        <v>140</v>
      </c>
      <c r="J417" t="s">
        <v>3260</v>
      </c>
      <c r="K417" t="s">
        <v>7165</v>
      </c>
      <c r="L417" t="s">
        <v>7165</v>
      </c>
      <c r="M417" s="1" t="s">
        <v>3165</v>
      </c>
      <c r="N417" t="s">
        <v>3379</v>
      </c>
      <c r="O417" s="1" t="s">
        <v>144</v>
      </c>
      <c r="P417" s="1" t="s">
        <v>270</v>
      </c>
      <c r="Q417" s="11" t="s">
        <v>7204</v>
      </c>
      <c r="R417" s="1">
        <v>332</v>
      </c>
      <c r="S417" s="1">
        <v>44442</v>
      </c>
      <c r="T417" s="1" t="s">
        <v>3542</v>
      </c>
      <c r="U417" s="1">
        <v>12686847</v>
      </c>
      <c r="V417" t="s">
        <v>3543</v>
      </c>
      <c r="X417" t="s">
        <v>68</v>
      </c>
      <c r="Y417" t="s">
        <v>3544</v>
      </c>
      <c r="Z417" t="s">
        <v>3545</v>
      </c>
      <c r="AA417" t="s">
        <v>3546</v>
      </c>
      <c r="AB417" t="s">
        <v>3484</v>
      </c>
      <c r="AC417" t="s">
        <v>73</v>
      </c>
      <c r="AE417" t="s">
        <v>3547</v>
      </c>
      <c r="AF417" t="s">
        <v>76</v>
      </c>
      <c r="AG417" t="s">
        <v>77</v>
      </c>
      <c r="AH417" t="s">
        <v>3548</v>
      </c>
      <c r="AI417" t="s">
        <v>156</v>
      </c>
      <c r="AJ417" t="s">
        <v>3549</v>
      </c>
      <c r="AK417" t="s">
        <v>158</v>
      </c>
      <c r="AL417" t="s">
        <v>3456</v>
      </c>
      <c r="AM417" t="s">
        <v>3457</v>
      </c>
      <c r="AO417">
        <v>57936</v>
      </c>
      <c r="AP417">
        <v>5295877</v>
      </c>
      <c r="AQ417">
        <v>371</v>
      </c>
      <c r="AR417" t="s">
        <v>84</v>
      </c>
      <c r="AS417">
        <v>562</v>
      </c>
      <c r="AV417">
        <v>562</v>
      </c>
      <c r="AX417" t="s">
        <v>88</v>
      </c>
    </row>
    <row r="418" spans="1:54" x14ac:dyDescent="0.2">
      <c r="A418" t="s">
        <v>3471</v>
      </c>
      <c r="B418" t="s">
        <v>3471</v>
      </c>
      <c r="C418" t="s">
        <v>3472</v>
      </c>
      <c r="D418" t="s">
        <v>3473</v>
      </c>
      <c r="E418" t="s">
        <v>3473</v>
      </c>
      <c r="G418" t="s">
        <v>56</v>
      </c>
      <c r="H418" t="s">
        <v>58</v>
      </c>
      <c r="I418" t="s">
        <v>140</v>
      </c>
      <c r="J418" t="s">
        <v>141</v>
      </c>
      <c r="K418" t="s">
        <v>7165</v>
      </c>
      <c r="L418" t="s">
        <v>7165</v>
      </c>
      <c r="M418" s="1" t="s">
        <v>3475</v>
      </c>
      <c r="N418" t="s">
        <v>3475</v>
      </c>
      <c r="O418" s="1" t="s">
        <v>144</v>
      </c>
      <c r="P418" s="1" t="s">
        <v>3476</v>
      </c>
      <c r="Q418" s="11" t="s">
        <v>7205</v>
      </c>
      <c r="R418" s="1">
        <v>325</v>
      </c>
      <c r="S418" s="1">
        <v>132483</v>
      </c>
      <c r="T418" s="1" t="s">
        <v>3478</v>
      </c>
      <c r="U418" s="1">
        <v>12615808</v>
      </c>
      <c r="V418" t="s">
        <v>3479</v>
      </c>
      <c r="W418" t="s">
        <v>3480</v>
      </c>
      <c r="X418" t="s">
        <v>68</v>
      </c>
      <c r="Y418" t="s">
        <v>3481</v>
      </c>
      <c r="Z418" t="s">
        <v>3482</v>
      </c>
      <c r="AA418" t="s">
        <v>3483</v>
      </c>
      <c r="AB418" t="s">
        <v>3484</v>
      </c>
      <c r="AC418" t="s">
        <v>73</v>
      </c>
      <c r="AD418" t="s">
        <v>3485</v>
      </c>
      <c r="AE418" t="s">
        <v>3402</v>
      </c>
      <c r="AF418" t="s">
        <v>76</v>
      </c>
      <c r="AG418" t="s">
        <v>77</v>
      </c>
      <c r="AH418" t="s">
        <v>3486</v>
      </c>
      <c r="AI418" t="s">
        <v>3487</v>
      </c>
      <c r="AJ418" t="s">
        <v>3404</v>
      </c>
      <c r="AK418" t="s">
        <v>158</v>
      </c>
      <c r="AL418" t="s">
        <v>159</v>
      </c>
      <c r="AM418" t="s">
        <v>83</v>
      </c>
      <c r="AO418">
        <v>105136</v>
      </c>
      <c r="AP418">
        <v>5405420</v>
      </c>
      <c r="AQ418">
        <v>226</v>
      </c>
      <c r="AR418" t="s">
        <v>84</v>
      </c>
      <c r="AS418">
        <v>562</v>
      </c>
      <c r="AT418" t="s">
        <v>85</v>
      </c>
      <c r="AU418" t="s">
        <v>86</v>
      </c>
      <c r="AV418">
        <v>562</v>
      </c>
      <c r="AW418" t="s">
        <v>3488</v>
      </c>
      <c r="AX418" t="s">
        <v>88</v>
      </c>
    </row>
    <row r="419" spans="1:54" x14ac:dyDescent="0.2">
      <c r="A419" t="s">
        <v>3087</v>
      </c>
      <c r="B419" t="s">
        <v>3087</v>
      </c>
      <c r="C419" t="s">
        <v>3088</v>
      </c>
      <c r="D419" t="s">
        <v>3089</v>
      </c>
      <c r="E419" t="s">
        <v>3089</v>
      </c>
      <c r="G419" t="s">
        <v>56</v>
      </c>
      <c r="H419" t="s">
        <v>93</v>
      </c>
      <c r="I419" t="s">
        <v>406</v>
      </c>
      <c r="J419" t="s">
        <v>389</v>
      </c>
      <c r="K419" t="s">
        <v>7165</v>
      </c>
      <c r="L419" t="s">
        <v>7165</v>
      </c>
      <c r="M419" s="1" t="s">
        <v>465</v>
      </c>
      <c r="N419" t="s">
        <v>465</v>
      </c>
      <c r="O419" s="1" t="s">
        <v>3090</v>
      </c>
      <c r="P419" s="1" t="s">
        <v>3091</v>
      </c>
      <c r="Q419" s="11" t="s">
        <v>7206</v>
      </c>
      <c r="R419" s="1">
        <v>13</v>
      </c>
      <c r="S419" s="1">
        <v>42845</v>
      </c>
      <c r="T419" s="1" t="s">
        <v>3093</v>
      </c>
      <c r="U419" s="1">
        <v>12618539</v>
      </c>
      <c r="V419" t="s">
        <v>3094</v>
      </c>
      <c r="W419" t="s">
        <v>3095</v>
      </c>
      <c r="X419" t="s">
        <v>68</v>
      </c>
      <c r="Y419" t="s">
        <v>3096</v>
      </c>
      <c r="Z419" t="s">
        <v>3097</v>
      </c>
      <c r="AA419" t="s">
        <v>3098</v>
      </c>
      <c r="AB419" t="s">
        <v>3099</v>
      </c>
      <c r="AC419" t="s">
        <v>73</v>
      </c>
      <c r="AD419" t="s">
        <v>3100</v>
      </c>
      <c r="AF419" t="s">
        <v>76</v>
      </c>
      <c r="AG419" t="s">
        <v>77</v>
      </c>
      <c r="AH419" t="s">
        <v>3101</v>
      </c>
      <c r="AI419" t="s">
        <v>156</v>
      </c>
      <c r="AJ419" t="s">
        <v>531</v>
      </c>
      <c r="AK419" t="s">
        <v>532</v>
      </c>
      <c r="AL419" t="s">
        <v>533</v>
      </c>
      <c r="AM419" t="s">
        <v>83</v>
      </c>
      <c r="AO419">
        <v>91113</v>
      </c>
      <c r="AP419">
        <v>5591229</v>
      </c>
      <c r="AQ419">
        <v>517</v>
      </c>
      <c r="AR419" t="s">
        <v>84</v>
      </c>
      <c r="AS419">
        <v>562</v>
      </c>
      <c r="AT419" t="s">
        <v>85</v>
      </c>
      <c r="AU419" t="s">
        <v>86</v>
      </c>
      <c r="AV419">
        <v>562</v>
      </c>
      <c r="AW419" t="s">
        <v>3102</v>
      </c>
      <c r="AX419" t="s">
        <v>88</v>
      </c>
    </row>
    <row r="420" spans="1:54" x14ac:dyDescent="0.2">
      <c r="A420" t="s">
        <v>3525</v>
      </c>
      <c r="B420" t="s">
        <v>3525</v>
      </c>
      <c r="C420" t="s">
        <v>3526</v>
      </c>
      <c r="D420" t="s">
        <v>3527</v>
      </c>
      <c r="E420" t="s">
        <v>3527</v>
      </c>
      <c r="G420" t="s">
        <v>56</v>
      </c>
      <c r="H420" t="s">
        <v>58</v>
      </c>
      <c r="I420" t="s">
        <v>140</v>
      </c>
      <c r="J420" t="s">
        <v>141</v>
      </c>
      <c r="K420" t="s">
        <v>7165</v>
      </c>
      <c r="L420" t="s">
        <v>7165</v>
      </c>
      <c r="M420" s="1" t="s">
        <v>3529</v>
      </c>
      <c r="N420" t="s">
        <v>3529</v>
      </c>
      <c r="O420" s="1" t="s">
        <v>3530</v>
      </c>
      <c r="P420" s="1" t="s">
        <v>250</v>
      </c>
      <c r="Q420" s="11" t="s">
        <v>7207</v>
      </c>
      <c r="R420" s="1">
        <v>300</v>
      </c>
      <c r="S420" s="1">
        <v>132480</v>
      </c>
      <c r="T420" s="1" t="s">
        <v>3181</v>
      </c>
      <c r="U420" s="1">
        <v>12615808</v>
      </c>
      <c r="V420" t="s">
        <v>3531</v>
      </c>
      <c r="X420" t="s">
        <v>68</v>
      </c>
      <c r="Y420" t="s">
        <v>3532</v>
      </c>
      <c r="Z420" t="s">
        <v>3533</v>
      </c>
      <c r="AA420" t="s">
        <v>3534</v>
      </c>
      <c r="AB420" t="s">
        <v>3099</v>
      </c>
      <c r="AC420" t="s">
        <v>73</v>
      </c>
      <c r="AE420" t="s">
        <v>75</v>
      </c>
      <c r="AF420" t="s">
        <v>76</v>
      </c>
      <c r="AG420" t="s">
        <v>77</v>
      </c>
      <c r="AH420" t="s">
        <v>3535</v>
      </c>
      <c r="AI420" t="s">
        <v>364</v>
      </c>
      <c r="AJ420" t="s">
        <v>3536</v>
      </c>
      <c r="AK420" t="s">
        <v>158</v>
      </c>
      <c r="AL420" t="s">
        <v>3456</v>
      </c>
      <c r="AM420" t="s">
        <v>3457</v>
      </c>
      <c r="AO420">
        <v>62910</v>
      </c>
      <c r="AP420">
        <v>5241024</v>
      </c>
      <c r="AQ420">
        <v>290</v>
      </c>
      <c r="AR420" t="s">
        <v>84</v>
      </c>
      <c r="AS420">
        <v>562</v>
      </c>
      <c r="AV420">
        <v>562</v>
      </c>
      <c r="AX420" t="s">
        <v>88</v>
      </c>
      <c r="AZ420" t="s">
        <v>3537</v>
      </c>
      <c r="BA420">
        <v>9</v>
      </c>
    </row>
    <row r="421" spans="1:54" x14ac:dyDescent="0.2">
      <c r="A421" t="s">
        <v>3594</v>
      </c>
      <c r="B421" t="s">
        <v>3594</v>
      </c>
      <c r="C421" t="s">
        <v>3595</v>
      </c>
      <c r="D421" t="s">
        <v>3596</v>
      </c>
      <c r="E421" t="s">
        <v>3596</v>
      </c>
      <c r="G421" t="s">
        <v>56</v>
      </c>
      <c r="H421" t="s">
        <v>58</v>
      </c>
      <c r="I421" t="s">
        <v>140</v>
      </c>
      <c r="J421" t="s">
        <v>141</v>
      </c>
      <c r="K421" t="s">
        <v>7165</v>
      </c>
      <c r="L421" t="s">
        <v>7165</v>
      </c>
      <c r="M421" s="1" t="s">
        <v>3529</v>
      </c>
      <c r="N421" t="s">
        <v>3529</v>
      </c>
      <c r="O421" s="1" t="s">
        <v>3530</v>
      </c>
      <c r="P421" s="1" t="s">
        <v>250</v>
      </c>
      <c r="Q421" s="11" t="s">
        <v>7207</v>
      </c>
      <c r="R421" s="1">
        <v>300</v>
      </c>
      <c r="S421" s="1">
        <v>132480</v>
      </c>
      <c r="T421" s="1" t="s">
        <v>3181</v>
      </c>
      <c r="U421" s="1">
        <v>13558792</v>
      </c>
      <c r="V421" t="s">
        <v>3597</v>
      </c>
      <c r="W421" t="s">
        <v>3598</v>
      </c>
      <c r="X421" t="s">
        <v>68</v>
      </c>
      <c r="Y421" t="s">
        <v>3599</v>
      </c>
      <c r="Z421" t="s">
        <v>3600</v>
      </c>
      <c r="AA421" t="s">
        <v>3601</v>
      </c>
      <c r="AB421" t="s">
        <v>3099</v>
      </c>
      <c r="AC421" t="s">
        <v>73</v>
      </c>
      <c r="AD421" t="s">
        <v>3602</v>
      </c>
      <c r="AE421" t="s">
        <v>75</v>
      </c>
      <c r="AF421" t="s">
        <v>76</v>
      </c>
      <c r="AG421" t="s">
        <v>77</v>
      </c>
      <c r="AH421" t="s">
        <v>3603</v>
      </c>
      <c r="AI421" t="s">
        <v>364</v>
      </c>
      <c r="AJ421" t="s">
        <v>3536</v>
      </c>
      <c r="AK421" t="s">
        <v>158</v>
      </c>
      <c r="AL421" t="s">
        <v>159</v>
      </c>
      <c r="AM421" t="s">
        <v>83</v>
      </c>
      <c r="AO421">
        <v>77173</v>
      </c>
      <c r="AP421">
        <v>5285275</v>
      </c>
      <c r="AQ421">
        <v>230</v>
      </c>
      <c r="AR421" t="s">
        <v>84</v>
      </c>
      <c r="AS421">
        <v>562</v>
      </c>
      <c r="AT421" t="s">
        <v>85</v>
      </c>
      <c r="AU421" t="s">
        <v>86</v>
      </c>
      <c r="AV421">
        <v>562</v>
      </c>
      <c r="AW421" t="s">
        <v>3604</v>
      </c>
      <c r="AX421" t="s">
        <v>88</v>
      </c>
      <c r="AZ421" t="s">
        <v>3537</v>
      </c>
      <c r="BA421">
        <v>9</v>
      </c>
    </row>
    <row r="422" spans="1:54" x14ac:dyDescent="0.2">
      <c r="A422" t="s">
        <v>3605</v>
      </c>
      <c r="B422" t="s">
        <v>3605</v>
      </c>
      <c r="C422" t="s">
        <v>3595</v>
      </c>
      <c r="D422" t="s">
        <v>3606</v>
      </c>
      <c r="E422" t="s">
        <v>3606</v>
      </c>
      <c r="G422" t="s">
        <v>56</v>
      </c>
      <c r="H422" t="s">
        <v>93</v>
      </c>
      <c r="I422" t="s">
        <v>140</v>
      </c>
      <c r="J422" t="s">
        <v>141</v>
      </c>
      <c r="K422" t="s">
        <v>7165</v>
      </c>
      <c r="L422" t="s">
        <v>7165</v>
      </c>
      <c r="M422" s="1" t="s">
        <v>3607</v>
      </c>
      <c r="N422" t="s">
        <v>3607</v>
      </c>
      <c r="O422" s="1" t="s">
        <v>166</v>
      </c>
      <c r="P422" s="1" t="s">
        <v>250</v>
      </c>
      <c r="Q422" s="11" t="s">
        <v>7208</v>
      </c>
      <c r="R422" s="1">
        <v>224</v>
      </c>
      <c r="S422" s="1">
        <v>14963</v>
      </c>
      <c r="T422" s="1" t="s">
        <v>3608</v>
      </c>
      <c r="U422" s="1">
        <v>13558792</v>
      </c>
      <c r="V422" t="s">
        <v>3609</v>
      </c>
      <c r="W422" t="s">
        <v>3610</v>
      </c>
      <c r="X422" t="s">
        <v>68</v>
      </c>
      <c r="Y422" t="s">
        <v>3611</v>
      </c>
      <c r="Z422" t="s">
        <v>3612</v>
      </c>
      <c r="AA422" t="s">
        <v>3613</v>
      </c>
      <c r="AB422" t="s">
        <v>3285</v>
      </c>
      <c r="AC422" t="s">
        <v>73</v>
      </c>
      <c r="AD422" t="s">
        <v>3614</v>
      </c>
      <c r="AE422" t="s">
        <v>3615</v>
      </c>
      <c r="AF422" t="s">
        <v>76</v>
      </c>
      <c r="AG422" t="s">
        <v>77</v>
      </c>
      <c r="AH422" t="s">
        <v>3616</v>
      </c>
      <c r="AI422" t="s">
        <v>3617</v>
      </c>
      <c r="AJ422" t="s">
        <v>3618</v>
      </c>
      <c r="AK422" t="s">
        <v>158</v>
      </c>
      <c r="AL422" t="s">
        <v>159</v>
      </c>
      <c r="AM422" t="s">
        <v>83</v>
      </c>
      <c r="AO422">
        <v>35397</v>
      </c>
      <c r="AP422">
        <v>4873881</v>
      </c>
      <c r="AQ422">
        <v>349</v>
      </c>
      <c r="AR422" t="s">
        <v>84</v>
      </c>
      <c r="AS422">
        <v>562</v>
      </c>
      <c r="AT422" t="s">
        <v>85</v>
      </c>
      <c r="AU422" t="s">
        <v>86</v>
      </c>
      <c r="AV422">
        <v>562</v>
      </c>
      <c r="AW422" t="s">
        <v>3619</v>
      </c>
      <c r="AX422" t="s">
        <v>88</v>
      </c>
      <c r="AZ422" t="s">
        <v>3620</v>
      </c>
      <c r="BA422">
        <v>26</v>
      </c>
    </row>
    <row r="423" spans="1:54" x14ac:dyDescent="0.2">
      <c r="A423" t="s">
        <v>3289</v>
      </c>
      <c r="B423" t="s">
        <v>3289</v>
      </c>
      <c r="C423" t="s">
        <v>3290</v>
      </c>
      <c r="D423" t="s">
        <v>3291</v>
      </c>
      <c r="E423" t="s">
        <v>3291</v>
      </c>
      <c r="G423" t="s">
        <v>56</v>
      </c>
      <c r="H423" t="s">
        <v>93</v>
      </c>
      <c r="I423" t="s">
        <v>140</v>
      </c>
      <c r="J423" t="s">
        <v>141</v>
      </c>
      <c r="K423" t="s">
        <v>7165</v>
      </c>
      <c r="L423" t="s">
        <v>7165</v>
      </c>
      <c r="M423" s="1" t="s">
        <v>124</v>
      </c>
      <c r="N423" t="s">
        <v>3292</v>
      </c>
      <c r="O423" s="1" t="s">
        <v>3090</v>
      </c>
      <c r="P423" s="1" t="s">
        <v>127</v>
      </c>
      <c r="Q423" s="11" t="s">
        <v>7209</v>
      </c>
      <c r="R423" s="1">
        <v>154</v>
      </c>
      <c r="S423" s="1">
        <v>30050</v>
      </c>
      <c r="T423" s="1" t="s">
        <v>3196</v>
      </c>
      <c r="U423" s="1">
        <v>11911991</v>
      </c>
      <c r="V423" t="s">
        <v>3293</v>
      </c>
      <c r="W423" t="s">
        <v>3294</v>
      </c>
      <c r="X423" t="s">
        <v>68</v>
      </c>
      <c r="Y423" t="s">
        <v>3295</v>
      </c>
      <c r="Z423" t="s">
        <v>3296</v>
      </c>
      <c r="AA423" t="s">
        <v>3297</v>
      </c>
      <c r="AB423" t="s">
        <v>3285</v>
      </c>
      <c r="AC423" t="s">
        <v>73</v>
      </c>
      <c r="AD423" t="s">
        <v>3298</v>
      </c>
      <c r="AE423" t="s">
        <v>75</v>
      </c>
      <c r="AF423" t="s">
        <v>76</v>
      </c>
      <c r="AG423" t="s">
        <v>77</v>
      </c>
      <c r="AH423" t="s">
        <v>3299</v>
      </c>
      <c r="AI423" t="s">
        <v>107</v>
      </c>
      <c r="AJ423" t="s">
        <v>80</v>
      </c>
      <c r="AK423" t="s">
        <v>158</v>
      </c>
      <c r="AL423" t="s">
        <v>159</v>
      </c>
      <c r="AM423" t="s">
        <v>83</v>
      </c>
      <c r="AO423">
        <v>123308</v>
      </c>
      <c r="AP423">
        <v>4948333</v>
      </c>
      <c r="AQ423">
        <v>184</v>
      </c>
      <c r="AR423" t="s">
        <v>84</v>
      </c>
      <c r="AS423">
        <v>562</v>
      </c>
      <c r="AT423" t="s">
        <v>85</v>
      </c>
      <c r="AU423" t="s">
        <v>86</v>
      </c>
      <c r="AV423">
        <v>562</v>
      </c>
      <c r="AW423" t="s">
        <v>3300</v>
      </c>
      <c r="AX423" t="s">
        <v>88</v>
      </c>
    </row>
    <row r="424" spans="1:54" x14ac:dyDescent="0.2">
      <c r="A424" t="s">
        <v>3900</v>
      </c>
      <c r="B424" t="s">
        <v>3900</v>
      </c>
      <c r="C424" t="s">
        <v>3901</v>
      </c>
      <c r="D424" t="s">
        <v>3902</v>
      </c>
      <c r="E424" t="s">
        <v>3902</v>
      </c>
      <c r="G424" t="s">
        <v>56</v>
      </c>
      <c r="H424" t="s">
        <v>93</v>
      </c>
      <c r="I424" t="s">
        <v>140</v>
      </c>
      <c r="J424" t="s">
        <v>141</v>
      </c>
      <c r="K424" t="s">
        <v>7165</v>
      </c>
      <c r="L424" t="s">
        <v>7165</v>
      </c>
      <c r="M424" s="1" t="s">
        <v>3903</v>
      </c>
      <c r="N424" t="s">
        <v>3903</v>
      </c>
      <c r="O424" s="1" t="s">
        <v>166</v>
      </c>
      <c r="P424" s="1" t="s">
        <v>250</v>
      </c>
      <c r="Q424" s="11" t="s">
        <v>7208</v>
      </c>
      <c r="R424" s="1">
        <v>101</v>
      </c>
      <c r="S424" s="1">
        <v>1589</v>
      </c>
      <c r="T424" s="1" t="s">
        <v>3904</v>
      </c>
      <c r="U424" s="1">
        <v>14969510</v>
      </c>
      <c r="V424" t="s">
        <v>3905</v>
      </c>
      <c r="W424" t="s">
        <v>3906</v>
      </c>
      <c r="X424" t="s">
        <v>68</v>
      </c>
      <c r="Y424" t="s">
        <v>3907</v>
      </c>
      <c r="Z424" t="s">
        <v>3908</v>
      </c>
      <c r="AA424" t="s">
        <v>3909</v>
      </c>
      <c r="AB424" t="s">
        <v>3285</v>
      </c>
      <c r="AC424" t="s">
        <v>73</v>
      </c>
      <c r="AD424" t="s">
        <v>3910</v>
      </c>
      <c r="AE424" t="s">
        <v>3911</v>
      </c>
      <c r="AF424" t="s">
        <v>76</v>
      </c>
      <c r="AG424" t="s">
        <v>77</v>
      </c>
      <c r="AH424" t="s">
        <v>3912</v>
      </c>
      <c r="AI424" t="s">
        <v>3115</v>
      </c>
      <c r="AJ424" t="s">
        <v>3913</v>
      </c>
      <c r="AK424" t="s">
        <v>158</v>
      </c>
      <c r="AL424" t="s">
        <v>159</v>
      </c>
      <c r="AM424" t="s">
        <v>83</v>
      </c>
      <c r="AO424">
        <v>157492</v>
      </c>
      <c r="AP424">
        <v>5086549</v>
      </c>
      <c r="AQ424">
        <v>120</v>
      </c>
      <c r="AR424" t="s">
        <v>84</v>
      </c>
      <c r="AS424">
        <v>562</v>
      </c>
      <c r="AT424" t="s">
        <v>85</v>
      </c>
      <c r="AU424" t="s">
        <v>86</v>
      </c>
      <c r="AV424">
        <v>562</v>
      </c>
      <c r="AW424" t="s">
        <v>3914</v>
      </c>
      <c r="AX424" t="s">
        <v>88</v>
      </c>
    </row>
    <row r="425" spans="1:54" x14ac:dyDescent="0.2">
      <c r="A425" t="s">
        <v>3276</v>
      </c>
      <c r="B425" t="s">
        <v>3276</v>
      </c>
      <c r="C425" t="s">
        <v>3277</v>
      </c>
      <c r="D425" t="s">
        <v>3278</v>
      </c>
      <c r="E425" t="s">
        <v>3278</v>
      </c>
      <c r="G425" t="s">
        <v>56</v>
      </c>
      <c r="H425" t="s">
        <v>93</v>
      </c>
      <c r="I425" t="s">
        <v>140</v>
      </c>
      <c r="J425" t="s">
        <v>141</v>
      </c>
      <c r="K425" t="s">
        <v>7165</v>
      </c>
      <c r="L425" t="s">
        <v>7165</v>
      </c>
      <c r="M425" s="1" t="s">
        <v>183</v>
      </c>
      <c r="N425" t="s">
        <v>3279</v>
      </c>
      <c r="O425" s="1" t="s">
        <v>126</v>
      </c>
      <c r="P425" s="1" t="s">
        <v>185</v>
      </c>
      <c r="Q425" s="11" t="s">
        <v>7210</v>
      </c>
      <c r="R425" s="1">
        <v>33</v>
      </c>
      <c r="S425" s="1">
        <v>1587</v>
      </c>
      <c r="T425" s="1" t="s">
        <v>169</v>
      </c>
      <c r="U425" s="1">
        <v>11774122</v>
      </c>
      <c r="V425" t="s">
        <v>3280</v>
      </c>
      <c r="W425" t="s">
        <v>3281</v>
      </c>
      <c r="X425" t="s">
        <v>68</v>
      </c>
      <c r="Y425" t="s">
        <v>3282</v>
      </c>
      <c r="Z425" t="s">
        <v>3283</v>
      </c>
      <c r="AA425" t="s">
        <v>3284</v>
      </c>
      <c r="AB425" t="s">
        <v>3285</v>
      </c>
      <c r="AC425" t="s">
        <v>73</v>
      </c>
      <c r="AD425" t="s">
        <v>3286</v>
      </c>
      <c r="AE425" t="s">
        <v>75</v>
      </c>
      <c r="AF425" t="s">
        <v>76</v>
      </c>
      <c r="AG425" t="s">
        <v>77</v>
      </c>
      <c r="AH425" t="s">
        <v>3287</v>
      </c>
      <c r="AI425" t="s">
        <v>546</v>
      </c>
      <c r="AJ425" t="s">
        <v>80</v>
      </c>
      <c r="AK425" t="s">
        <v>158</v>
      </c>
      <c r="AL425" t="s">
        <v>159</v>
      </c>
      <c r="AM425" t="s">
        <v>83</v>
      </c>
      <c r="AO425">
        <v>50004</v>
      </c>
      <c r="AP425">
        <v>5401913</v>
      </c>
      <c r="AQ425">
        <v>332</v>
      </c>
      <c r="AR425" t="s">
        <v>84</v>
      </c>
      <c r="AS425">
        <v>562</v>
      </c>
      <c r="AT425" t="s">
        <v>85</v>
      </c>
      <c r="AU425" t="s">
        <v>86</v>
      </c>
      <c r="AV425">
        <v>562</v>
      </c>
      <c r="AW425" t="s">
        <v>3288</v>
      </c>
      <c r="AX425" t="s">
        <v>88</v>
      </c>
    </row>
    <row r="426" spans="1:54" x14ac:dyDescent="0.2">
      <c r="A426" t="s">
        <v>4386</v>
      </c>
      <c r="B426" t="s">
        <v>4386</v>
      </c>
      <c r="C426" t="s">
        <v>4387</v>
      </c>
      <c r="D426" t="s">
        <v>4388</v>
      </c>
      <c r="E426" t="s">
        <v>4388</v>
      </c>
      <c r="G426" t="s">
        <v>56</v>
      </c>
      <c r="H426" t="s">
        <v>58</v>
      </c>
      <c r="I426" t="s">
        <v>140</v>
      </c>
      <c r="J426" t="s">
        <v>4389</v>
      </c>
      <c r="K426" t="s">
        <v>7165</v>
      </c>
      <c r="L426" t="s">
        <v>7165</v>
      </c>
      <c r="M426" s="1" t="s">
        <v>603</v>
      </c>
      <c r="N426" t="s">
        <v>603</v>
      </c>
      <c r="O426" s="1" t="s">
        <v>650</v>
      </c>
      <c r="P426" s="1" t="s">
        <v>127</v>
      </c>
      <c r="Q426" s="11" t="s">
        <v>7211</v>
      </c>
      <c r="R426" s="1">
        <v>11</v>
      </c>
      <c r="S426" s="1">
        <v>2124</v>
      </c>
      <c r="T426" s="1" t="s">
        <v>651</v>
      </c>
      <c r="U426" s="1">
        <v>12735244</v>
      </c>
      <c r="V426" t="s">
        <v>4390</v>
      </c>
      <c r="W426" t="s">
        <v>4391</v>
      </c>
      <c r="X426" t="s">
        <v>68</v>
      </c>
      <c r="Y426" t="s">
        <v>4392</v>
      </c>
      <c r="Z426" t="s">
        <v>4393</v>
      </c>
      <c r="AA426" t="s">
        <v>4394</v>
      </c>
      <c r="AB426" t="s">
        <v>3271</v>
      </c>
      <c r="AC426" t="s">
        <v>73</v>
      </c>
      <c r="AD426" t="s">
        <v>4395</v>
      </c>
      <c r="AE426" t="s">
        <v>75</v>
      </c>
      <c r="AF426" t="s">
        <v>76</v>
      </c>
      <c r="AG426" t="s">
        <v>77</v>
      </c>
      <c r="AH426" t="s">
        <v>4396</v>
      </c>
      <c r="AI426" t="s">
        <v>615</v>
      </c>
      <c r="AJ426" t="s">
        <v>616</v>
      </c>
      <c r="AK426" t="s">
        <v>158</v>
      </c>
      <c r="AL426" t="s">
        <v>159</v>
      </c>
      <c r="AM426" t="s">
        <v>83</v>
      </c>
      <c r="AO426">
        <v>98874</v>
      </c>
      <c r="AP426">
        <v>5458780</v>
      </c>
      <c r="AQ426">
        <v>397</v>
      </c>
      <c r="AR426" t="s">
        <v>84</v>
      </c>
      <c r="AS426">
        <v>562</v>
      </c>
      <c r="AT426" t="s">
        <v>85</v>
      </c>
      <c r="AU426" t="s">
        <v>86</v>
      </c>
      <c r="AV426">
        <v>562</v>
      </c>
      <c r="AW426" t="s">
        <v>4397</v>
      </c>
      <c r="AX426" t="s">
        <v>88</v>
      </c>
      <c r="AZ426" t="s">
        <v>659</v>
      </c>
      <c r="BA426">
        <v>8</v>
      </c>
      <c r="BB426">
        <v>17</v>
      </c>
    </row>
    <row r="427" spans="1:54" x14ac:dyDescent="0.2">
      <c r="A427" t="s">
        <v>3257</v>
      </c>
      <c r="B427" t="s">
        <v>3257</v>
      </c>
      <c r="C427" t="s">
        <v>3258</v>
      </c>
      <c r="D427" t="s">
        <v>3259</v>
      </c>
      <c r="E427" t="s">
        <v>3259</v>
      </c>
      <c r="G427" t="s">
        <v>56</v>
      </c>
      <c r="H427" t="s">
        <v>58</v>
      </c>
      <c r="I427" t="s">
        <v>140</v>
      </c>
      <c r="J427" t="s">
        <v>3260</v>
      </c>
      <c r="K427" t="s">
        <v>7165</v>
      </c>
      <c r="L427" t="s">
        <v>7165</v>
      </c>
      <c r="M427" s="1" t="s">
        <v>3261</v>
      </c>
      <c r="N427" t="s">
        <v>3262</v>
      </c>
      <c r="O427" s="1" t="s">
        <v>126</v>
      </c>
      <c r="P427" s="1" t="s">
        <v>3263</v>
      </c>
      <c r="Q427" s="11" t="s">
        <v>7212</v>
      </c>
      <c r="R427" s="1">
        <v>10</v>
      </c>
      <c r="S427" s="1">
        <v>168635</v>
      </c>
      <c r="T427" s="1" t="s">
        <v>3265</v>
      </c>
      <c r="U427" s="1">
        <v>11587507</v>
      </c>
      <c r="V427" t="s">
        <v>3266</v>
      </c>
      <c r="W427" t="s">
        <v>3267</v>
      </c>
      <c r="X427" t="s">
        <v>68</v>
      </c>
      <c r="Y427" t="s">
        <v>3268</v>
      </c>
      <c r="Z427" t="s">
        <v>3269</v>
      </c>
      <c r="AA427" t="s">
        <v>3270</v>
      </c>
      <c r="AB427" t="s">
        <v>3271</v>
      </c>
      <c r="AC427" t="s">
        <v>73</v>
      </c>
      <c r="AD427" t="s">
        <v>3272</v>
      </c>
      <c r="AF427" t="s">
        <v>76</v>
      </c>
      <c r="AG427" t="s">
        <v>77</v>
      </c>
      <c r="AH427" t="s">
        <v>3273</v>
      </c>
      <c r="AI427" t="s">
        <v>364</v>
      </c>
      <c r="AJ427" t="s">
        <v>3274</v>
      </c>
      <c r="AK427" t="s">
        <v>158</v>
      </c>
      <c r="AL427" t="s">
        <v>159</v>
      </c>
      <c r="AM427" t="s">
        <v>83</v>
      </c>
      <c r="AO427">
        <v>89273</v>
      </c>
      <c r="AP427">
        <v>4946326</v>
      </c>
      <c r="AQ427">
        <v>170</v>
      </c>
      <c r="AR427" t="s">
        <v>84</v>
      </c>
      <c r="AS427">
        <v>562</v>
      </c>
      <c r="AT427" t="s">
        <v>85</v>
      </c>
      <c r="AU427" t="s">
        <v>86</v>
      </c>
      <c r="AV427">
        <v>562</v>
      </c>
      <c r="AW427" t="s">
        <v>3275</v>
      </c>
      <c r="AX427" t="s">
        <v>88</v>
      </c>
    </row>
    <row r="428" spans="1:54" x14ac:dyDescent="0.2">
      <c r="A428" t="s">
        <v>3190</v>
      </c>
      <c r="B428" t="s">
        <v>3190</v>
      </c>
      <c r="C428" t="s">
        <v>3191</v>
      </c>
      <c r="D428" t="s">
        <v>3192</v>
      </c>
      <c r="E428" t="s">
        <v>3192</v>
      </c>
      <c r="G428" t="s">
        <v>56</v>
      </c>
      <c r="H428" t="s">
        <v>93</v>
      </c>
      <c r="I428" t="s">
        <v>406</v>
      </c>
      <c r="J428" t="s">
        <v>3193</v>
      </c>
      <c r="K428" t="s">
        <v>7165</v>
      </c>
      <c r="L428" t="s">
        <v>7165</v>
      </c>
      <c r="M428" s="1" t="s">
        <v>3194</v>
      </c>
      <c r="N428" t="s">
        <v>3195</v>
      </c>
      <c r="O428" s="1" t="s">
        <v>166</v>
      </c>
      <c r="P428" s="1" t="s">
        <v>167</v>
      </c>
      <c r="Q428" s="11" t="s">
        <v>7197</v>
      </c>
      <c r="R428" s="1">
        <v>15700</v>
      </c>
      <c r="S428" s="1">
        <v>168645</v>
      </c>
      <c r="T428" s="1" t="s">
        <v>3196</v>
      </c>
      <c r="U428" s="1">
        <v>11889268</v>
      </c>
      <c r="V428" t="s">
        <v>3197</v>
      </c>
      <c r="W428" t="s">
        <v>3198</v>
      </c>
      <c r="X428" t="s">
        <v>68</v>
      </c>
      <c r="Y428" t="s">
        <v>3199</v>
      </c>
      <c r="Z428" t="s">
        <v>3200</v>
      </c>
      <c r="AA428" t="s">
        <v>3201</v>
      </c>
      <c r="AB428" t="s">
        <v>3202</v>
      </c>
      <c r="AC428" t="s">
        <v>73</v>
      </c>
      <c r="AD428" t="s">
        <v>3203</v>
      </c>
      <c r="AE428" t="s">
        <v>75</v>
      </c>
      <c r="AF428" t="s">
        <v>76</v>
      </c>
      <c r="AG428" t="s">
        <v>77</v>
      </c>
      <c r="AH428" t="s">
        <v>3204</v>
      </c>
      <c r="AI428" t="s">
        <v>107</v>
      </c>
      <c r="AJ428" t="s">
        <v>80</v>
      </c>
      <c r="AK428" t="s">
        <v>158</v>
      </c>
      <c r="AL428" t="s">
        <v>159</v>
      </c>
      <c r="AM428" t="s">
        <v>83</v>
      </c>
      <c r="AO428">
        <v>85769</v>
      </c>
      <c r="AP428">
        <v>5006230</v>
      </c>
      <c r="AQ428">
        <v>244</v>
      </c>
      <c r="AR428" t="s">
        <v>84</v>
      </c>
      <c r="AS428">
        <v>562</v>
      </c>
      <c r="AT428" t="s">
        <v>85</v>
      </c>
      <c r="AU428" t="s">
        <v>86</v>
      </c>
      <c r="AV428">
        <v>562</v>
      </c>
      <c r="AW428" t="s">
        <v>3205</v>
      </c>
      <c r="AX428" t="s">
        <v>88</v>
      </c>
    </row>
    <row r="429" spans="1:54" x14ac:dyDescent="0.2">
      <c r="A429" t="s">
        <v>3809</v>
      </c>
      <c r="B429" t="s">
        <v>3809</v>
      </c>
      <c r="C429" t="s">
        <v>3797</v>
      </c>
      <c r="D429" t="s">
        <v>3810</v>
      </c>
      <c r="E429" t="s">
        <v>3810</v>
      </c>
      <c r="G429" t="s">
        <v>56</v>
      </c>
      <c r="H429" t="s">
        <v>58</v>
      </c>
      <c r="I429" t="s">
        <v>406</v>
      </c>
      <c r="J429" t="s">
        <v>389</v>
      </c>
      <c r="K429" t="s">
        <v>7165</v>
      </c>
      <c r="L429" t="s">
        <v>7165</v>
      </c>
      <c r="M429" s="1" t="s">
        <v>3635</v>
      </c>
      <c r="N429" t="s">
        <v>3635</v>
      </c>
      <c r="O429" s="1" t="s">
        <v>3090</v>
      </c>
      <c r="P429" s="1" t="s">
        <v>434</v>
      </c>
      <c r="Q429" s="11" t="s">
        <v>7213</v>
      </c>
      <c r="R429" s="1">
        <v>447</v>
      </c>
      <c r="S429" s="1">
        <v>30763</v>
      </c>
      <c r="T429" s="1" t="s">
        <v>3196</v>
      </c>
      <c r="U429" s="1">
        <v>14435407</v>
      </c>
      <c r="V429" t="s">
        <v>3812</v>
      </c>
      <c r="W429" t="s">
        <v>3813</v>
      </c>
      <c r="X429" t="s">
        <v>68</v>
      </c>
      <c r="Y429" t="s">
        <v>3814</v>
      </c>
      <c r="Z429" t="s">
        <v>3815</v>
      </c>
      <c r="AA429" t="s">
        <v>3816</v>
      </c>
      <c r="AB429" t="s">
        <v>3202</v>
      </c>
      <c r="AC429" t="s">
        <v>73</v>
      </c>
      <c r="AD429" t="s">
        <v>3817</v>
      </c>
      <c r="AE429" t="s">
        <v>75</v>
      </c>
      <c r="AF429" t="s">
        <v>76</v>
      </c>
      <c r="AG429" t="s">
        <v>77</v>
      </c>
      <c r="AH429" t="s">
        <v>3818</v>
      </c>
      <c r="AI429" t="s">
        <v>364</v>
      </c>
      <c r="AJ429" t="s">
        <v>80</v>
      </c>
      <c r="AK429" t="s">
        <v>158</v>
      </c>
      <c r="AL429" t="s">
        <v>159</v>
      </c>
      <c r="AM429" t="s">
        <v>83</v>
      </c>
      <c r="AO429">
        <v>151901</v>
      </c>
      <c r="AP429">
        <v>5339502</v>
      </c>
      <c r="AQ429">
        <v>271</v>
      </c>
      <c r="AR429" t="s">
        <v>84</v>
      </c>
      <c r="AS429">
        <v>562</v>
      </c>
      <c r="AT429" t="s">
        <v>85</v>
      </c>
      <c r="AU429" t="s">
        <v>86</v>
      </c>
      <c r="AV429">
        <v>562</v>
      </c>
      <c r="AW429" t="s">
        <v>3819</v>
      </c>
      <c r="AX429" t="s">
        <v>88</v>
      </c>
    </row>
    <row r="430" spans="1:54" x14ac:dyDescent="0.2">
      <c r="A430" t="s">
        <v>3458</v>
      </c>
      <c r="B430" t="s">
        <v>3458</v>
      </c>
      <c r="C430" t="s">
        <v>3459</v>
      </c>
      <c r="D430" t="s">
        <v>3460</v>
      </c>
      <c r="E430" t="s">
        <v>3460</v>
      </c>
      <c r="G430" t="s">
        <v>56</v>
      </c>
      <c r="H430" t="s">
        <v>58</v>
      </c>
      <c r="I430" t="s">
        <v>406</v>
      </c>
      <c r="J430" t="s">
        <v>389</v>
      </c>
      <c r="K430" t="s">
        <v>7165</v>
      </c>
      <c r="L430" t="s">
        <v>7165</v>
      </c>
      <c r="M430" s="1" t="s">
        <v>3461</v>
      </c>
      <c r="N430" t="s">
        <v>3461</v>
      </c>
      <c r="O430" s="1" t="s">
        <v>3090</v>
      </c>
      <c r="P430" s="1" t="s">
        <v>434</v>
      </c>
      <c r="Q430" s="11" t="s">
        <v>7214</v>
      </c>
      <c r="R430" s="1">
        <v>10</v>
      </c>
      <c r="S430" s="1">
        <v>29474</v>
      </c>
      <c r="T430" s="1" t="s">
        <v>3265</v>
      </c>
      <c r="U430" s="1">
        <v>12640899</v>
      </c>
      <c r="V430" t="s">
        <v>3462</v>
      </c>
      <c r="W430" t="s">
        <v>3463</v>
      </c>
      <c r="X430" t="s">
        <v>68</v>
      </c>
      <c r="Y430" t="s">
        <v>3464</v>
      </c>
      <c r="Z430" t="s">
        <v>3465</v>
      </c>
      <c r="AA430" t="s">
        <v>3466</v>
      </c>
      <c r="AB430" t="s">
        <v>3125</v>
      </c>
      <c r="AC430" t="s">
        <v>73</v>
      </c>
      <c r="AD430" t="s">
        <v>3467</v>
      </c>
      <c r="AF430" t="s">
        <v>76</v>
      </c>
      <c r="AG430" t="s">
        <v>77</v>
      </c>
      <c r="AH430" t="s">
        <v>3468</v>
      </c>
      <c r="AI430" t="s">
        <v>79</v>
      </c>
      <c r="AJ430" t="s">
        <v>531</v>
      </c>
      <c r="AK430" t="s">
        <v>158</v>
      </c>
      <c r="AL430" t="s">
        <v>159</v>
      </c>
      <c r="AM430" t="s">
        <v>83</v>
      </c>
      <c r="AO430">
        <v>125708</v>
      </c>
      <c r="AP430">
        <v>5480430</v>
      </c>
      <c r="AQ430">
        <v>203</v>
      </c>
      <c r="AR430" t="s">
        <v>84</v>
      </c>
      <c r="AS430">
        <v>562</v>
      </c>
      <c r="AT430" t="s">
        <v>85</v>
      </c>
      <c r="AU430" t="s">
        <v>86</v>
      </c>
      <c r="AV430">
        <v>562</v>
      </c>
      <c r="AW430" t="s">
        <v>3469</v>
      </c>
      <c r="AX430" t="s">
        <v>88</v>
      </c>
      <c r="AZ430" t="s">
        <v>3470</v>
      </c>
      <c r="BA430">
        <v>0</v>
      </c>
    </row>
    <row r="431" spans="1:54" x14ac:dyDescent="0.2">
      <c r="A431" t="s">
        <v>3699</v>
      </c>
      <c r="B431" t="s">
        <v>3699</v>
      </c>
      <c r="C431" t="s">
        <v>3700</v>
      </c>
      <c r="D431" t="s">
        <v>3701</v>
      </c>
      <c r="E431" t="s">
        <v>3701</v>
      </c>
      <c r="G431" t="s">
        <v>56</v>
      </c>
      <c r="H431" t="s">
        <v>93</v>
      </c>
      <c r="I431" t="s">
        <v>406</v>
      </c>
      <c r="J431" t="s">
        <v>389</v>
      </c>
      <c r="K431" t="s">
        <v>7165</v>
      </c>
      <c r="L431" t="s">
        <v>7165</v>
      </c>
      <c r="M431" s="1" t="s">
        <v>3702</v>
      </c>
      <c r="N431" t="s">
        <v>3703</v>
      </c>
      <c r="O431" s="1" t="s">
        <v>126</v>
      </c>
      <c r="P431" s="1" t="s">
        <v>434</v>
      </c>
      <c r="Q431" s="11" t="s">
        <v>7215</v>
      </c>
      <c r="R431" s="1">
        <v>11366</v>
      </c>
      <c r="S431" s="1">
        <v>145191</v>
      </c>
      <c r="T431" s="1" t="s">
        <v>3196</v>
      </c>
      <c r="U431" s="1">
        <v>14294856</v>
      </c>
      <c r="V431" t="s">
        <v>3704</v>
      </c>
      <c r="W431" t="s">
        <v>3705</v>
      </c>
      <c r="X431" t="s">
        <v>68</v>
      </c>
      <c r="Y431" t="s">
        <v>3706</v>
      </c>
      <c r="Z431" t="s">
        <v>3707</v>
      </c>
      <c r="AA431" t="s">
        <v>3708</v>
      </c>
      <c r="AB431" t="s">
        <v>3125</v>
      </c>
      <c r="AC431" t="s">
        <v>73</v>
      </c>
      <c r="AD431" t="s">
        <v>3709</v>
      </c>
      <c r="AE431" t="s">
        <v>75</v>
      </c>
      <c r="AF431" t="s">
        <v>76</v>
      </c>
      <c r="AG431" t="s">
        <v>77</v>
      </c>
      <c r="AH431" t="s">
        <v>3710</v>
      </c>
      <c r="AI431" t="s">
        <v>156</v>
      </c>
      <c r="AJ431" t="s">
        <v>80</v>
      </c>
      <c r="AK431" t="s">
        <v>158</v>
      </c>
      <c r="AL431" t="s">
        <v>159</v>
      </c>
      <c r="AM431" t="s">
        <v>83</v>
      </c>
      <c r="AO431">
        <v>52235</v>
      </c>
      <c r="AP431">
        <v>5104847</v>
      </c>
      <c r="AQ431">
        <v>222</v>
      </c>
      <c r="AR431" t="s">
        <v>84</v>
      </c>
      <c r="AS431">
        <v>562</v>
      </c>
      <c r="AT431" t="s">
        <v>85</v>
      </c>
      <c r="AU431" t="s">
        <v>86</v>
      </c>
      <c r="AV431">
        <v>562</v>
      </c>
      <c r="AW431" t="s">
        <v>3711</v>
      </c>
      <c r="AX431" t="s">
        <v>88</v>
      </c>
    </row>
    <row r="432" spans="1:54" x14ac:dyDescent="0.2">
      <c r="A432" t="s">
        <v>3118</v>
      </c>
      <c r="B432" t="s">
        <v>3118</v>
      </c>
      <c r="C432" t="s">
        <v>3104</v>
      </c>
      <c r="D432" t="s">
        <v>3119</v>
      </c>
      <c r="E432" t="s">
        <v>3119</v>
      </c>
      <c r="G432" t="s">
        <v>56</v>
      </c>
      <c r="H432" t="s">
        <v>93</v>
      </c>
      <c r="I432" t="s">
        <v>406</v>
      </c>
      <c r="J432" t="s">
        <v>480</v>
      </c>
      <c r="K432" t="s">
        <v>7165</v>
      </c>
      <c r="L432" t="s">
        <v>7165</v>
      </c>
      <c r="M432" s="1" t="s">
        <v>183</v>
      </c>
      <c r="N432" t="s">
        <v>183</v>
      </c>
      <c r="O432" s="1" t="s">
        <v>3090</v>
      </c>
      <c r="P432" s="1" t="s">
        <v>185</v>
      </c>
      <c r="Q432" s="11" t="s">
        <v>7210</v>
      </c>
      <c r="R432" s="1">
        <v>33</v>
      </c>
      <c r="S432" s="1">
        <v>1587</v>
      </c>
      <c r="T432" s="1" t="s">
        <v>169</v>
      </c>
      <c r="U432" s="1">
        <v>12617846</v>
      </c>
      <c r="V432" t="s">
        <v>3120</v>
      </c>
      <c r="W432" t="s">
        <v>3121</v>
      </c>
      <c r="X432" t="s">
        <v>68</v>
      </c>
      <c r="Y432" t="s">
        <v>3122</v>
      </c>
      <c r="Z432" t="s">
        <v>3123</v>
      </c>
      <c r="AA432" t="s">
        <v>3124</v>
      </c>
      <c r="AB432" t="s">
        <v>3125</v>
      </c>
      <c r="AC432" t="s">
        <v>73</v>
      </c>
      <c r="AD432" t="s">
        <v>3126</v>
      </c>
      <c r="AE432" t="s">
        <v>75</v>
      </c>
      <c r="AF432" t="s">
        <v>76</v>
      </c>
      <c r="AG432" t="s">
        <v>77</v>
      </c>
      <c r="AH432" t="s">
        <v>3127</v>
      </c>
      <c r="AI432" t="s">
        <v>156</v>
      </c>
      <c r="AJ432" t="s">
        <v>80</v>
      </c>
      <c r="AK432" t="s">
        <v>158</v>
      </c>
      <c r="AL432" t="s">
        <v>159</v>
      </c>
      <c r="AM432" t="s">
        <v>83</v>
      </c>
      <c r="AO432">
        <v>81464</v>
      </c>
      <c r="AP432">
        <v>5420845</v>
      </c>
      <c r="AQ432">
        <v>281</v>
      </c>
      <c r="AR432" t="s">
        <v>84</v>
      </c>
      <c r="AS432">
        <v>562</v>
      </c>
      <c r="AT432" t="s">
        <v>85</v>
      </c>
      <c r="AU432" t="s">
        <v>86</v>
      </c>
      <c r="AV432">
        <v>562</v>
      </c>
      <c r="AW432" t="s">
        <v>3128</v>
      </c>
      <c r="AX432" t="s">
        <v>88</v>
      </c>
    </row>
    <row r="433" spans="1:54" x14ac:dyDescent="0.2">
      <c r="A433" t="s">
        <v>3762</v>
      </c>
      <c r="B433" t="s">
        <v>3762</v>
      </c>
      <c r="C433" t="s">
        <v>3763</v>
      </c>
      <c r="D433" t="s">
        <v>3764</v>
      </c>
      <c r="E433" t="s">
        <v>3764</v>
      </c>
      <c r="G433" t="s">
        <v>56</v>
      </c>
      <c r="H433" t="s">
        <v>93</v>
      </c>
      <c r="I433" t="s">
        <v>406</v>
      </c>
      <c r="J433" t="s">
        <v>389</v>
      </c>
      <c r="K433" t="s">
        <v>7165</v>
      </c>
      <c r="L433" t="s">
        <v>7165</v>
      </c>
      <c r="M433" s="1" t="s">
        <v>183</v>
      </c>
      <c r="N433" t="s">
        <v>183</v>
      </c>
      <c r="O433" s="1" t="s">
        <v>126</v>
      </c>
      <c r="P433" s="1" t="s">
        <v>185</v>
      </c>
      <c r="Q433" s="11" t="s">
        <v>7210</v>
      </c>
      <c r="R433" s="1">
        <v>33</v>
      </c>
      <c r="S433" s="1">
        <v>1587</v>
      </c>
      <c r="T433" s="1" t="s">
        <v>169</v>
      </c>
      <c r="U433" s="1">
        <v>14340307</v>
      </c>
      <c r="V433" t="s">
        <v>3765</v>
      </c>
      <c r="W433" t="s">
        <v>3766</v>
      </c>
      <c r="X433" t="s">
        <v>68</v>
      </c>
      <c r="Y433" t="s">
        <v>3767</v>
      </c>
      <c r="Z433" t="s">
        <v>3768</v>
      </c>
      <c r="AA433" t="s">
        <v>3769</v>
      </c>
      <c r="AB433" t="s">
        <v>3125</v>
      </c>
      <c r="AC433" t="s">
        <v>73</v>
      </c>
      <c r="AD433" t="s">
        <v>3770</v>
      </c>
      <c r="AE433" t="s">
        <v>75</v>
      </c>
      <c r="AF433" t="s">
        <v>76</v>
      </c>
      <c r="AG433" t="s">
        <v>77</v>
      </c>
      <c r="AH433" t="s">
        <v>3771</v>
      </c>
      <c r="AI433" t="s">
        <v>156</v>
      </c>
      <c r="AJ433" t="s">
        <v>80</v>
      </c>
      <c r="AK433" t="s">
        <v>158</v>
      </c>
      <c r="AL433" t="s">
        <v>159</v>
      </c>
      <c r="AM433" t="s">
        <v>83</v>
      </c>
      <c r="AO433">
        <v>95385</v>
      </c>
      <c r="AP433">
        <v>5570081</v>
      </c>
      <c r="AQ433">
        <v>188</v>
      </c>
      <c r="AR433" t="s">
        <v>84</v>
      </c>
      <c r="AS433">
        <v>562</v>
      </c>
      <c r="AT433" t="s">
        <v>85</v>
      </c>
      <c r="AU433" t="s">
        <v>86</v>
      </c>
      <c r="AV433">
        <v>562</v>
      </c>
      <c r="AW433" t="s">
        <v>3772</v>
      </c>
      <c r="AX433" t="s">
        <v>88</v>
      </c>
    </row>
    <row r="434" spans="1:54" x14ac:dyDescent="0.2">
      <c r="A434" t="s">
        <v>3375</v>
      </c>
      <c r="B434" t="s">
        <v>3375</v>
      </c>
      <c r="C434" t="s">
        <v>3376</v>
      </c>
      <c r="D434" t="s">
        <v>3377</v>
      </c>
      <c r="E434" t="s">
        <v>3377</v>
      </c>
      <c r="G434" t="s">
        <v>56</v>
      </c>
      <c r="H434" t="s">
        <v>93</v>
      </c>
      <c r="I434" t="s">
        <v>406</v>
      </c>
      <c r="J434" t="s">
        <v>3378</v>
      </c>
      <c r="K434" t="s">
        <v>7165</v>
      </c>
      <c r="L434" t="s">
        <v>7165</v>
      </c>
      <c r="M434" s="1" t="s">
        <v>3165</v>
      </c>
      <c r="N434" t="s">
        <v>3379</v>
      </c>
      <c r="O434" s="1" t="s">
        <v>3090</v>
      </c>
      <c r="P434" s="1" t="s">
        <v>434</v>
      </c>
      <c r="Q434" s="11" t="s">
        <v>7214</v>
      </c>
      <c r="R434" s="1">
        <v>25</v>
      </c>
      <c r="S434" s="1">
        <v>168643</v>
      </c>
      <c r="T434" s="1" t="s">
        <v>3196</v>
      </c>
      <c r="U434" s="1">
        <v>12479561</v>
      </c>
      <c r="V434" t="s">
        <v>3380</v>
      </c>
      <c r="W434" t="s">
        <v>3381</v>
      </c>
      <c r="X434" t="s">
        <v>68</v>
      </c>
      <c r="Y434" t="s">
        <v>3382</v>
      </c>
      <c r="Z434" t="s">
        <v>3383</v>
      </c>
      <c r="AA434" t="s">
        <v>3384</v>
      </c>
      <c r="AB434" t="s">
        <v>3385</v>
      </c>
      <c r="AC434" t="s">
        <v>73</v>
      </c>
      <c r="AD434" t="s">
        <v>3386</v>
      </c>
      <c r="AE434" t="s">
        <v>75</v>
      </c>
      <c r="AF434" t="s">
        <v>76</v>
      </c>
      <c r="AG434" t="s">
        <v>77</v>
      </c>
      <c r="AH434" t="s">
        <v>3387</v>
      </c>
      <c r="AI434" t="s">
        <v>156</v>
      </c>
      <c r="AJ434" t="s">
        <v>80</v>
      </c>
      <c r="AK434" t="s">
        <v>158</v>
      </c>
      <c r="AL434" t="s">
        <v>159</v>
      </c>
      <c r="AM434" t="s">
        <v>83</v>
      </c>
      <c r="AO434">
        <v>80139</v>
      </c>
      <c r="AP434">
        <v>5553017</v>
      </c>
      <c r="AQ434">
        <v>271</v>
      </c>
      <c r="AR434" t="s">
        <v>84</v>
      </c>
      <c r="AS434">
        <v>562</v>
      </c>
      <c r="AT434" t="s">
        <v>85</v>
      </c>
      <c r="AU434" t="s">
        <v>86</v>
      </c>
      <c r="AV434">
        <v>562</v>
      </c>
      <c r="AW434" t="s">
        <v>3388</v>
      </c>
      <c r="AX434" t="s">
        <v>88</v>
      </c>
    </row>
    <row r="435" spans="1:54" x14ac:dyDescent="0.2">
      <c r="A435" t="s">
        <v>6498</v>
      </c>
      <c r="B435" t="s">
        <v>6499</v>
      </c>
      <c r="C435" t="s">
        <v>6500</v>
      </c>
      <c r="D435" t="s">
        <v>6501</v>
      </c>
      <c r="E435" t="s">
        <v>6501</v>
      </c>
      <c r="G435" t="s">
        <v>56</v>
      </c>
      <c r="H435" t="s">
        <v>93</v>
      </c>
      <c r="I435" t="s">
        <v>447</v>
      </c>
      <c r="J435" t="s">
        <v>6348</v>
      </c>
      <c r="K435" t="s">
        <v>7165</v>
      </c>
      <c r="L435" t="s">
        <v>7172</v>
      </c>
      <c r="M435" s="1" t="s">
        <v>448</v>
      </c>
      <c r="N435" t="s">
        <v>449</v>
      </c>
      <c r="O435" s="1" t="s">
        <v>126</v>
      </c>
      <c r="P435" s="1" t="s">
        <v>434</v>
      </c>
      <c r="Q435" s="11" t="s">
        <v>7200</v>
      </c>
      <c r="R435" s="1">
        <v>25</v>
      </c>
      <c r="S435" s="1">
        <v>30074</v>
      </c>
      <c r="T435" s="1" t="s">
        <v>3196</v>
      </c>
      <c r="U435" s="1">
        <v>11981919</v>
      </c>
      <c r="V435" t="s">
        <v>6502</v>
      </c>
      <c r="W435" t="s">
        <v>6503</v>
      </c>
      <c r="X435" t="s">
        <v>68</v>
      </c>
      <c r="Y435" t="s">
        <v>6504</v>
      </c>
      <c r="Z435" t="s">
        <v>6505</v>
      </c>
      <c r="AA435" t="s">
        <v>6506</v>
      </c>
      <c r="AB435" t="s">
        <v>3385</v>
      </c>
      <c r="AC435" t="s">
        <v>73</v>
      </c>
      <c r="AD435" t="s">
        <v>6507</v>
      </c>
      <c r="AE435" t="s">
        <v>75</v>
      </c>
      <c r="AF435" t="s">
        <v>76</v>
      </c>
      <c r="AG435" t="s">
        <v>77</v>
      </c>
      <c r="AH435" t="s">
        <v>6508</v>
      </c>
      <c r="AI435" t="s">
        <v>156</v>
      </c>
      <c r="AJ435" t="s">
        <v>80</v>
      </c>
      <c r="AK435" t="s">
        <v>158</v>
      </c>
      <c r="AL435" t="s">
        <v>159</v>
      </c>
      <c r="AM435" t="s">
        <v>83</v>
      </c>
      <c r="AO435">
        <v>133197</v>
      </c>
      <c r="AP435">
        <v>5571492</v>
      </c>
      <c r="AQ435">
        <v>166</v>
      </c>
      <c r="AR435" t="s">
        <v>84</v>
      </c>
      <c r="AS435">
        <v>562</v>
      </c>
      <c r="AT435" t="s">
        <v>85</v>
      </c>
      <c r="AU435" t="s">
        <v>86</v>
      </c>
      <c r="AV435">
        <v>562</v>
      </c>
      <c r="AW435" t="s">
        <v>6509</v>
      </c>
      <c r="AX435" t="s">
        <v>88</v>
      </c>
    </row>
    <row r="436" spans="1:54" x14ac:dyDescent="0.2">
      <c r="A436" t="s">
        <v>6438</v>
      </c>
      <c r="B436" t="s">
        <v>6439</v>
      </c>
      <c r="C436" t="s">
        <v>6427</v>
      </c>
      <c r="D436" t="s">
        <v>6440</v>
      </c>
      <c r="E436" t="s">
        <v>6440</v>
      </c>
      <c r="G436" t="s">
        <v>56</v>
      </c>
      <c r="H436" t="s">
        <v>93</v>
      </c>
      <c r="I436" t="s">
        <v>447</v>
      </c>
      <c r="J436" t="s">
        <v>447</v>
      </c>
      <c r="K436" t="s">
        <v>7165</v>
      </c>
      <c r="L436" t="s">
        <v>7172</v>
      </c>
      <c r="M436" s="1" t="s">
        <v>3165</v>
      </c>
      <c r="N436" t="s">
        <v>3166</v>
      </c>
      <c r="O436" s="1" t="s">
        <v>3090</v>
      </c>
      <c r="P436" s="1" t="s">
        <v>434</v>
      </c>
      <c r="Q436" s="11" t="s">
        <v>7310</v>
      </c>
      <c r="R436" s="1">
        <v>25</v>
      </c>
      <c r="S436" s="1">
        <v>30074</v>
      </c>
      <c r="T436" s="1" t="s">
        <v>3196</v>
      </c>
      <c r="U436" s="1">
        <v>11749059</v>
      </c>
      <c r="V436" t="s">
        <v>6441</v>
      </c>
      <c r="W436" t="s">
        <v>6442</v>
      </c>
      <c r="X436" t="s">
        <v>68</v>
      </c>
      <c r="Y436" t="s">
        <v>6443</v>
      </c>
      <c r="Z436" t="s">
        <v>6444</v>
      </c>
      <c r="AA436" t="s">
        <v>6445</v>
      </c>
      <c r="AB436" t="s">
        <v>3385</v>
      </c>
      <c r="AC436" t="s">
        <v>73</v>
      </c>
      <c r="AD436" t="s">
        <v>6446</v>
      </c>
      <c r="AE436" t="s">
        <v>75</v>
      </c>
      <c r="AF436" t="s">
        <v>76</v>
      </c>
      <c r="AG436" t="s">
        <v>77</v>
      </c>
      <c r="AH436" t="s">
        <v>6447</v>
      </c>
      <c r="AI436" t="s">
        <v>156</v>
      </c>
      <c r="AJ436" t="s">
        <v>80</v>
      </c>
      <c r="AK436" t="s">
        <v>158</v>
      </c>
      <c r="AL436" t="s">
        <v>159</v>
      </c>
      <c r="AM436" t="s">
        <v>83</v>
      </c>
      <c r="AO436">
        <v>39249</v>
      </c>
      <c r="AP436">
        <v>5452807</v>
      </c>
      <c r="AQ436">
        <v>337</v>
      </c>
      <c r="AR436" t="s">
        <v>84</v>
      </c>
      <c r="AS436">
        <v>562</v>
      </c>
      <c r="AT436" t="s">
        <v>85</v>
      </c>
      <c r="AU436" t="s">
        <v>86</v>
      </c>
      <c r="AV436">
        <v>562</v>
      </c>
      <c r="AW436" t="s">
        <v>6448</v>
      </c>
      <c r="AX436" t="s">
        <v>88</v>
      </c>
    </row>
    <row r="437" spans="1:54" x14ac:dyDescent="0.2">
      <c r="A437" t="s">
        <v>4411</v>
      </c>
      <c r="B437" t="s">
        <v>4411</v>
      </c>
      <c r="C437" t="s">
        <v>4399</v>
      </c>
      <c r="D437" t="s">
        <v>4412</v>
      </c>
      <c r="E437" t="s">
        <v>4412</v>
      </c>
      <c r="G437" t="s">
        <v>56</v>
      </c>
      <c r="H437" t="s">
        <v>58</v>
      </c>
      <c r="I437" t="s">
        <v>2641</v>
      </c>
      <c r="J437" t="s">
        <v>700</v>
      </c>
      <c r="K437" t="s">
        <v>7165</v>
      </c>
      <c r="L437" t="s">
        <v>7165</v>
      </c>
      <c r="M437" s="1" t="s">
        <v>603</v>
      </c>
      <c r="N437" t="s">
        <v>603</v>
      </c>
      <c r="O437" s="1" t="s">
        <v>674</v>
      </c>
      <c r="P437" s="1" t="s">
        <v>64</v>
      </c>
      <c r="Q437" s="11" t="s">
        <v>7293</v>
      </c>
      <c r="R437" s="1">
        <v>11</v>
      </c>
      <c r="S437" s="1">
        <v>29984</v>
      </c>
      <c r="T437" s="1" t="s">
        <v>4413</v>
      </c>
      <c r="U437" s="1">
        <v>14005329</v>
      </c>
      <c r="V437" t="s">
        <v>4414</v>
      </c>
      <c r="W437" t="s">
        <v>4415</v>
      </c>
      <c r="X437" t="s">
        <v>68</v>
      </c>
      <c r="Y437" t="s">
        <v>4416</v>
      </c>
      <c r="Z437" t="s">
        <v>4417</v>
      </c>
      <c r="AA437" t="s">
        <v>4418</v>
      </c>
      <c r="AB437" t="s">
        <v>3357</v>
      </c>
      <c r="AC437" t="s">
        <v>73</v>
      </c>
      <c r="AD437" t="s">
        <v>4419</v>
      </c>
      <c r="AE437" t="s">
        <v>4420</v>
      </c>
      <c r="AF437" t="s">
        <v>76</v>
      </c>
      <c r="AG437" t="s">
        <v>77</v>
      </c>
      <c r="AH437" t="s">
        <v>1472</v>
      </c>
      <c r="AI437" t="s">
        <v>615</v>
      </c>
      <c r="AJ437" t="s">
        <v>4421</v>
      </c>
      <c r="AK437" t="s">
        <v>532</v>
      </c>
      <c r="AL437" t="s">
        <v>533</v>
      </c>
      <c r="AM437" t="s">
        <v>83</v>
      </c>
      <c r="AO437">
        <v>148117</v>
      </c>
      <c r="AP437">
        <v>5426665</v>
      </c>
      <c r="AQ437">
        <v>185</v>
      </c>
      <c r="AR437" t="s">
        <v>84</v>
      </c>
      <c r="AS437">
        <v>562</v>
      </c>
      <c r="AT437" t="s">
        <v>85</v>
      </c>
      <c r="AU437" t="s">
        <v>86</v>
      </c>
      <c r="AV437">
        <v>562</v>
      </c>
      <c r="AW437" t="s">
        <v>4422</v>
      </c>
      <c r="AX437" t="s">
        <v>88</v>
      </c>
      <c r="AZ437" t="s">
        <v>4423</v>
      </c>
      <c r="BA437">
        <v>19</v>
      </c>
      <c r="BB437">
        <v>22</v>
      </c>
    </row>
    <row r="438" spans="1:54" x14ac:dyDescent="0.2">
      <c r="A438" t="s">
        <v>3345</v>
      </c>
      <c r="B438" t="s">
        <v>3345</v>
      </c>
      <c r="C438" t="s">
        <v>3346</v>
      </c>
      <c r="D438" t="s">
        <v>3347</v>
      </c>
      <c r="E438" t="s">
        <v>3347</v>
      </c>
      <c r="G438" t="s">
        <v>56</v>
      </c>
      <c r="H438" t="s">
        <v>93</v>
      </c>
      <c r="I438" t="s">
        <v>447</v>
      </c>
      <c r="J438" t="s">
        <v>3348</v>
      </c>
      <c r="K438" t="s">
        <v>7165</v>
      </c>
      <c r="L438" t="s">
        <v>7165</v>
      </c>
      <c r="M438" s="1" t="s">
        <v>448</v>
      </c>
      <c r="N438" t="s">
        <v>3349</v>
      </c>
      <c r="O438" s="1" t="s">
        <v>126</v>
      </c>
      <c r="P438" s="1" t="s">
        <v>3350</v>
      </c>
      <c r="Q438" s="11" t="s">
        <v>7298</v>
      </c>
      <c r="R438" s="1">
        <v>25</v>
      </c>
      <c r="S438" s="1">
        <v>30074</v>
      </c>
      <c r="T438" s="1" t="s">
        <v>3196</v>
      </c>
      <c r="U438" s="1">
        <v>11625377</v>
      </c>
      <c r="V438" t="s">
        <v>3352</v>
      </c>
      <c r="W438" t="s">
        <v>3353</v>
      </c>
      <c r="X438" t="s">
        <v>68</v>
      </c>
      <c r="Y438" t="s">
        <v>3354</v>
      </c>
      <c r="Z438" t="s">
        <v>3355</v>
      </c>
      <c r="AA438" t="s">
        <v>3356</v>
      </c>
      <c r="AB438" t="s">
        <v>3357</v>
      </c>
      <c r="AC438" t="s">
        <v>73</v>
      </c>
      <c r="AD438" t="s">
        <v>3358</v>
      </c>
      <c r="AE438" t="s">
        <v>75</v>
      </c>
      <c r="AF438" t="s">
        <v>76</v>
      </c>
      <c r="AG438" t="s">
        <v>77</v>
      </c>
      <c r="AH438" t="s">
        <v>3359</v>
      </c>
      <c r="AI438" t="s">
        <v>156</v>
      </c>
      <c r="AJ438" t="s">
        <v>80</v>
      </c>
      <c r="AK438" t="s">
        <v>158</v>
      </c>
      <c r="AL438" t="s">
        <v>159</v>
      </c>
      <c r="AM438" t="s">
        <v>83</v>
      </c>
      <c r="AO438">
        <v>104445</v>
      </c>
      <c r="AP438">
        <v>5636000</v>
      </c>
      <c r="AQ438">
        <v>246</v>
      </c>
      <c r="AR438" t="s">
        <v>84</v>
      </c>
      <c r="AS438">
        <v>562</v>
      </c>
      <c r="AT438" t="s">
        <v>85</v>
      </c>
      <c r="AU438" t="s">
        <v>86</v>
      </c>
      <c r="AV438">
        <v>562</v>
      </c>
      <c r="AW438" t="s">
        <v>3360</v>
      </c>
      <c r="AX438" t="s">
        <v>88</v>
      </c>
    </row>
    <row r="439" spans="1:54" x14ac:dyDescent="0.2">
      <c r="A439" t="s">
        <v>6449</v>
      </c>
      <c r="B439" t="s">
        <v>6450</v>
      </c>
      <c r="C439" t="s">
        <v>6451</v>
      </c>
      <c r="D439" t="s">
        <v>6452</v>
      </c>
      <c r="E439" t="s">
        <v>6452</v>
      </c>
      <c r="G439" t="s">
        <v>56</v>
      </c>
      <c r="H439" t="s">
        <v>93</v>
      </c>
      <c r="I439" t="s">
        <v>6289</v>
      </c>
      <c r="J439" t="s">
        <v>6453</v>
      </c>
      <c r="K439" t="s">
        <v>7165</v>
      </c>
      <c r="L439" t="s">
        <v>7172</v>
      </c>
      <c r="M439" s="1" t="s">
        <v>448</v>
      </c>
      <c r="N439" t="s">
        <v>3166</v>
      </c>
      <c r="O439" s="1" t="s">
        <v>126</v>
      </c>
      <c r="P439" s="1" t="s">
        <v>434</v>
      </c>
      <c r="Q439" s="11" t="s">
        <v>7200</v>
      </c>
      <c r="R439" s="1">
        <v>25</v>
      </c>
      <c r="S439" s="1">
        <v>30074</v>
      </c>
      <c r="T439" s="1" t="s">
        <v>3196</v>
      </c>
      <c r="U439" s="1">
        <v>11795321</v>
      </c>
      <c r="V439" t="s">
        <v>6454</v>
      </c>
      <c r="W439" t="s">
        <v>6455</v>
      </c>
      <c r="X439" t="s">
        <v>68</v>
      </c>
      <c r="Y439" t="s">
        <v>6456</v>
      </c>
      <c r="Z439" t="s">
        <v>6457</v>
      </c>
      <c r="AA439" t="s">
        <v>6458</v>
      </c>
      <c r="AB439" t="s">
        <v>3357</v>
      </c>
      <c r="AC439" t="s">
        <v>73</v>
      </c>
      <c r="AD439" t="s">
        <v>6459</v>
      </c>
      <c r="AE439" t="s">
        <v>75</v>
      </c>
      <c r="AF439" t="s">
        <v>76</v>
      </c>
      <c r="AG439" t="s">
        <v>77</v>
      </c>
      <c r="AH439" t="s">
        <v>6460</v>
      </c>
      <c r="AI439" t="s">
        <v>546</v>
      </c>
      <c r="AJ439" t="s">
        <v>80</v>
      </c>
      <c r="AK439" t="s">
        <v>158</v>
      </c>
      <c r="AL439" t="s">
        <v>159</v>
      </c>
      <c r="AM439" t="s">
        <v>83</v>
      </c>
      <c r="AO439">
        <v>31512</v>
      </c>
      <c r="AP439">
        <v>5448190</v>
      </c>
      <c r="AQ439">
        <v>390</v>
      </c>
      <c r="AR439" t="s">
        <v>84</v>
      </c>
      <c r="AS439">
        <v>562</v>
      </c>
      <c r="AT439" t="s">
        <v>85</v>
      </c>
      <c r="AU439" t="s">
        <v>86</v>
      </c>
      <c r="AV439">
        <v>562</v>
      </c>
      <c r="AW439" t="s">
        <v>6461</v>
      </c>
      <c r="AX439" t="s">
        <v>88</v>
      </c>
    </row>
    <row r="440" spans="1:54" x14ac:dyDescent="0.2">
      <c r="A440" t="s">
        <v>6316</v>
      </c>
      <c r="B440" t="s">
        <v>6317</v>
      </c>
      <c r="C440" t="s">
        <v>6318</v>
      </c>
      <c r="D440" t="s">
        <v>6319</v>
      </c>
      <c r="E440" t="s">
        <v>6319</v>
      </c>
      <c r="G440" t="s">
        <v>56</v>
      </c>
      <c r="H440" t="s">
        <v>93</v>
      </c>
      <c r="I440" t="s">
        <v>447</v>
      </c>
      <c r="J440" t="s">
        <v>6275</v>
      </c>
      <c r="K440" t="s">
        <v>7165</v>
      </c>
      <c r="L440" t="s">
        <v>7172</v>
      </c>
      <c r="M440" s="1" t="s">
        <v>448</v>
      </c>
      <c r="N440" t="s">
        <v>6320</v>
      </c>
      <c r="O440" s="1" t="s">
        <v>3090</v>
      </c>
      <c r="P440" s="1" t="s">
        <v>434</v>
      </c>
      <c r="Q440" s="11" t="s">
        <v>7214</v>
      </c>
      <c r="R440" s="1">
        <v>25</v>
      </c>
      <c r="S440" s="1">
        <v>30074</v>
      </c>
      <c r="T440" s="1" t="s">
        <v>3196</v>
      </c>
      <c r="U440" s="1">
        <v>0</v>
      </c>
      <c r="V440" t="s">
        <v>6321</v>
      </c>
      <c r="W440" t="s">
        <v>6322</v>
      </c>
      <c r="X440" t="s">
        <v>68</v>
      </c>
      <c r="Y440" t="s">
        <v>6323</v>
      </c>
      <c r="Z440" t="s">
        <v>6324</v>
      </c>
      <c r="AA440" t="s">
        <v>6325</v>
      </c>
      <c r="AB440" t="s">
        <v>3629</v>
      </c>
      <c r="AC440" t="s">
        <v>73</v>
      </c>
      <c r="AD440" t="s">
        <v>6326</v>
      </c>
      <c r="AE440" t="s">
        <v>3252</v>
      </c>
      <c r="AF440" t="s">
        <v>76</v>
      </c>
      <c r="AG440" t="s">
        <v>77</v>
      </c>
      <c r="AH440" t="s">
        <v>6327</v>
      </c>
      <c r="AI440" t="s">
        <v>156</v>
      </c>
      <c r="AJ440" t="s">
        <v>3254</v>
      </c>
      <c r="AK440" t="s">
        <v>158</v>
      </c>
      <c r="AL440" t="s">
        <v>159</v>
      </c>
      <c r="AM440" t="s">
        <v>83</v>
      </c>
      <c r="AO440">
        <v>67868</v>
      </c>
      <c r="AP440">
        <v>5469356</v>
      </c>
      <c r="AQ440">
        <v>293</v>
      </c>
      <c r="AR440" t="s">
        <v>84</v>
      </c>
      <c r="AS440">
        <v>562</v>
      </c>
      <c r="AT440" t="s">
        <v>85</v>
      </c>
      <c r="AU440" t="s">
        <v>86</v>
      </c>
      <c r="AV440">
        <v>562</v>
      </c>
      <c r="AW440" t="s">
        <v>6328</v>
      </c>
      <c r="AX440" t="s">
        <v>88</v>
      </c>
      <c r="AZ440" t="s">
        <v>3256</v>
      </c>
      <c r="BA440">
        <v>1</v>
      </c>
    </row>
    <row r="441" spans="1:54" x14ac:dyDescent="0.2">
      <c r="A441" t="s">
        <v>3621</v>
      </c>
      <c r="B441" t="s">
        <v>3621</v>
      </c>
      <c r="C441" t="s">
        <v>3622</v>
      </c>
      <c r="D441" t="s">
        <v>3623</v>
      </c>
      <c r="E441" t="s">
        <v>3623</v>
      </c>
      <c r="G441" t="s">
        <v>56</v>
      </c>
      <c r="H441" t="s">
        <v>93</v>
      </c>
      <c r="I441" t="s">
        <v>447</v>
      </c>
      <c r="J441" t="s">
        <v>389</v>
      </c>
      <c r="K441" t="s">
        <v>7165</v>
      </c>
      <c r="L441" t="s">
        <v>7165</v>
      </c>
      <c r="M441" s="1" t="s">
        <v>448</v>
      </c>
      <c r="N441" t="s">
        <v>448</v>
      </c>
      <c r="O441" s="1" t="s">
        <v>3090</v>
      </c>
      <c r="P441" s="1" t="s">
        <v>434</v>
      </c>
      <c r="Q441" s="11" t="s">
        <v>7200</v>
      </c>
      <c r="R441" s="1">
        <v>25</v>
      </c>
      <c r="S441" s="1">
        <v>30074</v>
      </c>
      <c r="T441" s="1" t="s">
        <v>3196</v>
      </c>
      <c r="U441" s="1">
        <v>13693778</v>
      </c>
      <c r="V441" t="s">
        <v>3624</v>
      </c>
      <c r="W441" t="s">
        <v>3625</v>
      </c>
      <c r="X441" t="s">
        <v>68</v>
      </c>
      <c r="Y441" t="s">
        <v>3626</v>
      </c>
      <c r="Z441" t="s">
        <v>3627</v>
      </c>
      <c r="AA441" t="s">
        <v>3628</v>
      </c>
      <c r="AB441" t="s">
        <v>3629</v>
      </c>
      <c r="AC441" t="s">
        <v>73</v>
      </c>
      <c r="AD441" t="s">
        <v>3630</v>
      </c>
      <c r="AE441" t="s">
        <v>75</v>
      </c>
      <c r="AF441" t="s">
        <v>76</v>
      </c>
      <c r="AG441" t="s">
        <v>77</v>
      </c>
      <c r="AH441" t="s">
        <v>3387</v>
      </c>
      <c r="AI441" t="s">
        <v>156</v>
      </c>
      <c r="AJ441" t="s">
        <v>80</v>
      </c>
      <c r="AK441" t="s">
        <v>158</v>
      </c>
      <c r="AL441" t="s">
        <v>159</v>
      </c>
      <c r="AM441" t="s">
        <v>83</v>
      </c>
      <c r="AO441">
        <v>125662</v>
      </c>
      <c r="AP441">
        <v>5446115</v>
      </c>
      <c r="AQ441">
        <v>177</v>
      </c>
      <c r="AR441" t="s">
        <v>84</v>
      </c>
      <c r="AS441">
        <v>562</v>
      </c>
      <c r="AT441" t="s">
        <v>85</v>
      </c>
      <c r="AU441" t="s">
        <v>86</v>
      </c>
      <c r="AV441">
        <v>562</v>
      </c>
      <c r="AW441" t="s">
        <v>3631</v>
      </c>
      <c r="AX441" t="s">
        <v>88</v>
      </c>
    </row>
    <row r="442" spans="1:54" x14ac:dyDescent="0.2">
      <c r="A442" t="s">
        <v>4015</v>
      </c>
      <c r="B442" t="s">
        <v>4015</v>
      </c>
      <c r="C442" t="s">
        <v>4016</v>
      </c>
      <c r="D442" t="s">
        <v>4017</v>
      </c>
      <c r="E442" t="s">
        <v>4017</v>
      </c>
      <c r="G442" t="s">
        <v>56</v>
      </c>
      <c r="H442" t="s">
        <v>93</v>
      </c>
      <c r="I442" t="s">
        <v>447</v>
      </c>
      <c r="J442" t="s">
        <v>389</v>
      </c>
      <c r="K442" t="s">
        <v>7165</v>
      </c>
      <c r="L442" t="s">
        <v>7165</v>
      </c>
      <c r="M442" s="1" t="s">
        <v>448</v>
      </c>
      <c r="N442" t="s">
        <v>448</v>
      </c>
      <c r="O442" s="1" t="s">
        <v>3090</v>
      </c>
      <c r="P442" s="1" t="s">
        <v>434</v>
      </c>
      <c r="Q442" s="11" t="s">
        <v>7200</v>
      </c>
      <c r="R442" s="1">
        <v>25</v>
      </c>
      <c r="S442" s="1">
        <v>30074</v>
      </c>
      <c r="T442" s="1" t="s">
        <v>3196</v>
      </c>
      <c r="U442" s="1">
        <v>15263764</v>
      </c>
      <c r="V442" t="s">
        <v>4018</v>
      </c>
      <c r="W442" t="s">
        <v>4019</v>
      </c>
      <c r="X442" t="s">
        <v>68</v>
      </c>
      <c r="Y442" t="s">
        <v>4020</v>
      </c>
      <c r="Z442" t="s">
        <v>4021</v>
      </c>
      <c r="AA442" t="s">
        <v>4022</v>
      </c>
      <c r="AB442" t="s">
        <v>3952</v>
      </c>
      <c r="AC442" t="s">
        <v>73</v>
      </c>
      <c r="AD442" t="s">
        <v>4023</v>
      </c>
      <c r="AE442" t="s">
        <v>3252</v>
      </c>
      <c r="AF442" t="s">
        <v>76</v>
      </c>
      <c r="AG442" t="s">
        <v>77</v>
      </c>
      <c r="AH442" t="s">
        <v>3387</v>
      </c>
      <c r="AI442" t="s">
        <v>156</v>
      </c>
      <c r="AJ442" t="s">
        <v>3254</v>
      </c>
      <c r="AK442" t="s">
        <v>158</v>
      </c>
      <c r="AL442" t="s">
        <v>159</v>
      </c>
      <c r="AM442" t="s">
        <v>83</v>
      </c>
      <c r="AO442">
        <v>140939</v>
      </c>
      <c r="AP442">
        <v>5543766</v>
      </c>
      <c r="AQ442">
        <v>210</v>
      </c>
      <c r="AR442" t="s">
        <v>84</v>
      </c>
      <c r="AS442">
        <v>562</v>
      </c>
      <c r="AT442" t="s">
        <v>85</v>
      </c>
      <c r="AU442" t="s">
        <v>86</v>
      </c>
      <c r="AV442">
        <v>562</v>
      </c>
      <c r="AW442" t="s">
        <v>4024</v>
      </c>
      <c r="AX442" t="s">
        <v>88</v>
      </c>
    </row>
    <row r="443" spans="1:54" x14ac:dyDescent="0.2">
      <c r="A443" t="s">
        <v>3943</v>
      </c>
      <c r="B443" t="s">
        <v>3943</v>
      </c>
      <c r="C443" t="s">
        <v>3944</v>
      </c>
      <c r="D443" t="s">
        <v>3945</v>
      </c>
      <c r="E443" t="s">
        <v>3945</v>
      </c>
      <c r="G443" t="s">
        <v>56</v>
      </c>
      <c r="H443" t="s">
        <v>93</v>
      </c>
      <c r="I443" t="s">
        <v>447</v>
      </c>
      <c r="J443" t="s">
        <v>389</v>
      </c>
      <c r="K443" t="s">
        <v>7165</v>
      </c>
      <c r="L443" t="s">
        <v>7165</v>
      </c>
      <c r="M443" s="1" t="s">
        <v>448</v>
      </c>
      <c r="N443" t="s">
        <v>448</v>
      </c>
      <c r="O443" s="1" t="s">
        <v>126</v>
      </c>
      <c r="P443" s="1" t="s">
        <v>434</v>
      </c>
      <c r="Q443" s="11" t="s">
        <v>7214</v>
      </c>
      <c r="R443" s="1">
        <v>25</v>
      </c>
      <c r="S443" s="1">
        <v>138293</v>
      </c>
      <c r="T443" s="1" t="s">
        <v>3946</v>
      </c>
      <c r="U443" s="1">
        <v>14908038</v>
      </c>
      <c r="V443" t="s">
        <v>3947</v>
      </c>
      <c r="W443" t="s">
        <v>3948</v>
      </c>
      <c r="X443" t="s">
        <v>68</v>
      </c>
      <c r="Y443" t="s">
        <v>3949</v>
      </c>
      <c r="Z443" t="s">
        <v>3950</v>
      </c>
      <c r="AA443" t="s">
        <v>3951</v>
      </c>
      <c r="AB443" t="s">
        <v>3952</v>
      </c>
      <c r="AC443" t="s">
        <v>73</v>
      </c>
      <c r="AD443" t="s">
        <v>3953</v>
      </c>
      <c r="AE443" t="s">
        <v>75</v>
      </c>
      <c r="AF443" t="s">
        <v>76</v>
      </c>
      <c r="AG443" t="s">
        <v>77</v>
      </c>
      <c r="AH443" t="s">
        <v>3954</v>
      </c>
      <c r="AI443" t="s">
        <v>156</v>
      </c>
      <c r="AJ443" t="s">
        <v>80</v>
      </c>
      <c r="AK443" t="s">
        <v>158</v>
      </c>
      <c r="AL443" t="s">
        <v>159</v>
      </c>
      <c r="AM443" t="s">
        <v>83</v>
      </c>
      <c r="AO443">
        <v>103028</v>
      </c>
      <c r="AP443">
        <v>5742006</v>
      </c>
      <c r="AQ443">
        <v>210</v>
      </c>
      <c r="AR443" t="s">
        <v>84</v>
      </c>
      <c r="AS443">
        <v>562</v>
      </c>
      <c r="AT443" t="s">
        <v>85</v>
      </c>
      <c r="AU443" t="s">
        <v>86</v>
      </c>
      <c r="AV443">
        <v>562</v>
      </c>
      <c r="AW443" t="s">
        <v>3955</v>
      </c>
      <c r="AX443" t="s">
        <v>88</v>
      </c>
    </row>
    <row r="444" spans="1:54" x14ac:dyDescent="0.2">
      <c r="A444" t="s">
        <v>3489</v>
      </c>
      <c r="B444" t="s">
        <v>3489</v>
      </c>
      <c r="C444" t="s">
        <v>3490</v>
      </c>
      <c r="D444" t="s">
        <v>3491</v>
      </c>
      <c r="E444" t="s">
        <v>3491</v>
      </c>
      <c r="G444" t="s">
        <v>56</v>
      </c>
      <c r="H444" t="s">
        <v>93</v>
      </c>
      <c r="I444" t="s">
        <v>447</v>
      </c>
      <c r="J444" t="s">
        <v>389</v>
      </c>
      <c r="K444" t="s">
        <v>7165</v>
      </c>
      <c r="L444" t="s">
        <v>7165</v>
      </c>
      <c r="M444" s="1" t="s">
        <v>448</v>
      </c>
      <c r="N444" t="s">
        <v>448</v>
      </c>
      <c r="O444" s="1" t="s">
        <v>126</v>
      </c>
      <c r="P444" s="1" t="s">
        <v>3492</v>
      </c>
      <c r="Q444" s="11" t="s">
        <v>7200</v>
      </c>
      <c r="R444" s="1">
        <v>25</v>
      </c>
      <c r="S444" s="1">
        <v>30074</v>
      </c>
      <c r="T444" s="1" t="s">
        <v>3196</v>
      </c>
      <c r="U444" s="1">
        <v>12618539</v>
      </c>
      <c r="V444" t="s">
        <v>3493</v>
      </c>
      <c r="W444" t="s">
        <v>3494</v>
      </c>
      <c r="X444" t="s">
        <v>68</v>
      </c>
      <c r="Y444" t="s">
        <v>3495</v>
      </c>
      <c r="Z444" t="s">
        <v>3496</v>
      </c>
      <c r="AA444" t="s">
        <v>3497</v>
      </c>
      <c r="AB444" t="s">
        <v>3425</v>
      </c>
      <c r="AC444" t="s">
        <v>73</v>
      </c>
      <c r="AD444" t="s">
        <v>3498</v>
      </c>
      <c r="AF444" t="s">
        <v>76</v>
      </c>
      <c r="AG444" t="s">
        <v>77</v>
      </c>
      <c r="AH444" t="s">
        <v>3499</v>
      </c>
      <c r="AI444" t="s">
        <v>156</v>
      </c>
      <c r="AJ444" t="s">
        <v>531</v>
      </c>
      <c r="AK444" t="s">
        <v>532</v>
      </c>
      <c r="AL444" t="s">
        <v>533</v>
      </c>
      <c r="AM444" t="s">
        <v>83</v>
      </c>
      <c r="AO444">
        <v>111403</v>
      </c>
      <c r="AP444">
        <v>5654661</v>
      </c>
      <c r="AQ444">
        <v>382</v>
      </c>
      <c r="AR444" t="s">
        <v>84</v>
      </c>
      <c r="AS444">
        <v>562</v>
      </c>
      <c r="AT444" t="s">
        <v>85</v>
      </c>
      <c r="AU444" t="s">
        <v>86</v>
      </c>
      <c r="AV444">
        <v>562</v>
      </c>
      <c r="AW444" t="s">
        <v>3500</v>
      </c>
      <c r="AX444" t="s">
        <v>88</v>
      </c>
    </row>
    <row r="445" spans="1:54" x14ac:dyDescent="0.2">
      <c r="A445" t="s">
        <v>3971</v>
      </c>
      <c r="B445" t="s">
        <v>3971</v>
      </c>
      <c r="C445" t="s">
        <v>3972</v>
      </c>
      <c r="D445" t="s">
        <v>3973</v>
      </c>
      <c r="E445" t="s">
        <v>3973</v>
      </c>
      <c r="G445" t="s">
        <v>56</v>
      </c>
      <c r="H445" t="s">
        <v>93</v>
      </c>
      <c r="I445" t="s">
        <v>447</v>
      </c>
      <c r="J445" t="s">
        <v>389</v>
      </c>
      <c r="K445" t="s">
        <v>7165</v>
      </c>
      <c r="L445" t="s">
        <v>7165</v>
      </c>
      <c r="M445" s="1" t="s">
        <v>448</v>
      </c>
      <c r="N445" t="s">
        <v>448</v>
      </c>
      <c r="O445" s="1" t="s">
        <v>3090</v>
      </c>
      <c r="P445" s="1" t="s">
        <v>434</v>
      </c>
      <c r="Q445" s="11" t="s">
        <v>7216</v>
      </c>
      <c r="R445" s="1">
        <v>25</v>
      </c>
      <c r="S445" s="1">
        <v>30074</v>
      </c>
      <c r="T445" s="1" t="s">
        <v>3975</v>
      </c>
      <c r="U445" s="1">
        <v>15016600</v>
      </c>
      <c r="V445" t="s">
        <v>3976</v>
      </c>
      <c r="W445" t="s">
        <v>3977</v>
      </c>
      <c r="X445" t="s">
        <v>68</v>
      </c>
      <c r="Y445" t="s">
        <v>3978</v>
      </c>
      <c r="Z445" t="s">
        <v>3979</v>
      </c>
      <c r="AA445" t="s">
        <v>3980</v>
      </c>
      <c r="AB445" t="s">
        <v>3425</v>
      </c>
      <c r="AC445" t="s">
        <v>73</v>
      </c>
      <c r="AD445" t="s">
        <v>3981</v>
      </c>
      <c r="AE445" t="s">
        <v>3896</v>
      </c>
      <c r="AF445" t="s">
        <v>76</v>
      </c>
      <c r="AG445" t="s">
        <v>77</v>
      </c>
      <c r="AH445" t="s">
        <v>3982</v>
      </c>
      <c r="AI445" t="s">
        <v>156</v>
      </c>
      <c r="AJ445" t="s">
        <v>3898</v>
      </c>
      <c r="AK445" t="s">
        <v>158</v>
      </c>
      <c r="AL445" t="s">
        <v>159</v>
      </c>
      <c r="AM445" t="s">
        <v>83</v>
      </c>
      <c r="AO445">
        <v>61052</v>
      </c>
      <c r="AP445">
        <v>5818806</v>
      </c>
      <c r="AQ445">
        <v>323</v>
      </c>
      <c r="AR445" t="s">
        <v>84</v>
      </c>
      <c r="AS445">
        <v>562</v>
      </c>
      <c r="AT445" t="s">
        <v>85</v>
      </c>
      <c r="AU445" t="s">
        <v>86</v>
      </c>
      <c r="AV445">
        <v>562</v>
      </c>
      <c r="AW445" t="s">
        <v>3983</v>
      </c>
      <c r="AX445" t="s">
        <v>88</v>
      </c>
    </row>
    <row r="446" spans="1:54" x14ac:dyDescent="0.2">
      <c r="A446" t="s">
        <v>6411</v>
      </c>
      <c r="B446" t="s">
        <v>6412</v>
      </c>
      <c r="C446" t="s">
        <v>6413</v>
      </c>
      <c r="D446" t="s">
        <v>6414</v>
      </c>
      <c r="E446" t="s">
        <v>6414</v>
      </c>
      <c r="G446" t="s">
        <v>56</v>
      </c>
      <c r="H446" t="s">
        <v>93</v>
      </c>
      <c r="I446" t="s">
        <v>447</v>
      </c>
      <c r="J446" t="s">
        <v>6415</v>
      </c>
      <c r="K446" t="s">
        <v>7165</v>
      </c>
      <c r="L446" t="s">
        <v>7172</v>
      </c>
      <c r="M446" s="1" t="s">
        <v>448</v>
      </c>
      <c r="N446" t="s">
        <v>3166</v>
      </c>
      <c r="O446" s="1" t="s">
        <v>3090</v>
      </c>
      <c r="P446" s="1" t="s">
        <v>434</v>
      </c>
      <c r="Q446" s="11" t="s">
        <v>7217</v>
      </c>
      <c r="R446" s="1">
        <v>25</v>
      </c>
      <c r="S446" s="1">
        <v>30074</v>
      </c>
      <c r="T446" s="1" t="s">
        <v>3196</v>
      </c>
      <c r="U446" s="1" t="s">
        <v>6416</v>
      </c>
      <c r="V446" t="s">
        <v>6417</v>
      </c>
      <c r="W446" t="s">
        <v>6418</v>
      </c>
      <c r="X446" t="s">
        <v>68</v>
      </c>
      <c r="Y446" t="s">
        <v>6419</v>
      </c>
      <c r="Z446" t="s">
        <v>6420</v>
      </c>
      <c r="AA446" t="s">
        <v>6421</v>
      </c>
      <c r="AB446" t="s">
        <v>3425</v>
      </c>
      <c r="AC446" t="s">
        <v>73</v>
      </c>
      <c r="AD446" t="s">
        <v>6422</v>
      </c>
      <c r="AE446" t="s">
        <v>75</v>
      </c>
      <c r="AF446" t="s">
        <v>76</v>
      </c>
      <c r="AG446" t="s">
        <v>77</v>
      </c>
      <c r="AH446" t="s">
        <v>6423</v>
      </c>
      <c r="AI446" t="s">
        <v>546</v>
      </c>
      <c r="AJ446" t="s">
        <v>80</v>
      </c>
      <c r="AK446" t="s">
        <v>158</v>
      </c>
      <c r="AL446" t="s">
        <v>159</v>
      </c>
      <c r="AM446" t="s">
        <v>83</v>
      </c>
      <c r="AO446">
        <v>66083</v>
      </c>
      <c r="AP446">
        <v>5675669</v>
      </c>
      <c r="AQ446">
        <v>299</v>
      </c>
      <c r="AR446" t="s">
        <v>84</v>
      </c>
      <c r="AS446">
        <v>562</v>
      </c>
      <c r="AT446" t="s">
        <v>85</v>
      </c>
      <c r="AU446" t="s">
        <v>86</v>
      </c>
      <c r="AV446">
        <v>562</v>
      </c>
      <c r="AW446" t="s">
        <v>6424</v>
      </c>
      <c r="AX446" t="s">
        <v>88</v>
      </c>
    </row>
    <row r="447" spans="1:54" x14ac:dyDescent="0.2">
      <c r="A447" t="s">
        <v>3416</v>
      </c>
      <c r="B447" t="s">
        <v>3416</v>
      </c>
      <c r="C447" t="s">
        <v>3417</v>
      </c>
      <c r="D447" t="s">
        <v>3418</v>
      </c>
      <c r="E447" t="s">
        <v>3418</v>
      </c>
      <c r="G447" t="s">
        <v>56</v>
      </c>
      <c r="H447" t="s">
        <v>93</v>
      </c>
      <c r="I447" t="s">
        <v>447</v>
      </c>
      <c r="J447" t="s">
        <v>480</v>
      </c>
      <c r="K447" t="s">
        <v>7165</v>
      </c>
      <c r="L447" t="s">
        <v>7165</v>
      </c>
      <c r="M447" s="1" t="s">
        <v>448</v>
      </c>
      <c r="N447" t="s">
        <v>448</v>
      </c>
      <c r="O447" s="1" t="s">
        <v>126</v>
      </c>
      <c r="P447" s="1" t="s">
        <v>434</v>
      </c>
      <c r="Q447" s="11" t="s">
        <v>7218</v>
      </c>
      <c r="R447" s="1">
        <v>25</v>
      </c>
      <c r="S447" s="1">
        <v>30074</v>
      </c>
      <c r="T447" s="1" t="s">
        <v>3196</v>
      </c>
      <c r="U447" s="1">
        <v>12518697</v>
      </c>
      <c r="V447" t="s">
        <v>3420</v>
      </c>
      <c r="W447" t="s">
        <v>3421</v>
      </c>
      <c r="X447" t="s">
        <v>68</v>
      </c>
      <c r="Y447" t="s">
        <v>3422</v>
      </c>
      <c r="Z447" t="s">
        <v>3423</v>
      </c>
      <c r="AA447" t="s">
        <v>3424</v>
      </c>
      <c r="AB447" t="s">
        <v>3425</v>
      </c>
      <c r="AC447" t="s">
        <v>73</v>
      </c>
      <c r="AD447" t="s">
        <v>3426</v>
      </c>
      <c r="AE447" t="s">
        <v>75</v>
      </c>
      <c r="AF447" t="s">
        <v>76</v>
      </c>
      <c r="AG447" t="s">
        <v>77</v>
      </c>
      <c r="AH447" t="s">
        <v>3427</v>
      </c>
      <c r="AI447" t="s">
        <v>156</v>
      </c>
      <c r="AJ447" t="s">
        <v>80</v>
      </c>
      <c r="AK447" t="s">
        <v>158</v>
      </c>
      <c r="AL447" t="s">
        <v>159</v>
      </c>
      <c r="AM447" t="s">
        <v>83</v>
      </c>
      <c r="AO447">
        <v>155257</v>
      </c>
      <c r="AP447">
        <v>5613277</v>
      </c>
      <c r="AQ447">
        <v>153</v>
      </c>
      <c r="AR447" t="s">
        <v>84</v>
      </c>
      <c r="AS447">
        <v>562</v>
      </c>
      <c r="AT447" t="s">
        <v>85</v>
      </c>
      <c r="AU447" t="s">
        <v>86</v>
      </c>
      <c r="AV447">
        <v>562</v>
      </c>
      <c r="AW447" t="s">
        <v>3428</v>
      </c>
      <c r="AX447" t="s">
        <v>88</v>
      </c>
    </row>
    <row r="448" spans="1:54" x14ac:dyDescent="0.2">
      <c r="A448" t="s">
        <v>3644</v>
      </c>
      <c r="B448" t="s">
        <v>3644</v>
      </c>
      <c r="C448" t="s">
        <v>3645</v>
      </c>
      <c r="D448" t="s">
        <v>3646</v>
      </c>
      <c r="E448" t="s">
        <v>3646</v>
      </c>
      <c r="G448" t="s">
        <v>56</v>
      </c>
      <c r="H448" t="s">
        <v>93</v>
      </c>
      <c r="I448" t="s">
        <v>140</v>
      </c>
      <c r="J448" t="s">
        <v>141</v>
      </c>
      <c r="K448" t="s">
        <v>7165</v>
      </c>
      <c r="L448" t="s">
        <v>7165</v>
      </c>
      <c r="M448" s="1" t="s">
        <v>3647</v>
      </c>
      <c r="N448" t="s">
        <v>3648</v>
      </c>
      <c r="O448" s="1" t="s">
        <v>144</v>
      </c>
      <c r="P448" s="1" t="s">
        <v>3649</v>
      </c>
      <c r="Q448" s="11" t="s">
        <v>7219</v>
      </c>
      <c r="R448" s="1">
        <v>10924</v>
      </c>
      <c r="S448" s="1">
        <v>15599</v>
      </c>
      <c r="T448" s="1" t="s">
        <v>3651</v>
      </c>
      <c r="U448" s="1">
        <v>13670566</v>
      </c>
      <c r="V448" t="s">
        <v>3652</v>
      </c>
      <c r="W448" t="s">
        <v>3653</v>
      </c>
      <c r="X448" t="s">
        <v>68</v>
      </c>
      <c r="Y448" t="s">
        <v>3654</v>
      </c>
      <c r="Z448" t="s">
        <v>3655</v>
      </c>
      <c r="AA448" t="s">
        <v>3656</v>
      </c>
      <c r="AB448" t="s">
        <v>3250</v>
      </c>
      <c r="AC448" t="s">
        <v>73</v>
      </c>
      <c r="AD448" t="s">
        <v>3657</v>
      </c>
      <c r="AE448" t="s">
        <v>3658</v>
      </c>
      <c r="AF448" t="s">
        <v>76</v>
      </c>
      <c r="AG448" t="s">
        <v>77</v>
      </c>
      <c r="AH448" t="s">
        <v>3659</v>
      </c>
      <c r="AI448" t="s">
        <v>3660</v>
      </c>
      <c r="AJ448" t="s">
        <v>3661</v>
      </c>
      <c r="AK448" t="s">
        <v>158</v>
      </c>
      <c r="AL448" t="s">
        <v>159</v>
      </c>
      <c r="AM448" t="s">
        <v>83</v>
      </c>
      <c r="AO448">
        <v>30089</v>
      </c>
      <c r="AP448">
        <v>4909208</v>
      </c>
      <c r="AQ448">
        <v>386</v>
      </c>
      <c r="AR448" t="s">
        <v>84</v>
      </c>
      <c r="AS448">
        <v>562</v>
      </c>
      <c r="AT448" t="s">
        <v>85</v>
      </c>
      <c r="AU448" t="s">
        <v>86</v>
      </c>
      <c r="AV448">
        <v>562</v>
      </c>
      <c r="AW448" t="s">
        <v>3662</v>
      </c>
      <c r="AX448" t="s">
        <v>88</v>
      </c>
      <c r="AZ448" t="s">
        <v>3663</v>
      </c>
      <c r="BA448">
        <v>31</v>
      </c>
      <c r="BB448">
        <v>37</v>
      </c>
    </row>
    <row r="449" spans="1:54" x14ac:dyDescent="0.2">
      <c r="A449" t="s">
        <v>3240</v>
      </c>
      <c r="B449" t="s">
        <v>3240</v>
      </c>
      <c r="C449" t="s">
        <v>3241</v>
      </c>
      <c r="D449" t="s">
        <v>3242</v>
      </c>
      <c r="E449" t="s">
        <v>3242</v>
      </c>
      <c r="G449" t="s">
        <v>56</v>
      </c>
      <c r="H449" t="s">
        <v>93</v>
      </c>
      <c r="I449" t="s">
        <v>447</v>
      </c>
      <c r="J449" t="s">
        <v>3243</v>
      </c>
      <c r="K449" t="s">
        <v>7165</v>
      </c>
      <c r="L449" t="s">
        <v>7165</v>
      </c>
      <c r="M449" s="1" t="s">
        <v>448</v>
      </c>
      <c r="N449" t="s">
        <v>3244</v>
      </c>
      <c r="O449" s="1" t="s">
        <v>3090</v>
      </c>
      <c r="P449" s="1" t="s">
        <v>434</v>
      </c>
      <c r="Q449" s="11" t="s">
        <v>7200</v>
      </c>
      <c r="R449" s="1">
        <v>25</v>
      </c>
      <c r="S449" s="1">
        <v>30074</v>
      </c>
      <c r="T449" s="1" t="s">
        <v>3196</v>
      </c>
      <c r="U449" s="1">
        <v>11587507</v>
      </c>
      <c r="V449" t="s">
        <v>3245</v>
      </c>
      <c r="W449" t="s">
        <v>3246</v>
      </c>
      <c r="X449" t="s">
        <v>68</v>
      </c>
      <c r="Y449" t="s">
        <v>3247</v>
      </c>
      <c r="Z449" t="s">
        <v>3248</v>
      </c>
      <c r="AA449" t="s">
        <v>3249</v>
      </c>
      <c r="AB449" t="s">
        <v>3250</v>
      </c>
      <c r="AC449" t="s">
        <v>73</v>
      </c>
      <c r="AD449" t="s">
        <v>3251</v>
      </c>
      <c r="AE449" t="s">
        <v>3252</v>
      </c>
      <c r="AF449" t="s">
        <v>76</v>
      </c>
      <c r="AG449" t="s">
        <v>77</v>
      </c>
      <c r="AH449" t="s">
        <v>3253</v>
      </c>
      <c r="AI449" t="s">
        <v>156</v>
      </c>
      <c r="AJ449" t="s">
        <v>3254</v>
      </c>
      <c r="AK449" t="s">
        <v>158</v>
      </c>
      <c r="AL449" t="s">
        <v>159</v>
      </c>
      <c r="AM449" t="s">
        <v>83</v>
      </c>
      <c r="AO449">
        <v>141997</v>
      </c>
      <c r="AP449">
        <v>5572596</v>
      </c>
      <c r="AQ449">
        <v>143</v>
      </c>
      <c r="AR449" t="s">
        <v>84</v>
      </c>
      <c r="AS449">
        <v>562</v>
      </c>
      <c r="AT449" t="s">
        <v>85</v>
      </c>
      <c r="AU449" t="s">
        <v>86</v>
      </c>
      <c r="AV449">
        <v>562</v>
      </c>
      <c r="AW449" t="s">
        <v>3255</v>
      </c>
      <c r="AX449" t="s">
        <v>88</v>
      </c>
      <c r="AZ449" t="s">
        <v>3256</v>
      </c>
      <c r="BA449">
        <v>1</v>
      </c>
    </row>
    <row r="450" spans="1:54" x14ac:dyDescent="0.2">
      <c r="A450" t="s">
        <v>3206</v>
      </c>
      <c r="B450" t="s">
        <v>3206</v>
      </c>
      <c r="C450" t="s">
        <v>3207</v>
      </c>
      <c r="D450" t="s">
        <v>3208</v>
      </c>
      <c r="E450" t="s">
        <v>3208</v>
      </c>
      <c r="G450" t="s">
        <v>56</v>
      </c>
      <c r="H450" t="s">
        <v>93</v>
      </c>
      <c r="I450" t="s">
        <v>140</v>
      </c>
      <c r="J450" t="s">
        <v>3209</v>
      </c>
      <c r="K450" t="s">
        <v>7165</v>
      </c>
      <c r="L450" t="s">
        <v>7165</v>
      </c>
      <c r="M450" s="1" t="s">
        <v>3210</v>
      </c>
      <c r="N450" t="s">
        <v>3211</v>
      </c>
      <c r="O450" s="1" t="s">
        <v>144</v>
      </c>
      <c r="P450" s="1" t="s">
        <v>64</v>
      </c>
      <c r="Q450" s="11" t="s">
        <v>7220</v>
      </c>
      <c r="R450" s="1">
        <v>6118</v>
      </c>
      <c r="S450" s="1">
        <v>168646</v>
      </c>
      <c r="T450" s="1" t="s">
        <v>3212</v>
      </c>
      <c r="U450" s="1">
        <v>11889187</v>
      </c>
      <c r="V450" t="s">
        <v>3213</v>
      </c>
      <c r="W450" t="s">
        <v>3214</v>
      </c>
      <c r="X450" t="s">
        <v>68</v>
      </c>
      <c r="Y450" t="s">
        <v>3215</v>
      </c>
      <c r="Z450" t="s">
        <v>3216</v>
      </c>
      <c r="AA450" t="s">
        <v>3217</v>
      </c>
      <c r="AB450" t="s">
        <v>3218</v>
      </c>
      <c r="AC450" t="s">
        <v>73</v>
      </c>
      <c r="AD450" t="s">
        <v>3219</v>
      </c>
      <c r="AE450" t="s">
        <v>3220</v>
      </c>
      <c r="AF450" t="s">
        <v>76</v>
      </c>
      <c r="AG450" t="s">
        <v>77</v>
      </c>
      <c r="AH450" t="s">
        <v>3221</v>
      </c>
      <c r="AI450" t="s">
        <v>3222</v>
      </c>
      <c r="AJ450" t="s">
        <v>3223</v>
      </c>
      <c r="AK450" t="s">
        <v>158</v>
      </c>
      <c r="AL450" t="s">
        <v>159</v>
      </c>
      <c r="AM450" t="s">
        <v>83</v>
      </c>
      <c r="AO450">
        <v>90848</v>
      </c>
      <c r="AP450">
        <v>5271367</v>
      </c>
      <c r="AQ450">
        <v>219</v>
      </c>
      <c r="AR450" t="s">
        <v>84</v>
      </c>
      <c r="AS450">
        <v>562</v>
      </c>
      <c r="AT450" t="s">
        <v>85</v>
      </c>
      <c r="AU450" t="s">
        <v>86</v>
      </c>
      <c r="AV450">
        <v>562</v>
      </c>
      <c r="AW450" t="s">
        <v>3224</v>
      </c>
      <c r="AX450" t="s">
        <v>88</v>
      </c>
    </row>
    <row r="451" spans="1:54" x14ac:dyDescent="0.2">
      <c r="A451" t="s">
        <v>4083</v>
      </c>
      <c r="B451" t="s">
        <v>4083</v>
      </c>
      <c r="C451" t="s">
        <v>4084</v>
      </c>
      <c r="D451" t="s">
        <v>4085</v>
      </c>
      <c r="E451" t="s">
        <v>4085</v>
      </c>
      <c r="G451" t="s">
        <v>56</v>
      </c>
      <c r="H451" t="s">
        <v>93</v>
      </c>
      <c r="I451" t="s">
        <v>140</v>
      </c>
      <c r="J451" t="s">
        <v>141</v>
      </c>
      <c r="K451" t="s">
        <v>7165</v>
      </c>
      <c r="L451" t="s">
        <v>7165</v>
      </c>
      <c r="M451" s="1" t="s">
        <v>268</v>
      </c>
      <c r="N451" t="s">
        <v>3585</v>
      </c>
      <c r="O451" s="1" t="s">
        <v>144</v>
      </c>
      <c r="P451" s="1" t="s">
        <v>270</v>
      </c>
      <c r="Q451" s="11" t="s">
        <v>7221</v>
      </c>
      <c r="R451" s="1">
        <v>677</v>
      </c>
      <c r="S451" s="1">
        <v>30630</v>
      </c>
      <c r="T451" s="1" t="s">
        <v>4086</v>
      </c>
      <c r="U451" s="1">
        <v>15286436</v>
      </c>
      <c r="V451" t="s">
        <v>4087</v>
      </c>
      <c r="W451" t="s">
        <v>4088</v>
      </c>
      <c r="X451" t="s">
        <v>68</v>
      </c>
      <c r="Y451" t="s">
        <v>4089</v>
      </c>
      <c r="Z451" t="s">
        <v>4090</v>
      </c>
      <c r="AA451" t="s">
        <v>4091</v>
      </c>
      <c r="AB451" t="s">
        <v>3218</v>
      </c>
      <c r="AC451" t="s">
        <v>73</v>
      </c>
      <c r="AD451" t="s">
        <v>4092</v>
      </c>
      <c r="AE451" t="s">
        <v>4093</v>
      </c>
      <c r="AF451" t="s">
        <v>76</v>
      </c>
      <c r="AG451" t="s">
        <v>77</v>
      </c>
      <c r="AH451" t="s">
        <v>4094</v>
      </c>
      <c r="AI451" t="s">
        <v>3511</v>
      </c>
      <c r="AJ451" t="s">
        <v>4095</v>
      </c>
      <c r="AK451" t="s">
        <v>158</v>
      </c>
      <c r="AL451" t="s">
        <v>159</v>
      </c>
      <c r="AM451" t="s">
        <v>83</v>
      </c>
      <c r="AO451">
        <v>43789</v>
      </c>
      <c r="AP451">
        <v>5281504</v>
      </c>
      <c r="AQ451">
        <v>430</v>
      </c>
      <c r="AR451" t="s">
        <v>84</v>
      </c>
      <c r="AS451">
        <v>562</v>
      </c>
      <c r="AT451" t="s">
        <v>85</v>
      </c>
      <c r="AU451" t="s">
        <v>86</v>
      </c>
      <c r="AV451">
        <v>562</v>
      </c>
      <c r="AW451" t="s">
        <v>4096</v>
      </c>
      <c r="AX451" t="s">
        <v>88</v>
      </c>
      <c r="AZ451" t="s">
        <v>283</v>
      </c>
      <c r="BA451">
        <v>17</v>
      </c>
    </row>
    <row r="452" spans="1:54" x14ac:dyDescent="0.2">
      <c r="A452" t="s">
        <v>6164</v>
      </c>
      <c r="B452" t="s">
        <v>6165</v>
      </c>
      <c r="C452" t="s">
        <v>6166</v>
      </c>
      <c r="D452" t="s">
        <v>6167</v>
      </c>
      <c r="E452" t="s">
        <v>6167</v>
      </c>
      <c r="G452" t="s">
        <v>56</v>
      </c>
      <c r="H452" t="s">
        <v>93</v>
      </c>
      <c r="I452" t="s">
        <v>140</v>
      </c>
      <c r="J452" t="s">
        <v>6168</v>
      </c>
      <c r="K452" t="s">
        <v>7165</v>
      </c>
      <c r="L452" t="s">
        <v>7165</v>
      </c>
      <c r="M452" s="1" t="s">
        <v>268</v>
      </c>
      <c r="N452" t="s">
        <v>269</v>
      </c>
      <c r="O452" s="1" t="s">
        <v>144</v>
      </c>
      <c r="P452" s="1" t="s">
        <v>270</v>
      </c>
      <c r="Q452" s="11" t="s">
        <v>7221</v>
      </c>
      <c r="R452" s="1">
        <v>677</v>
      </c>
      <c r="S452" s="1">
        <v>30630</v>
      </c>
      <c r="T452" s="1" t="s">
        <v>6169</v>
      </c>
      <c r="U452" s="1">
        <v>11233100</v>
      </c>
      <c r="V452" t="s">
        <v>6170</v>
      </c>
      <c r="W452" t="s">
        <v>6171</v>
      </c>
      <c r="X452" t="s">
        <v>68</v>
      </c>
      <c r="Y452" t="s">
        <v>6172</v>
      </c>
      <c r="Z452" t="s">
        <v>6173</v>
      </c>
      <c r="AA452" t="s">
        <v>6174</v>
      </c>
      <c r="AB452" t="s">
        <v>3218</v>
      </c>
      <c r="AC452" t="s">
        <v>73</v>
      </c>
      <c r="AD452" t="s">
        <v>6175</v>
      </c>
      <c r="AE452" t="s">
        <v>6176</v>
      </c>
      <c r="AF452" t="s">
        <v>76</v>
      </c>
      <c r="AG452" t="s">
        <v>77</v>
      </c>
      <c r="AH452" t="s">
        <v>6177</v>
      </c>
      <c r="AI452" t="s">
        <v>156</v>
      </c>
      <c r="AJ452" t="s">
        <v>6178</v>
      </c>
      <c r="AK452" t="s">
        <v>158</v>
      </c>
      <c r="AL452" t="s">
        <v>159</v>
      </c>
      <c r="AM452" t="s">
        <v>83</v>
      </c>
      <c r="AO452">
        <v>94630</v>
      </c>
      <c r="AP452">
        <v>5211185</v>
      </c>
      <c r="AQ452">
        <v>209</v>
      </c>
      <c r="AR452" t="s">
        <v>84</v>
      </c>
      <c r="AS452">
        <v>562</v>
      </c>
      <c r="AT452" t="s">
        <v>85</v>
      </c>
      <c r="AU452" t="s">
        <v>86</v>
      </c>
      <c r="AV452">
        <v>562</v>
      </c>
      <c r="AW452" t="s">
        <v>6179</v>
      </c>
      <c r="AX452" t="s">
        <v>88</v>
      </c>
    </row>
    <row r="453" spans="1:54" x14ac:dyDescent="0.2">
      <c r="A453" t="s">
        <v>3328</v>
      </c>
      <c r="B453" t="s">
        <v>3328</v>
      </c>
      <c r="C453" t="s">
        <v>3329</v>
      </c>
      <c r="D453" t="s">
        <v>3330</v>
      </c>
      <c r="E453" t="s">
        <v>3330</v>
      </c>
      <c r="G453" t="s">
        <v>56</v>
      </c>
      <c r="H453" t="s">
        <v>93</v>
      </c>
      <c r="I453" t="s">
        <v>140</v>
      </c>
      <c r="J453" t="s">
        <v>141</v>
      </c>
      <c r="K453" t="s">
        <v>7165</v>
      </c>
      <c r="L453" t="s">
        <v>7165</v>
      </c>
      <c r="M453" s="1" t="s">
        <v>3331</v>
      </c>
      <c r="N453" t="s">
        <v>3332</v>
      </c>
      <c r="O453" s="1" t="s">
        <v>3090</v>
      </c>
      <c r="P453" s="1" t="s">
        <v>127</v>
      </c>
      <c r="Q453" s="11" t="s">
        <v>7222</v>
      </c>
      <c r="R453" s="1">
        <v>657</v>
      </c>
      <c r="S453" s="1">
        <v>168639</v>
      </c>
      <c r="T453" s="1" t="s">
        <v>3334</v>
      </c>
      <c r="U453" s="1">
        <v>11625100</v>
      </c>
      <c r="V453" t="s">
        <v>3335</v>
      </c>
      <c r="W453" t="s">
        <v>3336</v>
      </c>
      <c r="X453" t="s">
        <v>68</v>
      </c>
      <c r="Y453" t="s">
        <v>3337</v>
      </c>
      <c r="Z453" t="s">
        <v>3338</v>
      </c>
      <c r="AA453" t="s">
        <v>3339</v>
      </c>
      <c r="AB453" t="s">
        <v>3218</v>
      </c>
      <c r="AC453" t="s">
        <v>73</v>
      </c>
      <c r="AD453" t="s">
        <v>3340</v>
      </c>
      <c r="AE453" t="s">
        <v>3341</v>
      </c>
      <c r="AF453" t="s">
        <v>76</v>
      </c>
      <c r="AG453" t="s">
        <v>77</v>
      </c>
      <c r="AH453" t="s">
        <v>3342</v>
      </c>
      <c r="AI453" t="s">
        <v>156</v>
      </c>
      <c r="AJ453" t="s">
        <v>3343</v>
      </c>
      <c r="AK453" t="s">
        <v>158</v>
      </c>
      <c r="AL453" t="s">
        <v>159</v>
      </c>
      <c r="AM453" t="s">
        <v>83</v>
      </c>
      <c r="AO453">
        <v>239411</v>
      </c>
      <c r="AP453">
        <v>4961783</v>
      </c>
      <c r="AQ453">
        <v>68</v>
      </c>
      <c r="AR453" t="s">
        <v>84</v>
      </c>
      <c r="AS453">
        <v>562</v>
      </c>
      <c r="AT453" t="s">
        <v>85</v>
      </c>
      <c r="AU453" t="s">
        <v>86</v>
      </c>
      <c r="AV453">
        <v>562</v>
      </c>
      <c r="AW453" t="s">
        <v>3344</v>
      </c>
      <c r="AX453" t="s">
        <v>88</v>
      </c>
    </row>
    <row r="454" spans="1:54" x14ac:dyDescent="0.2">
      <c r="A454" t="s">
        <v>6510</v>
      </c>
      <c r="B454" t="s">
        <v>6511</v>
      </c>
      <c r="C454" t="s">
        <v>6512</v>
      </c>
      <c r="D454" t="s">
        <v>6513</v>
      </c>
      <c r="E454" t="s">
        <v>6513</v>
      </c>
      <c r="G454" t="s">
        <v>56</v>
      </c>
      <c r="H454" t="s">
        <v>93</v>
      </c>
      <c r="I454" t="s">
        <v>140</v>
      </c>
      <c r="J454" t="s">
        <v>5906</v>
      </c>
      <c r="K454" t="s">
        <v>7165</v>
      </c>
      <c r="L454" t="s">
        <v>7165</v>
      </c>
      <c r="M454" s="1" t="s">
        <v>5461</v>
      </c>
      <c r="N454" t="s">
        <v>5879</v>
      </c>
      <c r="O454" s="1" t="s">
        <v>166</v>
      </c>
      <c r="P454" s="1" t="s">
        <v>250</v>
      </c>
      <c r="Q454" s="11" t="s">
        <v>7223</v>
      </c>
      <c r="R454" s="1">
        <v>647</v>
      </c>
      <c r="S454" s="1">
        <v>2187</v>
      </c>
      <c r="T454" s="1" t="s">
        <v>6514</v>
      </c>
      <c r="U454" s="1" t="s">
        <v>6515</v>
      </c>
      <c r="V454" t="s">
        <v>6516</v>
      </c>
      <c r="W454" t="s">
        <v>6517</v>
      </c>
      <c r="X454" t="s">
        <v>68</v>
      </c>
      <c r="Y454" t="s">
        <v>6518</v>
      </c>
      <c r="Z454" t="s">
        <v>6519</v>
      </c>
      <c r="AA454" t="s">
        <v>6520</v>
      </c>
      <c r="AB454" t="s">
        <v>4193</v>
      </c>
      <c r="AC454" t="s">
        <v>73</v>
      </c>
      <c r="AD454" t="s">
        <v>6521</v>
      </c>
      <c r="AE454" t="s">
        <v>6522</v>
      </c>
      <c r="AF454" t="s">
        <v>76</v>
      </c>
      <c r="AG454" t="s">
        <v>77</v>
      </c>
      <c r="AH454" t="s">
        <v>6523</v>
      </c>
      <c r="AI454" t="s">
        <v>3511</v>
      </c>
      <c r="AJ454" t="s">
        <v>6524</v>
      </c>
      <c r="AK454" t="s">
        <v>158</v>
      </c>
      <c r="AL454" t="s">
        <v>159</v>
      </c>
      <c r="AM454" t="s">
        <v>83</v>
      </c>
      <c r="AO454">
        <v>71651</v>
      </c>
      <c r="AP454">
        <v>5258122</v>
      </c>
      <c r="AQ454">
        <v>165</v>
      </c>
      <c r="AR454" t="s">
        <v>84</v>
      </c>
      <c r="AS454">
        <v>562</v>
      </c>
      <c r="AT454" t="s">
        <v>85</v>
      </c>
      <c r="AU454" t="s">
        <v>86</v>
      </c>
      <c r="AV454">
        <v>562</v>
      </c>
      <c r="AW454" t="s">
        <v>6525</v>
      </c>
      <c r="AX454" t="s">
        <v>88</v>
      </c>
      <c r="AZ454" t="s">
        <v>6526</v>
      </c>
      <c r="BB454">
        <v>48</v>
      </c>
    </row>
    <row r="455" spans="1:54" x14ac:dyDescent="0.2">
      <c r="A455" t="s">
        <v>4182</v>
      </c>
      <c r="B455" t="s">
        <v>4182</v>
      </c>
      <c r="C455" t="s">
        <v>4183</v>
      </c>
      <c r="D455" t="s">
        <v>4184</v>
      </c>
      <c r="E455" t="s">
        <v>4184</v>
      </c>
      <c r="G455" t="s">
        <v>56</v>
      </c>
      <c r="H455" t="s">
        <v>93</v>
      </c>
      <c r="I455" t="s">
        <v>140</v>
      </c>
      <c r="J455" t="s">
        <v>141</v>
      </c>
      <c r="K455" t="s">
        <v>7165</v>
      </c>
      <c r="L455" t="s">
        <v>7165</v>
      </c>
      <c r="M455" s="1" t="s">
        <v>3647</v>
      </c>
      <c r="N455" t="s">
        <v>3648</v>
      </c>
      <c r="O455" s="1" t="s">
        <v>144</v>
      </c>
      <c r="P455" s="1" t="s">
        <v>4185</v>
      </c>
      <c r="Q455" s="11" t="s">
        <v>7224</v>
      </c>
      <c r="R455" s="1">
        <v>515</v>
      </c>
      <c r="S455" s="1">
        <v>15599</v>
      </c>
      <c r="T455" s="1" t="s">
        <v>4187</v>
      </c>
      <c r="U455" s="1">
        <v>15363373</v>
      </c>
      <c r="V455" t="s">
        <v>4188</v>
      </c>
      <c r="W455" t="s">
        <v>4189</v>
      </c>
      <c r="X455" t="s">
        <v>68</v>
      </c>
      <c r="Y455" t="s">
        <v>4190</v>
      </c>
      <c r="Z455" t="s">
        <v>4191</v>
      </c>
      <c r="AA455" t="s">
        <v>4192</v>
      </c>
      <c r="AB455" t="s">
        <v>4193</v>
      </c>
      <c r="AC455" t="s">
        <v>73</v>
      </c>
      <c r="AD455" t="s">
        <v>4194</v>
      </c>
      <c r="AE455" t="s">
        <v>4195</v>
      </c>
      <c r="AF455" t="s">
        <v>76</v>
      </c>
      <c r="AG455" t="s">
        <v>77</v>
      </c>
      <c r="AH455" t="s">
        <v>4196</v>
      </c>
      <c r="AI455" t="s">
        <v>4197</v>
      </c>
      <c r="AJ455" t="s">
        <v>4198</v>
      </c>
      <c r="AK455" t="s">
        <v>532</v>
      </c>
      <c r="AL455" t="s">
        <v>533</v>
      </c>
      <c r="AM455" t="s">
        <v>83</v>
      </c>
      <c r="AO455">
        <v>31735</v>
      </c>
      <c r="AP455">
        <v>4962528</v>
      </c>
      <c r="AQ455">
        <v>377</v>
      </c>
      <c r="AR455" t="s">
        <v>84</v>
      </c>
      <c r="AS455">
        <v>562</v>
      </c>
      <c r="AT455" t="s">
        <v>85</v>
      </c>
      <c r="AU455" t="s">
        <v>86</v>
      </c>
      <c r="AV455">
        <v>562</v>
      </c>
      <c r="AW455" t="s">
        <v>4199</v>
      </c>
      <c r="AX455" t="s">
        <v>88</v>
      </c>
    </row>
    <row r="456" spans="1:54" x14ac:dyDescent="0.2">
      <c r="A456" t="s">
        <v>3984</v>
      </c>
      <c r="B456" t="s">
        <v>3984</v>
      </c>
      <c r="C456" t="s">
        <v>3985</v>
      </c>
      <c r="D456" t="s">
        <v>3986</v>
      </c>
      <c r="E456" t="s">
        <v>3986</v>
      </c>
      <c r="G456" t="s">
        <v>56</v>
      </c>
      <c r="H456" t="s">
        <v>58</v>
      </c>
      <c r="I456" t="s">
        <v>140</v>
      </c>
      <c r="J456" t="s">
        <v>141</v>
      </c>
      <c r="K456" t="s">
        <v>7165</v>
      </c>
      <c r="L456" t="s">
        <v>7165</v>
      </c>
      <c r="M456" s="1" t="s">
        <v>3988</v>
      </c>
      <c r="N456" t="s">
        <v>3988</v>
      </c>
      <c r="O456" s="1" t="s">
        <v>3530</v>
      </c>
      <c r="P456" s="1" t="s">
        <v>250</v>
      </c>
      <c r="Q456" s="11" t="s">
        <v>7225</v>
      </c>
      <c r="R456" s="1">
        <v>342</v>
      </c>
      <c r="S456" s="1">
        <v>171939</v>
      </c>
      <c r="T456" s="1" t="s">
        <v>3990</v>
      </c>
      <c r="U456" s="1">
        <v>15263651</v>
      </c>
      <c r="V456" t="s">
        <v>3991</v>
      </c>
      <c r="W456" t="s">
        <v>3992</v>
      </c>
      <c r="X456" t="s">
        <v>68</v>
      </c>
      <c r="Y456" t="s">
        <v>3993</v>
      </c>
      <c r="Z456" t="s">
        <v>3994</v>
      </c>
      <c r="AA456" t="s">
        <v>3995</v>
      </c>
      <c r="AB456" t="s">
        <v>3996</v>
      </c>
      <c r="AC456" t="s">
        <v>73</v>
      </c>
      <c r="AD456" t="s">
        <v>3997</v>
      </c>
      <c r="AE456" t="s">
        <v>3998</v>
      </c>
      <c r="AF456" t="s">
        <v>76</v>
      </c>
      <c r="AG456" t="s">
        <v>77</v>
      </c>
      <c r="AH456" t="s">
        <v>3999</v>
      </c>
      <c r="AI456" t="s">
        <v>364</v>
      </c>
      <c r="AJ456" t="s">
        <v>4000</v>
      </c>
      <c r="AK456" t="s">
        <v>158</v>
      </c>
      <c r="AL456" t="s">
        <v>159</v>
      </c>
      <c r="AM456" t="s">
        <v>83</v>
      </c>
      <c r="AO456">
        <v>61424</v>
      </c>
      <c r="AP456">
        <v>5236274</v>
      </c>
      <c r="AQ456">
        <v>277</v>
      </c>
      <c r="AR456" t="s">
        <v>84</v>
      </c>
      <c r="AS456">
        <v>562</v>
      </c>
      <c r="AT456" t="s">
        <v>85</v>
      </c>
      <c r="AU456" t="s">
        <v>86</v>
      </c>
      <c r="AV456">
        <v>562</v>
      </c>
      <c r="AW456" t="s">
        <v>4001</v>
      </c>
      <c r="AX456" t="s">
        <v>88</v>
      </c>
    </row>
    <row r="457" spans="1:54" x14ac:dyDescent="0.2">
      <c r="A457" t="s">
        <v>3581</v>
      </c>
      <c r="B457" t="s">
        <v>3581</v>
      </c>
      <c r="C457" t="s">
        <v>3563</v>
      </c>
      <c r="D457" t="s">
        <v>3582</v>
      </c>
      <c r="E457" s="2" t="s">
        <v>3583</v>
      </c>
      <c r="G457" t="s">
        <v>56</v>
      </c>
      <c r="H457" t="s">
        <v>58</v>
      </c>
      <c r="I457" t="s">
        <v>3584</v>
      </c>
      <c r="J457" t="s">
        <v>3584</v>
      </c>
      <c r="K457" t="s">
        <v>7165</v>
      </c>
      <c r="L457" t="s">
        <v>7172</v>
      </c>
      <c r="M457" s="1" t="s">
        <v>353</v>
      </c>
      <c r="N457" t="s">
        <v>3585</v>
      </c>
      <c r="O457" s="1" t="s">
        <v>144</v>
      </c>
      <c r="P457" s="1" t="s">
        <v>355</v>
      </c>
      <c r="Q457" s="11" t="s">
        <v>7198</v>
      </c>
      <c r="R457" s="1">
        <v>155</v>
      </c>
      <c r="S457" s="1">
        <v>1607</v>
      </c>
      <c r="T457" s="1" t="s">
        <v>169</v>
      </c>
      <c r="U457" s="1">
        <v>14295156</v>
      </c>
      <c r="V457" t="s">
        <v>3586</v>
      </c>
      <c r="W457" t="s">
        <v>3587</v>
      </c>
      <c r="X457" t="s">
        <v>68</v>
      </c>
      <c r="Y457" t="s">
        <v>3588</v>
      </c>
      <c r="Z457" t="s">
        <v>3589</v>
      </c>
      <c r="AA457" t="s">
        <v>3590</v>
      </c>
      <c r="AB457" t="s">
        <v>3400</v>
      </c>
      <c r="AC457" t="s">
        <v>73</v>
      </c>
      <c r="AD457" t="s">
        <v>3591</v>
      </c>
      <c r="AE457" t="s">
        <v>75</v>
      </c>
      <c r="AF457" t="s">
        <v>76</v>
      </c>
      <c r="AG457" t="s">
        <v>77</v>
      </c>
      <c r="AH457" t="s">
        <v>3592</v>
      </c>
      <c r="AI457" t="s">
        <v>364</v>
      </c>
      <c r="AJ457" t="s">
        <v>80</v>
      </c>
      <c r="AK457" t="s">
        <v>158</v>
      </c>
      <c r="AL457" t="s">
        <v>159</v>
      </c>
      <c r="AM457" t="s">
        <v>83</v>
      </c>
      <c r="AN457">
        <v>2020</v>
      </c>
      <c r="AO457">
        <v>177527</v>
      </c>
      <c r="AP457">
        <v>5249986</v>
      </c>
      <c r="AQ457">
        <v>119</v>
      </c>
      <c r="AR457" t="s">
        <v>84</v>
      </c>
      <c r="AS457">
        <v>562</v>
      </c>
      <c r="AT457" t="s">
        <v>85</v>
      </c>
      <c r="AU457" t="s">
        <v>86</v>
      </c>
      <c r="AV457">
        <v>562</v>
      </c>
      <c r="AW457" t="s">
        <v>3593</v>
      </c>
      <c r="AX457" t="s">
        <v>88</v>
      </c>
      <c r="AZ457" t="s">
        <v>366</v>
      </c>
      <c r="BA457">
        <v>20</v>
      </c>
    </row>
    <row r="458" spans="1:54" x14ac:dyDescent="0.2">
      <c r="A458" t="s">
        <v>3820</v>
      </c>
      <c r="B458" t="s">
        <v>3820</v>
      </c>
      <c r="C458" t="s">
        <v>3821</v>
      </c>
      <c r="D458" t="s">
        <v>3822</v>
      </c>
      <c r="E458" t="s">
        <v>3822</v>
      </c>
      <c r="G458" t="s">
        <v>56</v>
      </c>
      <c r="H458" t="s">
        <v>93</v>
      </c>
      <c r="I458" t="s">
        <v>406</v>
      </c>
      <c r="J458" t="s">
        <v>389</v>
      </c>
      <c r="K458" t="s">
        <v>7165</v>
      </c>
      <c r="L458" t="s">
        <v>7165</v>
      </c>
      <c r="M458" s="1" t="s">
        <v>3823</v>
      </c>
      <c r="N458" t="s">
        <v>3823</v>
      </c>
      <c r="O458" s="1" t="s">
        <v>144</v>
      </c>
      <c r="P458" s="1" t="s">
        <v>3649</v>
      </c>
      <c r="Q458" s="11" t="s">
        <v>7226</v>
      </c>
      <c r="R458" s="1">
        <v>58</v>
      </c>
      <c r="S458" s="1">
        <v>1601</v>
      </c>
      <c r="T458" s="1" t="s">
        <v>169</v>
      </c>
      <c r="U458" s="1">
        <v>0</v>
      </c>
      <c r="V458" t="s">
        <v>3825</v>
      </c>
      <c r="W458" t="s">
        <v>3826</v>
      </c>
      <c r="X458" t="s">
        <v>68</v>
      </c>
      <c r="Y458" t="s">
        <v>3827</v>
      </c>
      <c r="Z458" t="s">
        <v>3828</v>
      </c>
      <c r="AA458" t="s">
        <v>3829</v>
      </c>
      <c r="AB458" t="s">
        <v>3400</v>
      </c>
      <c r="AC458" t="s">
        <v>73</v>
      </c>
      <c r="AD458" t="s">
        <v>3830</v>
      </c>
      <c r="AE458" t="s">
        <v>75</v>
      </c>
      <c r="AF458" t="s">
        <v>76</v>
      </c>
      <c r="AG458" t="s">
        <v>77</v>
      </c>
      <c r="AH458" t="s">
        <v>3831</v>
      </c>
      <c r="AI458" t="s">
        <v>107</v>
      </c>
      <c r="AJ458" t="s">
        <v>80</v>
      </c>
      <c r="AK458" t="s">
        <v>158</v>
      </c>
      <c r="AL458" t="s">
        <v>159</v>
      </c>
      <c r="AM458" t="s">
        <v>83</v>
      </c>
      <c r="AO458">
        <v>101600</v>
      </c>
      <c r="AP458">
        <v>5235167</v>
      </c>
      <c r="AQ458">
        <v>170</v>
      </c>
      <c r="AR458" t="s">
        <v>84</v>
      </c>
      <c r="AS458">
        <v>562</v>
      </c>
      <c r="AT458" t="s">
        <v>85</v>
      </c>
      <c r="AU458" t="s">
        <v>86</v>
      </c>
      <c r="AV458">
        <v>562</v>
      </c>
      <c r="AW458" t="s">
        <v>3832</v>
      </c>
      <c r="AX458" t="s">
        <v>88</v>
      </c>
    </row>
    <row r="459" spans="1:54" x14ac:dyDescent="0.2">
      <c r="A459" t="s">
        <v>3389</v>
      </c>
      <c r="B459" t="s">
        <v>3389</v>
      </c>
      <c r="C459" t="s">
        <v>3376</v>
      </c>
      <c r="D459" t="s">
        <v>3390</v>
      </c>
      <c r="E459" t="s">
        <v>3390</v>
      </c>
      <c r="G459" t="s">
        <v>56</v>
      </c>
      <c r="H459" t="s">
        <v>58</v>
      </c>
      <c r="I459" t="s">
        <v>406</v>
      </c>
      <c r="J459" t="s">
        <v>3378</v>
      </c>
      <c r="K459" t="s">
        <v>7165</v>
      </c>
      <c r="L459" t="s">
        <v>7165</v>
      </c>
      <c r="M459" s="1" t="s">
        <v>3392</v>
      </c>
      <c r="N459" t="s">
        <v>3392</v>
      </c>
      <c r="O459" s="1" t="s">
        <v>234</v>
      </c>
      <c r="P459" s="1" t="s">
        <v>167</v>
      </c>
      <c r="Q459" s="11" t="s">
        <v>7227</v>
      </c>
      <c r="R459" s="1">
        <v>57</v>
      </c>
      <c r="S459" s="1">
        <v>33331</v>
      </c>
      <c r="T459" s="1" t="s">
        <v>3394</v>
      </c>
      <c r="U459" s="1">
        <v>12479561</v>
      </c>
      <c r="V459" t="s">
        <v>3395</v>
      </c>
      <c r="W459" t="s">
        <v>3396</v>
      </c>
      <c r="X459" t="s">
        <v>68</v>
      </c>
      <c r="Y459" t="s">
        <v>3397</v>
      </c>
      <c r="Z459" t="s">
        <v>3398</v>
      </c>
      <c r="AA459" t="s">
        <v>3399</v>
      </c>
      <c r="AB459" t="s">
        <v>3400</v>
      </c>
      <c r="AC459" t="s">
        <v>73</v>
      </c>
      <c r="AD459" t="s">
        <v>3401</v>
      </c>
      <c r="AE459" t="s">
        <v>3402</v>
      </c>
      <c r="AF459" t="s">
        <v>76</v>
      </c>
      <c r="AG459" t="s">
        <v>77</v>
      </c>
      <c r="AH459" t="s">
        <v>3403</v>
      </c>
      <c r="AI459" t="s">
        <v>364</v>
      </c>
      <c r="AJ459" t="s">
        <v>3404</v>
      </c>
      <c r="AK459" t="s">
        <v>158</v>
      </c>
      <c r="AL459" t="s">
        <v>159</v>
      </c>
      <c r="AM459" t="s">
        <v>83</v>
      </c>
      <c r="AO459">
        <v>70678</v>
      </c>
      <c r="AP459">
        <v>5693208</v>
      </c>
      <c r="AQ459">
        <v>300</v>
      </c>
      <c r="AR459" t="s">
        <v>84</v>
      </c>
      <c r="AS459">
        <v>562</v>
      </c>
      <c r="AT459" t="s">
        <v>85</v>
      </c>
      <c r="AU459" t="s">
        <v>86</v>
      </c>
      <c r="AV459">
        <v>562</v>
      </c>
      <c r="AW459" t="s">
        <v>3405</v>
      </c>
      <c r="AX459" t="s">
        <v>88</v>
      </c>
    </row>
    <row r="460" spans="1:54" x14ac:dyDescent="0.2">
      <c r="A460" t="s">
        <v>3796</v>
      </c>
      <c r="B460" t="s">
        <v>3796</v>
      </c>
      <c r="C460" t="s">
        <v>3797</v>
      </c>
      <c r="D460" t="s">
        <v>3798</v>
      </c>
      <c r="E460" t="s">
        <v>3798</v>
      </c>
      <c r="G460" t="s">
        <v>56</v>
      </c>
      <c r="H460" t="s">
        <v>58</v>
      </c>
      <c r="I460" t="s">
        <v>406</v>
      </c>
      <c r="J460" t="s">
        <v>389</v>
      </c>
      <c r="K460" t="s">
        <v>7165</v>
      </c>
      <c r="L460" t="s">
        <v>7165</v>
      </c>
      <c r="M460" s="1" t="s">
        <v>3392</v>
      </c>
      <c r="N460" t="s">
        <v>3392</v>
      </c>
      <c r="O460" s="1" t="s">
        <v>3090</v>
      </c>
      <c r="P460" s="1" t="s">
        <v>434</v>
      </c>
      <c r="Q460" s="11" t="s">
        <v>7228</v>
      </c>
      <c r="R460" s="1">
        <v>57</v>
      </c>
      <c r="S460" s="1">
        <v>158785</v>
      </c>
      <c r="T460" s="1" t="s">
        <v>3394</v>
      </c>
      <c r="U460" s="1">
        <v>14435407</v>
      </c>
      <c r="V460" t="s">
        <v>3800</v>
      </c>
      <c r="W460" t="s">
        <v>3801</v>
      </c>
      <c r="X460" t="s">
        <v>68</v>
      </c>
      <c r="Y460" t="s">
        <v>3802</v>
      </c>
      <c r="Z460" t="s">
        <v>3803</v>
      </c>
      <c r="AA460" t="s">
        <v>3804</v>
      </c>
      <c r="AB460" t="s">
        <v>3805</v>
      </c>
      <c r="AC460" t="s">
        <v>73</v>
      </c>
      <c r="AD460" t="s">
        <v>3806</v>
      </c>
      <c r="AE460" t="s">
        <v>3402</v>
      </c>
      <c r="AF460" t="s">
        <v>76</v>
      </c>
      <c r="AG460" t="s">
        <v>77</v>
      </c>
      <c r="AH460" t="s">
        <v>3807</v>
      </c>
      <c r="AI460" t="s">
        <v>364</v>
      </c>
      <c r="AJ460" t="s">
        <v>3404</v>
      </c>
      <c r="AK460" t="s">
        <v>158</v>
      </c>
      <c r="AL460" t="s">
        <v>159</v>
      </c>
      <c r="AM460" t="s">
        <v>83</v>
      </c>
      <c r="AO460">
        <v>93013</v>
      </c>
      <c r="AP460">
        <v>5476397</v>
      </c>
      <c r="AQ460">
        <v>321</v>
      </c>
      <c r="AR460" t="s">
        <v>84</v>
      </c>
      <c r="AS460">
        <v>562</v>
      </c>
      <c r="AT460" t="s">
        <v>85</v>
      </c>
      <c r="AU460" t="s">
        <v>86</v>
      </c>
      <c r="AV460">
        <v>562</v>
      </c>
      <c r="AW460" t="s">
        <v>3808</v>
      </c>
      <c r="AX460" t="s">
        <v>88</v>
      </c>
    </row>
    <row r="461" spans="1:54" x14ac:dyDescent="0.2">
      <c r="A461" t="s">
        <v>3513</v>
      </c>
      <c r="B461" t="s">
        <v>3513</v>
      </c>
      <c r="C461" t="s">
        <v>3490</v>
      </c>
      <c r="D461" t="s">
        <v>3514</v>
      </c>
      <c r="E461" t="s">
        <v>3514</v>
      </c>
      <c r="G461" t="s">
        <v>56</v>
      </c>
      <c r="H461" t="s">
        <v>93</v>
      </c>
      <c r="I461" t="s">
        <v>406</v>
      </c>
      <c r="J461" t="s">
        <v>389</v>
      </c>
      <c r="K461" t="s">
        <v>7165</v>
      </c>
      <c r="L461" t="s">
        <v>7165</v>
      </c>
      <c r="M461" s="1" t="s">
        <v>3515</v>
      </c>
      <c r="N461" t="s">
        <v>3515</v>
      </c>
      <c r="O461" s="1" t="s">
        <v>166</v>
      </c>
      <c r="P461" s="1" t="s">
        <v>167</v>
      </c>
      <c r="Q461" s="11" t="s">
        <v>7197</v>
      </c>
      <c r="R461" s="1">
        <v>43</v>
      </c>
      <c r="S461" s="1">
        <v>2010</v>
      </c>
      <c r="T461" s="1" t="s">
        <v>3478</v>
      </c>
      <c r="U461" s="1">
        <v>12618539</v>
      </c>
      <c r="V461" t="s">
        <v>3516</v>
      </c>
      <c r="W461" t="s">
        <v>3517</v>
      </c>
      <c r="X461" t="s">
        <v>68</v>
      </c>
      <c r="Y461" t="s">
        <v>3518</v>
      </c>
      <c r="Z461" t="s">
        <v>3519</v>
      </c>
      <c r="AA461" t="s">
        <v>3520</v>
      </c>
      <c r="AB461" t="s">
        <v>3521</v>
      </c>
      <c r="AC461" t="s">
        <v>73</v>
      </c>
      <c r="AD461" t="s">
        <v>3522</v>
      </c>
      <c r="AF461" t="s">
        <v>76</v>
      </c>
      <c r="AG461" t="s">
        <v>77</v>
      </c>
      <c r="AH461" t="s">
        <v>3523</v>
      </c>
      <c r="AI461" t="s">
        <v>546</v>
      </c>
      <c r="AJ461" t="s">
        <v>531</v>
      </c>
      <c r="AK461" t="s">
        <v>158</v>
      </c>
      <c r="AL461" t="s">
        <v>159</v>
      </c>
      <c r="AM461" t="s">
        <v>83</v>
      </c>
      <c r="AO461">
        <v>71650</v>
      </c>
      <c r="AP461">
        <v>4921339</v>
      </c>
      <c r="AQ461">
        <v>279</v>
      </c>
      <c r="AR461" t="s">
        <v>84</v>
      </c>
      <c r="AS461">
        <v>562</v>
      </c>
      <c r="AT461" t="s">
        <v>85</v>
      </c>
      <c r="AU461" t="s">
        <v>86</v>
      </c>
      <c r="AV461">
        <v>562</v>
      </c>
      <c r="AW461" t="s">
        <v>3524</v>
      </c>
      <c r="AX461" t="s">
        <v>88</v>
      </c>
    </row>
    <row r="462" spans="1:54" x14ac:dyDescent="0.2">
      <c r="A462" t="s">
        <v>3406</v>
      </c>
      <c r="B462" t="s">
        <v>3406</v>
      </c>
      <c r="C462" t="s">
        <v>3376</v>
      </c>
      <c r="D462" t="s">
        <v>3407</v>
      </c>
      <c r="E462" t="s">
        <v>3407</v>
      </c>
      <c r="G462" t="s">
        <v>56</v>
      </c>
      <c r="H462" t="s">
        <v>93</v>
      </c>
      <c r="I462" t="s">
        <v>406</v>
      </c>
      <c r="J462" t="s">
        <v>3378</v>
      </c>
      <c r="K462" t="s">
        <v>7165</v>
      </c>
      <c r="L462" t="s">
        <v>7165</v>
      </c>
      <c r="M462" s="1" t="s">
        <v>183</v>
      </c>
      <c r="N462" t="s">
        <v>183</v>
      </c>
      <c r="O462" s="1" t="s">
        <v>126</v>
      </c>
      <c r="P462" s="1" t="s">
        <v>185</v>
      </c>
      <c r="Q462" s="11" t="s">
        <v>7210</v>
      </c>
      <c r="R462" s="1">
        <v>33</v>
      </c>
      <c r="S462" s="1">
        <v>1587</v>
      </c>
      <c r="T462" s="1" t="s">
        <v>169</v>
      </c>
      <c r="U462" s="1">
        <v>0</v>
      </c>
      <c r="V462" t="s">
        <v>3408</v>
      </c>
      <c r="W462" t="s">
        <v>3409</v>
      </c>
      <c r="X462" t="s">
        <v>68</v>
      </c>
      <c r="Y462" t="s">
        <v>3410</v>
      </c>
      <c r="Z462" t="s">
        <v>3411</v>
      </c>
      <c r="AA462" t="s">
        <v>3412</v>
      </c>
      <c r="AB462" t="s">
        <v>3324</v>
      </c>
      <c r="AC462" t="s">
        <v>73</v>
      </c>
      <c r="AD462" t="s">
        <v>3413</v>
      </c>
      <c r="AE462" t="s">
        <v>75</v>
      </c>
      <c r="AF462" t="s">
        <v>76</v>
      </c>
      <c r="AG462" t="s">
        <v>77</v>
      </c>
      <c r="AH462" t="s">
        <v>3414</v>
      </c>
      <c r="AI462" t="s">
        <v>156</v>
      </c>
      <c r="AJ462" t="s">
        <v>80</v>
      </c>
      <c r="AK462" t="s">
        <v>158</v>
      </c>
      <c r="AL462" t="s">
        <v>159</v>
      </c>
      <c r="AM462" t="s">
        <v>83</v>
      </c>
      <c r="AO462">
        <v>83881</v>
      </c>
      <c r="AP462">
        <v>5614626</v>
      </c>
      <c r="AQ462">
        <v>322</v>
      </c>
      <c r="AR462" t="s">
        <v>84</v>
      </c>
      <c r="AS462">
        <v>562</v>
      </c>
      <c r="AT462" t="s">
        <v>85</v>
      </c>
      <c r="AU462" t="s">
        <v>86</v>
      </c>
      <c r="AV462">
        <v>562</v>
      </c>
      <c r="AW462" t="s">
        <v>3415</v>
      </c>
      <c r="AX462" t="s">
        <v>88</v>
      </c>
    </row>
    <row r="463" spans="1:54" x14ac:dyDescent="0.2">
      <c r="A463" t="s">
        <v>3314</v>
      </c>
      <c r="B463" t="s">
        <v>3314</v>
      </c>
      <c r="C463" t="s">
        <v>3315</v>
      </c>
      <c r="D463" t="s">
        <v>3316</v>
      </c>
      <c r="E463" t="s">
        <v>3316</v>
      </c>
      <c r="G463" t="s">
        <v>56</v>
      </c>
      <c r="H463" t="s">
        <v>93</v>
      </c>
      <c r="I463" t="s">
        <v>406</v>
      </c>
      <c r="J463" t="s">
        <v>3317</v>
      </c>
      <c r="K463" t="s">
        <v>7165</v>
      </c>
      <c r="L463" t="s">
        <v>7165</v>
      </c>
      <c r="M463" s="1" t="s">
        <v>183</v>
      </c>
      <c r="N463" t="s">
        <v>184</v>
      </c>
      <c r="O463" s="1" t="s">
        <v>126</v>
      </c>
      <c r="P463" s="1" t="s">
        <v>185</v>
      </c>
      <c r="Q463" s="11" t="s">
        <v>7229</v>
      </c>
      <c r="R463" s="1">
        <v>33</v>
      </c>
      <c r="S463" s="1">
        <v>1587</v>
      </c>
      <c r="T463" s="1" t="s">
        <v>169</v>
      </c>
      <c r="U463" s="1">
        <v>11625052</v>
      </c>
      <c r="V463" t="s">
        <v>3319</v>
      </c>
      <c r="W463" t="s">
        <v>3320</v>
      </c>
      <c r="X463" t="s">
        <v>68</v>
      </c>
      <c r="Y463" t="s">
        <v>3321</v>
      </c>
      <c r="Z463" t="s">
        <v>3322</v>
      </c>
      <c r="AA463" t="s">
        <v>3323</v>
      </c>
      <c r="AB463" t="s">
        <v>3324</v>
      </c>
      <c r="AC463" t="s">
        <v>73</v>
      </c>
      <c r="AD463" t="s">
        <v>3325</v>
      </c>
      <c r="AE463" t="s">
        <v>75</v>
      </c>
      <c r="AF463" t="s">
        <v>76</v>
      </c>
      <c r="AG463" t="s">
        <v>77</v>
      </c>
      <c r="AH463" t="s">
        <v>3326</v>
      </c>
      <c r="AI463" t="s">
        <v>156</v>
      </c>
      <c r="AJ463" t="s">
        <v>80</v>
      </c>
      <c r="AK463" t="s">
        <v>158</v>
      </c>
      <c r="AL463" t="s">
        <v>159</v>
      </c>
      <c r="AM463" t="s">
        <v>83</v>
      </c>
      <c r="AO463">
        <v>71366</v>
      </c>
      <c r="AP463">
        <v>5583472</v>
      </c>
      <c r="AQ463">
        <v>248</v>
      </c>
      <c r="AR463" t="s">
        <v>84</v>
      </c>
      <c r="AS463">
        <v>562</v>
      </c>
      <c r="AT463" t="s">
        <v>85</v>
      </c>
      <c r="AU463" t="s">
        <v>86</v>
      </c>
      <c r="AV463">
        <v>562</v>
      </c>
      <c r="AW463" t="s">
        <v>3327</v>
      </c>
      <c r="AX463" t="s">
        <v>88</v>
      </c>
    </row>
    <row r="464" spans="1:54" x14ac:dyDescent="0.2">
      <c r="A464" t="s">
        <v>3750</v>
      </c>
      <c r="B464" t="s">
        <v>3750</v>
      </c>
      <c r="C464" t="s">
        <v>3751</v>
      </c>
      <c r="D464" t="s">
        <v>3752</v>
      </c>
      <c r="E464" t="s">
        <v>3752</v>
      </c>
      <c r="G464" t="s">
        <v>56</v>
      </c>
      <c r="H464" t="s">
        <v>93</v>
      </c>
      <c r="I464" t="s">
        <v>406</v>
      </c>
      <c r="J464" t="s">
        <v>3317</v>
      </c>
      <c r="K464" t="s">
        <v>7165</v>
      </c>
      <c r="L464" t="s">
        <v>7165</v>
      </c>
      <c r="M464" s="1" t="s">
        <v>183</v>
      </c>
      <c r="N464" t="s">
        <v>183</v>
      </c>
      <c r="O464" s="1" t="s">
        <v>126</v>
      </c>
      <c r="P464" s="1" t="s">
        <v>185</v>
      </c>
      <c r="Q464" s="11" t="s">
        <v>7210</v>
      </c>
      <c r="R464" s="1">
        <v>33</v>
      </c>
      <c r="S464" s="1">
        <v>1587</v>
      </c>
      <c r="T464" s="1" t="s">
        <v>169</v>
      </c>
      <c r="U464" s="1">
        <v>14340070</v>
      </c>
      <c r="V464" t="s">
        <v>3753</v>
      </c>
      <c r="W464" t="s">
        <v>3754</v>
      </c>
      <c r="X464" t="s">
        <v>68</v>
      </c>
      <c r="Y464" t="s">
        <v>3755</v>
      </c>
      <c r="Z464" t="s">
        <v>3756</v>
      </c>
      <c r="AA464" t="s">
        <v>3757</v>
      </c>
      <c r="AB464" t="s">
        <v>3758</v>
      </c>
      <c r="AC464" t="s">
        <v>73</v>
      </c>
      <c r="AD464" t="s">
        <v>3759</v>
      </c>
      <c r="AE464" t="s">
        <v>75</v>
      </c>
      <c r="AF464" t="s">
        <v>76</v>
      </c>
      <c r="AG464" t="s">
        <v>77</v>
      </c>
      <c r="AH464" t="s">
        <v>3760</v>
      </c>
      <c r="AI464" t="s">
        <v>156</v>
      </c>
      <c r="AJ464" t="s">
        <v>80</v>
      </c>
      <c r="AK464" t="s">
        <v>158</v>
      </c>
      <c r="AL464" t="s">
        <v>159</v>
      </c>
      <c r="AM464" t="s">
        <v>83</v>
      </c>
      <c r="AO464">
        <v>66144</v>
      </c>
      <c r="AP464">
        <v>5511749</v>
      </c>
      <c r="AQ464">
        <v>199</v>
      </c>
      <c r="AR464" t="s">
        <v>84</v>
      </c>
      <c r="AS464">
        <v>562</v>
      </c>
      <c r="AT464" t="s">
        <v>85</v>
      </c>
      <c r="AU464" t="s">
        <v>86</v>
      </c>
      <c r="AV464">
        <v>562</v>
      </c>
      <c r="AW464" t="s">
        <v>3761</v>
      </c>
      <c r="AX464" t="s">
        <v>88</v>
      </c>
    </row>
    <row r="465" spans="1:54" x14ac:dyDescent="0.2">
      <c r="A465" t="s">
        <v>4146</v>
      </c>
      <c r="B465" t="s">
        <v>4146</v>
      </c>
      <c r="C465" t="s">
        <v>4147</v>
      </c>
      <c r="D465" t="s">
        <v>4148</v>
      </c>
      <c r="E465" t="s">
        <v>4148</v>
      </c>
      <c r="G465" t="s">
        <v>56</v>
      </c>
      <c r="H465" t="s">
        <v>93</v>
      </c>
      <c r="I465" t="s">
        <v>406</v>
      </c>
      <c r="J465" t="s">
        <v>389</v>
      </c>
      <c r="K465" t="s">
        <v>7165</v>
      </c>
      <c r="L465" t="s">
        <v>7172</v>
      </c>
      <c r="M465" s="1" t="s">
        <v>183</v>
      </c>
      <c r="N465" t="s">
        <v>4149</v>
      </c>
      <c r="O465" s="1" t="s">
        <v>126</v>
      </c>
      <c r="P465" s="1" t="s">
        <v>185</v>
      </c>
      <c r="Q465" s="11" t="s">
        <v>7308</v>
      </c>
      <c r="R465" s="1">
        <v>33</v>
      </c>
      <c r="S465" s="1">
        <v>1587</v>
      </c>
      <c r="T465" s="1" t="s">
        <v>169</v>
      </c>
      <c r="U465" s="1">
        <v>15286592</v>
      </c>
      <c r="V465" t="s">
        <v>4151</v>
      </c>
      <c r="W465" t="s">
        <v>4152</v>
      </c>
      <c r="X465" t="s">
        <v>68</v>
      </c>
      <c r="Y465" t="s">
        <v>4153</v>
      </c>
      <c r="Z465" t="s">
        <v>4154</v>
      </c>
      <c r="AA465" t="s">
        <v>4155</v>
      </c>
      <c r="AB465" t="s">
        <v>3758</v>
      </c>
      <c r="AC465" t="s">
        <v>73</v>
      </c>
      <c r="AD465" t="s">
        <v>4156</v>
      </c>
      <c r="AE465" t="s">
        <v>75</v>
      </c>
      <c r="AF465" t="s">
        <v>76</v>
      </c>
      <c r="AG465" t="s">
        <v>77</v>
      </c>
      <c r="AH465" t="s">
        <v>4157</v>
      </c>
      <c r="AI465" t="s">
        <v>546</v>
      </c>
      <c r="AJ465" t="s">
        <v>80</v>
      </c>
      <c r="AK465" t="s">
        <v>158</v>
      </c>
      <c r="AL465" t="s">
        <v>159</v>
      </c>
      <c r="AM465" t="s">
        <v>83</v>
      </c>
      <c r="AO465">
        <v>35063</v>
      </c>
      <c r="AP465">
        <v>5278372</v>
      </c>
      <c r="AQ465">
        <v>554</v>
      </c>
      <c r="AR465" t="s">
        <v>84</v>
      </c>
      <c r="AS465">
        <v>562</v>
      </c>
      <c r="AT465" t="s">
        <v>85</v>
      </c>
      <c r="AU465" t="s">
        <v>86</v>
      </c>
      <c r="AV465">
        <v>562</v>
      </c>
      <c r="AW465" t="s">
        <v>4158</v>
      </c>
      <c r="AX465" t="s">
        <v>88</v>
      </c>
    </row>
    <row r="466" spans="1:54" x14ac:dyDescent="0.2">
      <c r="A466" t="s">
        <v>3873</v>
      </c>
      <c r="B466" t="s">
        <v>3873</v>
      </c>
      <c r="C466" t="s">
        <v>3874</v>
      </c>
      <c r="D466" t="s">
        <v>3875</v>
      </c>
      <c r="E466" t="s">
        <v>3875</v>
      </c>
      <c r="G466" t="s">
        <v>56</v>
      </c>
      <c r="H466" t="s">
        <v>93</v>
      </c>
      <c r="I466" t="s">
        <v>406</v>
      </c>
      <c r="J466" t="s">
        <v>389</v>
      </c>
      <c r="K466" t="s">
        <v>7165</v>
      </c>
      <c r="L466" t="s">
        <v>7165</v>
      </c>
      <c r="M466" s="1" t="s">
        <v>183</v>
      </c>
      <c r="N466" t="s">
        <v>183</v>
      </c>
      <c r="O466" s="1" t="s">
        <v>3090</v>
      </c>
      <c r="P466" s="1" t="s">
        <v>185</v>
      </c>
      <c r="Q466" s="11" t="s">
        <v>7311</v>
      </c>
      <c r="R466" s="1">
        <v>33</v>
      </c>
      <c r="S466" s="1">
        <v>169887</v>
      </c>
      <c r="T466" s="1" t="s">
        <v>3776</v>
      </c>
      <c r="U466" s="1">
        <v>15072446</v>
      </c>
      <c r="V466" t="s">
        <v>3877</v>
      </c>
      <c r="W466" t="s">
        <v>3878</v>
      </c>
      <c r="X466" t="s">
        <v>68</v>
      </c>
      <c r="Y466" t="s">
        <v>3879</v>
      </c>
      <c r="Z466" t="s">
        <v>3880</v>
      </c>
      <c r="AA466" t="s">
        <v>3881</v>
      </c>
      <c r="AB466" t="s">
        <v>3882</v>
      </c>
      <c r="AC466" t="s">
        <v>73</v>
      </c>
      <c r="AD466" t="s">
        <v>3883</v>
      </c>
      <c r="AF466" t="s">
        <v>76</v>
      </c>
      <c r="AG466" t="s">
        <v>77</v>
      </c>
      <c r="AH466" t="s">
        <v>3884</v>
      </c>
      <c r="AI466" t="s">
        <v>156</v>
      </c>
      <c r="AJ466" t="s">
        <v>531</v>
      </c>
      <c r="AK466" t="s">
        <v>532</v>
      </c>
      <c r="AL466" t="s">
        <v>533</v>
      </c>
      <c r="AM466" t="s">
        <v>83</v>
      </c>
      <c r="AO466">
        <v>100394</v>
      </c>
      <c r="AP466">
        <v>5552306</v>
      </c>
      <c r="AQ466">
        <v>298</v>
      </c>
      <c r="AR466" t="s">
        <v>84</v>
      </c>
      <c r="AS466">
        <v>562</v>
      </c>
      <c r="AT466" t="s">
        <v>85</v>
      </c>
      <c r="AU466" t="s">
        <v>86</v>
      </c>
      <c r="AV466">
        <v>562</v>
      </c>
      <c r="AW466" t="s">
        <v>3885</v>
      </c>
      <c r="AX466" t="s">
        <v>88</v>
      </c>
    </row>
    <row r="467" spans="1:54" x14ac:dyDescent="0.2">
      <c r="A467" t="s">
        <v>4424</v>
      </c>
      <c r="B467" t="s">
        <v>4424</v>
      </c>
      <c r="C467" t="s">
        <v>4425</v>
      </c>
      <c r="D467" t="s">
        <v>4426</v>
      </c>
      <c r="E467" t="s">
        <v>4426</v>
      </c>
      <c r="G467" t="s">
        <v>56</v>
      </c>
      <c r="H467" t="s">
        <v>58</v>
      </c>
      <c r="I467" t="s">
        <v>2459</v>
      </c>
      <c r="J467" t="s">
        <v>648</v>
      </c>
      <c r="K467" t="s">
        <v>7165</v>
      </c>
      <c r="L467" t="s">
        <v>7165</v>
      </c>
      <c r="M467" s="1" t="s">
        <v>603</v>
      </c>
      <c r="N467" t="s">
        <v>603</v>
      </c>
      <c r="O467" s="1" t="s">
        <v>674</v>
      </c>
      <c r="P467" s="1" t="s">
        <v>64</v>
      </c>
      <c r="Q467" s="11" t="s">
        <v>7293</v>
      </c>
      <c r="R467" s="1">
        <v>11</v>
      </c>
      <c r="S467" s="1">
        <v>29984</v>
      </c>
      <c r="T467" s="1" t="s">
        <v>4427</v>
      </c>
      <c r="U467" s="1">
        <v>14270822</v>
      </c>
      <c r="V467" t="s">
        <v>4428</v>
      </c>
      <c r="W467" t="s">
        <v>4429</v>
      </c>
      <c r="X467" t="s">
        <v>68</v>
      </c>
      <c r="Y467" t="s">
        <v>4430</v>
      </c>
      <c r="Z467" t="s">
        <v>4431</v>
      </c>
      <c r="AA467" t="s">
        <v>4432</v>
      </c>
      <c r="AB467" t="s">
        <v>3720</v>
      </c>
      <c r="AC467" t="s">
        <v>73</v>
      </c>
      <c r="AD467" t="s">
        <v>4433</v>
      </c>
      <c r="AE467" t="s">
        <v>4420</v>
      </c>
      <c r="AF467" t="s">
        <v>76</v>
      </c>
      <c r="AG467" t="s">
        <v>77</v>
      </c>
      <c r="AH467" t="s">
        <v>2635</v>
      </c>
      <c r="AI467" t="s">
        <v>615</v>
      </c>
      <c r="AJ467" t="s">
        <v>4421</v>
      </c>
      <c r="AK467" t="s">
        <v>532</v>
      </c>
      <c r="AL467" t="s">
        <v>533</v>
      </c>
      <c r="AM467" t="s">
        <v>83</v>
      </c>
      <c r="AO467">
        <v>142634</v>
      </c>
      <c r="AP467">
        <v>5418364</v>
      </c>
      <c r="AQ467">
        <v>226</v>
      </c>
      <c r="AR467" t="s">
        <v>84</v>
      </c>
      <c r="AS467">
        <v>562</v>
      </c>
      <c r="AT467" t="s">
        <v>85</v>
      </c>
      <c r="AU467" t="s">
        <v>86</v>
      </c>
      <c r="AV467">
        <v>562</v>
      </c>
      <c r="AW467" t="s">
        <v>4434</v>
      </c>
      <c r="AX467" t="s">
        <v>88</v>
      </c>
      <c r="AZ467" t="s">
        <v>4423</v>
      </c>
      <c r="BA467">
        <v>19</v>
      </c>
      <c r="BB467">
        <v>17</v>
      </c>
    </row>
    <row r="468" spans="1:54" x14ac:dyDescent="0.2">
      <c r="A468" t="s">
        <v>3712</v>
      </c>
      <c r="B468" t="s">
        <v>3712</v>
      </c>
      <c r="C468" t="s">
        <v>3713</v>
      </c>
      <c r="D468" t="s">
        <v>3714</v>
      </c>
      <c r="E468" t="s">
        <v>3714</v>
      </c>
      <c r="G468" t="s">
        <v>56</v>
      </c>
      <c r="H468" t="s">
        <v>93</v>
      </c>
      <c r="I468" t="s">
        <v>406</v>
      </c>
      <c r="J468" t="s">
        <v>389</v>
      </c>
      <c r="K468" t="s">
        <v>7165</v>
      </c>
      <c r="L468" t="s">
        <v>7165</v>
      </c>
      <c r="M468" s="1" t="s">
        <v>183</v>
      </c>
      <c r="N468" t="s">
        <v>183</v>
      </c>
      <c r="O468" s="1" t="s">
        <v>3090</v>
      </c>
      <c r="P468" s="1" t="s">
        <v>185</v>
      </c>
      <c r="Q468" s="11" t="s">
        <v>7210</v>
      </c>
      <c r="R468" s="1">
        <v>33</v>
      </c>
      <c r="S468" s="1">
        <v>1587</v>
      </c>
      <c r="T468" s="1" t="s">
        <v>169</v>
      </c>
      <c r="U468" s="1">
        <v>14200473</v>
      </c>
      <c r="V468" t="s">
        <v>3715</v>
      </c>
      <c r="W468" t="s">
        <v>3716</v>
      </c>
      <c r="X468" t="s">
        <v>68</v>
      </c>
      <c r="Y468" t="s">
        <v>3717</v>
      </c>
      <c r="Z468" t="s">
        <v>3718</v>
      </c>
      <c r="AA468" t="s">
        <v>3719</v>
      </c>
      <c r="AB468" t="s">
        <v>3720</v>
      </c>
      <c r="AC468" t="s">
        <v>73</v>
      </c>
      <c r="AD468" t="s">
        <v>3721</v>
      </c>
      <c r="AE468" t="s">
        <v>75</v>
      </c>
      <c r="AF468" t="s">
        <v>76</v>
      </c>
      <c r="AG468" t="s">
        <v>77</v>
      </c>
      <c r="AH468" t="s">
        <v>3722</v>
      </c>
      <c r="AI468" t="s">
        <v>156</v>
      </c>
      <c r="AJ468" t="s">
        <v>80</v>
      </c>
      <c r="AK468" t="s">
        <v>158</v>
      </c>
      <c r="AL468" t="s">
        <v>159</v>
      </c>
      <c r="AM468" t="s">
        <v>83</v>
      </c>
      <c r="AO468">
        <v>94578</v>
      </c>
      <c r="AP468">
        <v>5497075</v>
      </c>
      <c r="AQ468">
        <v>288</v>
      </c>
      <c r="AR468" t="s">
        <v>84</v>
      </c>
      <c r="AS468">
        <v>562</v>
      </c>
      <c r="AT468" t="s">
        <v>85</v>
      </c>
      <c r="AU468" t="s">
        <v>86</v>
      </c>
      <c r="AV468">
        <v>562</v>
      </c>
      <c r="AW468" t="s">
        <v>3723</v>
      </c>
      <c r="AX468" t="s">
        <v>88</v>
      </c>
    </row>
    <row r="469" spans="1:54" x14ac:dyDescent="0.2">
      <c r="A469" t="s">
        <v>3550</v>
      </c>
      <c r="B469" t="s">
        <v>3550</v>
      </c>
      <c r="C469" t="s">
        <v>3551</v>
      </c>
      <c r="D469" t="s">
        <v>3552</v>
      </c>
      <c r="E469" t="s">
        <v>3552</v>
      </c>
      <c r="G469" t="s">
        <v>56</v>
      </c>
      <c r="H469" t="s">
        <v>93</v>
      </c>
      <c r="I469" t="s">
        <v>447</v>
      </c>
      <c r="J469" t="s">
        <v>389</v>
      </c>
      <c r="K469" t="s">
        <v>7165</v>
      </c>
      <c r="L469" t="s">
        <v>7165</v>
      </c>
      <c r="M469" s="1" t="s">
        <v>183</v>
      </c>
      <c r="N469" t="s">
        <v>183</v>
      </c>
      <c r="O469" s="1" t="s">
        <v>126</v>
      </c>
      <c r="P469" s="1" t="s">
        <v>185</v>
      </c>
      <c r="Q469" s="11" t="s">
        <v>7210</v>
      </c>
      <c r="R469" s="1">
        <v>33</v>
      </c>
      <c r="S469" s="1">
        <v>1587</v>
      </c>
      <c r="T469" s="1" t="s">
        <v>169</v>
      </c>
      <c r="U469" s="1">
        <v>12737416</v>
      </c>
      <c r="V469" t="s">
        <v>3553</v>
      </c>
      <c r="W469" t="s">
        <v>3554</v>
      </c>
      <c r="X469" t="s">
        <v>68</v>
      </c>
      <c r="Y469" t="s">
        <v>3555</v>
      </c>
      <c r="Z469" t="s">
        <v>3556</v>
      </c>
      <c r="AA469" t="s">
        <v>3557</v>
      </c>
      <c r="AB469" t="s">
        <v>3558</v>
      </c>
      <c r="AC469" t="s">
        <v>73</v>
      </c>
      <c r="AD469" t="s">
        <v>3559</v>
      </c>
      <c r="AF469" t="s">
        <v>76</v>
      </c>
      <c r="AG469" t="s">
        <v>77</v>
      </c>
      <c r="AH469" t="s">
        <v>3560</v>
      </c>
      <c r="AI469" t="s">
        <v>156</v>
      </c>
      <c r="AJ469" t="s">
        <v>531</v>
      </c>
      <c r="AK469" t="s">
        <v>532</v>
      </c>
      <c r="AL469" t="s">
        <v>533</v>
      </c>
      <c r="AM469" t="s">
        <v>83</v>
      </c>
      <c r="AO469">
        <v>77747</v>
      </c>
      <c r="AP469">
        <v>5687577</v>
      </c>
      <c r="AQ469">
        <v>401</v>
      </c>
      <c r="AR469" t="s">
        <v>84</v>
      </c>
      <c r="AS469">
        <v>562</v>
      </c>
      <c r="AT469" t="s">
        <v>85</v>
      </c>
      <c r="AU469" t="s">
        <v>86</v>
      </c>
      <c r="AV469">
        <v>562</v>
      </c>
      <c r="AW469" t="s">
        <v>3561</v>
      </c>
      <c r="AX469" t="s">
        <v>88</v>
      </c>
    </row>
    <row r="470" spans="1:54" x14ac:dyDescent="0.2">
      <c r="A470" t="s">
        <v>3773</v>
      </c>
      <c r="B470" t="s">
        <v>3773</v>
      </c>
      <c r="C470" t="s">
        <v>3774</v>
      </c>
      <c r="D470" t="s">
        <v>3775</v>
      </c>
      <c r="E470" t="s">
        <v>3775</v>
      </c>
      <c r="G470" t="s">
        <v>56</v>
      </c>
      <c r="H470" t="s">
        <v>93</v>
      </c>
      <c r="I470" t="s">
        <v>406</v>
      </c>
      <c r="J470" t="s">
        <v>389</v>
      </c>
      <c r="K470" t="s">
        <v>7165</v>
      </c>
      <c r="L470" t="s">
        <v>7165</v>
      </c>
      <c r="M470" s="1" t="s">
        <v>183</v>
      </c>
      <c r="N470" t="s">
        <v>183</v>
      </c>
      <c r="O470" s="1" t="s">
        <v>126</v>
      </c>
      <c r="P470" s="1" t="s">
        <v>185</v>
      </c>
      <c r="Q470" s="11" t="s">
        <v>7210</v>
      </c>
      <c r="R470" s="1">
        <v>33</v>
      </c>
      <c r="S470" s="1">
        <v>158776</v>
      </c>
      <c r="T470" s="1" t="s">
        <v>3776</v>
      </c>
      <c r="U470" s="1">
        <v>14435407</v>
      </c>
      <c r="V470" t="s">
        <v>3777</v>
      </c>
      <c r="W470" t="s">
        <v>3778</v>
      </c>
      <c r="X470" t="s">
        <v>68</v>
      </c>
      <c r="Y470" t="s">
        <v>3779</v>
      </c>
      <c r="Z470" t="s">
        <v>3780</v>
      </c>
      <c r="AA470" t="s">
        <v>3781</v>
      </c>
      <c r="AB470" t="s">
        <v>3684</v>
      </c>
      <c r="AC470" t="s">
        <v>73</v>
      </c>
      <c r="AD470" t="s">
        <v>3782</v>
      </c>
      <c r="AE470" t="s">
        <v>75</v>
      </c>
      <c r="AF470" t="s">
        <v>76</v>
      </c>
      <c r="AG470" t="s">
        <v>77</v>
      </c>
      <c r="AH470" t="s">
        <v>3783</v>
      </c>
      <c r="AI470" t="s">
        <v>156</v>
      </c>
      <c r="AJ470" t="s">
        <v>80</v>
      </c>
      <c r="AK470" t="s">
        <v>158</v>
      </c>
      <c r="AL470" t="s">
        <v>159</v>
      </c>
      <c r="AM470" t="s">
        <v>83</v>
      </c>
      <c r="AO470">
        <v>95423</v>
      </c>
      <c r="AP470">
        <v>5489281</v>
      </c>
      <c r="AQ470">
        <v>235</v>
      </c>
      <c r="AR470" t="s">
        <v>84</v>
      </c>
      <c r="AS470">
        <v>562</v>
      </c>
      <c r="AT470" t="s">
        <v>85</v>
      </c>
      <c r="AU470" t="s">
        <v>86</v>
      </c>
      <c r="AV470">
        <v>562</v>
      </c>
      <c r="AW470" t="s">
        <v>3784</v>
      </c>
      <c r="AX470" t="s">
        <v>88</v>
      </c>
    </row>
    <row r="471" spans="1:54" x14ac:dyDescent="0.2">
      <c r="A471" t="s">
        <v>3785</v>
      </c>
      <c r="B471" t="s">
        <v>3785</v>
      </c>
      <c r="C471" t="s">
        <v>3786</v>
      </c>
      <c r="D471" t="s">
        <v>3787</v>
      </c>
      <c r="E471" t="s">
        <v>3787</v>
      </c>
      <c r="G471" t="s">
        <v>56</v>
      </c>
      <c r="H471" t="s">
        <v>93</v>
      </c>
      <c r="I471" t="s">
        <v>406</v>
      </c>
      <c r="J471" t="s">
        <v>389</v>
      </c>
      <c r="K471" t="s">
        <v>7165</v>
      </c>
      <c r="L471" t="s">
        <v>7165</v>
      </c>
      <c r="M471" s="1" t="s">
        <v>183</v>
      </c>
      <c r="N471" t="s">
        <v>183</v>
      </c>
      <c r="O471" s="1" t="s">
        <v>3677</v>
      </c>
      <c r="P471" s="1" t="s">
        <v>3649</v>
      </c>
      <c r="Q471" s="11" t="s">
        <v>7230</v>
      </c>
      <c r="R471" s="1">
        <v>33</v>
      </c>
      <c r="S471" s="1">
        <v>1587</v>
      </c>
      <c r="T471" s="1" t="s">
        <v>169</v>
      </c>
      <c r="U471" s="1">
        <v>14435407</v>
      </c>
      <c r="V471" t="s">
        <v>3788</v>
      </c>
      <c r="W471" t="s">
        <v>3789</v>
      </c>
      <c r="X471" t="s">
        <v>68</v>
      </c>
      <c r="Y471" t="s">
        <v>3790</v>
      </c>
      <c r="Z471" t="s">
        <v>3791</v>
      </c>
      <c r="AA471" t="s">
        <v>3792</v>
      </c>
      <c r="AB471" t="s">
        <v>3684</v>
      </c>
      <c r="AC471" t="s">
        <v>73</v>
      </c>
      <c r="AD471" t="s">
        <v>3793</v>
      </c>
      <c r="AF471" t="s">
        <v>76</v>
      </c>
      <c r="AG471" t="s">
        <v>77</v>
      </c>
      <c r="AH471" t="s">
        <v>3794</v>
      </c>
      <c r="AI471" t="s">
        <v>156</v>
      </c>
      <c r="AJ471" t="s">
        <v>531</v>
      </c>
      <c r="AK471" t="s">
        <v>532</v>
      </c>
      <c r="AL471" t="s">
        <v>533</v>
      </c>
      <c r="AM471" t="s">
        <v>83</v>
      </c>
      <c r="AO471">
        <v>111527</v>
      </c>
      <c r="AP471">
        <v>5479448</v>
      </c>
      <c r="AQ471">
        <v>380</v>
      </c>
      <c r="AR471" t="s">
        <v>84</v>
      </c>
      <c r="AS471">
        <v>562</v>
      </c>
      <c r="AT471" t="s">
        <v>85</v>
      </c>
      <c r="AU471" t="s">
        <v>86</v>
      </c>
      <c r="AV471">
        <v>562</v>
      </c>
      <c r="AW471" t="s">
        <v>3795</v>
      </c>
      <c r="AX471" t="s">
        <v>88</v>
      </c>
    </row>
    <row r="472" spans="1:54" x14ac:dyDescent="0.2">
      <c r="A472" t="s">
        <v>3675</v>
      </c>
      <c r="B472" t="s">
        <v>3675</v>
      </c>
      <c r="C472" t="s">
        <v>3665</v>
      </c>
      <c r="D472" t="s">
        <v>3676</v>
      </c>
      <c r="E472" t="s">
        <v>3676</v>
      </c>
      <c r="G472" t="s">
        <v>56</v>
      </c>
      <c r="H472" t="s">
        <v>93</v>
      </c>
      <c r="I472" t="s">
        <v>406</v>
      </c>
      <c r="J472" t="s">
        <v>389</v>
      </c>
      <c r="K472" t="s">
        <v>7165</v>
      </c>
      <c r="L472" t="s">
        <v>7165</v>
      </c>
      <c r="M472" s="1" t="s">
        <v>183</v>
      </c>
      <c r="N472" t="s">
        <v>183</v>
      </c>
      <c r="O472" s="1" t="s">
        <v>3677</v>
      </c>
      <c r="P472" s="1" t="s">
        <v>3649</v>
      </c>
      <c r="Q472" s="11" t="s">
        <v>7230</v>
      </c>
      <c r="R472" s="1">
        <v>33</v>
      </c>
      <c r="S472" s="1">
        <v>1587</v>
      </c>
      <c r="T472" s="1" t="s">
        <v>169</v>
      </c>
      <c r="U472" s="1">
        <v>14003015</v>
      </c>
      <c r="V472" t="s">
        <v>3679</v>
      </c>
      <c r="W472" t="s">
        <v>3680</v>
      </c>
      <c r="X472" t="s">
        <v>68</v>
      </c>
      <c r="Y472" t="s">
        <v>3681</v>
      </c>
      <c r="Z472" t="s">
        <v>3682</v>
      </c>
      <c r="AA472" t="s">
        <v>3683</v>
      </c>
      <c r="AB472" t="s">
        <v>3684</v>
      </c>
      <c r="AC472" t="s">
        <v>73</v>
      </c>
      <c r="AD472" t="s">
        <v>3685</v>
      </c>
      <c r="AF472" t="s">
        <v>76</v>
      </c>
      <c r="AG472" t="s">
        <v>77</v>
      </c>
      <c r="AH472" t="s">
        <v>3686</v>
      </c>
      <c r="AI472" t="s">
        <v>546</v>
      </c>
      <c r="AJ472" t="s">
        <v>531</v>
      </c>
      <c r="AK472" t="s">
        <v>532</v>
      </c>
      <c r="AL472" t="s">
        <v>533</v>
      </c>
      <c r="AM472" t="s">
        <v>83</v>
      </c>
      <c r="AO472">
        <v>64381</v>
      </c>
      <c r="AP472">
        <v>5422979</v>
      </c>
      <c r="AQ472">
        <v>325</v>
      </c>
      <c r="AR472" t="s">
        <v>84</v>
      </c>
      <c r="AS472">
        <v>562</v>
      </c>
      <c r="AT472" t="s">
        <v>85</v>
      </c>
      <c r="AU472" t="s">
        <v>86</v>
      </c>
      <c r="AV472">
        <v>562</v>
      </c>
      <c r="AW472" t="s">
        <v>3687</v>
      </c>
      <c r="AX472" t="s">
        <v>88</v>
      </c>
    </row>
    <row r="473" spans="1:54" x14ac:dyDescent="0.2">
      <c r="A473" t="s">
        <v>4398</v>
      </c>
      <c r="B473" t="s">
        <v>4398</v>
      </c>
      <c r="C473" t="s">
        <v>4399</v>
      </c>
      <c r="D473" t="s">
        <v>4400</v>
      </c>
      <c r="E473" t="s">
        <v>4400</v>
      </c>
      <c r="G473" t="s">
        <v>56</v>
      </c>
      <c r="H473" t="s">
        <v>58</v>
      </c>
      <c r="I473" t="s">
        <v>2641</v>
      </c>
      <c r="J473" t="s">
        <v>700</v>
      </c>
      <c r="K473" t="s">
        <v>7165</v>
      </c>
      <c r="L473" t="s">
        <v>7165</v>
      </c>
      <c r="M473" s="1" t="s">
        <v>603</v>
      </c>
      <c r="N473" t="s">
        <v>603</v>
      </c>
      <c r="O473" s="1" t="s">
        <v>650</v>
      </c>
      <c r="P473" s="1" t="s">
        <v>127</v>
      </c>
      <c r="Q473" s="11" t="s">
        <v>7211</v>
      </c>
      <c r="R473" s="1">
        <v>11</v>
      </c>
      <c r="S473" s="1">
        <v>2124</v>
      </c>
      <c r="T473" s="1" t="s">
        <v>651</v>
      </c>
      <c r="U473" s="1">
        <v>14005329</v>
      </c>
      <c r="V473" t="s">
        <v>4401</v>
      </c>
      <c r="W473" t="s">
        <v>4402</v>
      </c>
      <c r="X473" t="s">
        <v>68</v>
      </c>
      <c r="Y473" t="s">
        <v>4403</v>
      </c>
      <c r="Z473" t="s">
        <v>4404</v>
      </c>
      <c r="AA473" t="s">
        <v>4405</v>
      </c>
      <c r="AB473" t="s">
        <v>4406</v>
      </c>
      <c r="AC473" t="s">
        <v>73</v>
      </c>
      <c r="AD473" t="s">
        <v>4407</v>
      </c>
      <c r="AE473" t="s">
        <v>75</v>
      </c>
      <c r="AF473" t="s">
        <v>76</v>
      </c>
      <c r="AG473" t="s">
        <v>77</v>
      </c>
      <c r="AH473" t="s">
        <v>4408</v>
      </c>
      <c r="AI473" t="s">
        <v>4409</v>
      </c>
      <c r="AJ473" t="s">
        <v>616</v>
      </c>
      <c r="AK473" t="s">
        <v>158</v>
      </c>
      <c r="AL473" t="s">
        <v>159</v>
      </c>
      <c r="AM473" t="s">
        <v>83</v>
      </c>
      <c r="AO473">
        <v>86032</v>
      </c>
      <c r="AP473">
        <v>5391129</v>
      </c>
      <c r="AQ473">
        <v>208</v>
      </c>
      <c r="AR473" t="s">
        <v>84</v>
      </c>
      <c r="AS473">
        <v>562</v>
      </c>
      <c r="AT473" t="s">
        <v>85</v>
      </c>
      <c r="AU473" t="s">
        <v>86</v>
      </c>
      <c r="AV473">
        <v>562</v>
      </c>
      <c r="AW473" t="s">
        <v>4410</v>
      </c>
      <c r="AX473" t="s">
        <v>88</v>
      </c>
      <c r="AZ473" t="s">
        <v>659</v>
      </c>
      <c r="BA473">
        <v>8</v>
      </c>
      <c r="BB473">
        <v>17</v>
      </c>
    </row>
    <row r="474" spans="1:54" x14ac:dyDescent="0.2">
      <c r="A474" t="s">
        <v>2810</v>
      </c>
      <c r="B474" t="s">
        <v>2811</v>
      </c>
      <c r="C474" t="s">
        <v>2812</v>
      </c>
      <c r="D474" t="s">
        <v>2813</v>
      </c>
      <c r="E474" t="s">
        <v>2813</v>
      </c>
      <c r="G474" t="s">
        <v>56</v>
      </c>
      <c r="H474" t="s">
        <v>58</v>
      </c>
      <c r="I474" t="s">
        <v>2641</v>
      </c>
      <c r="J474" t="s">
        <v>2814</v>
      </c>
      <c r="K474" t="s">
        <v>7165</v>
      </c>
      <c r="L474" t="s">
        <v>7165</v>
      </c>
      <c r="M474" s="1" t="s">
        <v>603</v>
      </c>
      <c r="N474" t="s">
        <v>2815</v>
      </c>
      <c r="O474" s="1" t="s">
        <v>650</v>
      </c>
      <c r="P474" s="1" t="s">
        <v>127</v>
      </c>
      <c r="Q474" s="11" t="s">
        <v>7211</v>
      </c>
      <c r="R474" s="1">
        <v>11</v>
      </c>
      <c r="S474" s="1">
        <v>2124</v>
      </c>
      <c r="T474" s="1" t="s">
        <v>651</v>
      </c>
      <c r="U474" s="1">
        <v>11525938</v>
      </c>
      <c r="V474" t="s">
        <v>2816</v>
      </c>
      <c r="W474" t="s">
        <v>2817</v>
      </c>
      <c r="X474" t="s">
        <v>68</v>
      </c>
      <c r="Y474" t="s">
        <v>2818</v>
      </c>
      <c r="Z474" t="s">
        <v>2819</v>
      </c>
      <c r="AA474" t="s">
        <v>2820</v>
      </c>
      <c r="AB474" t="s">
        <v>2821</v>
      </c>
      <c r="AC474" t="s">
        <v>73</v>
      </c>
      <c r="AD474" t="s">
        <v>2822</v>
      </c>
      <c r="AE474" t="s">
        <v>75</v>
      </c>
      <c r="AF474" t="s">
        <v>76</v>
      </c>
      <c r="AG474" t="s">
        <v>77</v>
      </c>
      <c r="AH474" t="s">
        <v>2823</v>
      </c>
      <c r="AI474" t="s">
        <v>615</v>
      </c>
      <c r="AJ474" t="s">
        <v>616</v>
      </c>
      <c r="AK474" t="s">
        <v>158</v>
      </c>
      <c r="AL474" t="s">
        <v>159</v>
      </c>
      <c r="AM474" t="s">
        <v>83</v>
      </c>
      <c r="AO474">
        <v>41225</v>
      </c>
      <c r="AP474">
        <v>5261327</v>
      </c>
      <c r="AQ474">
        <v>374</v>
      </c>
      <c r="AR474" t="s">
        <v>84</v>
      </c>
      <c r="AS474">
        <v>562</v>
      </c>
      <c r="AT474" t="s">
        <v>85</v>
      </c>
      <c r="AU474" t="s">
        <v>86</v>
      </c>
      <c r="AV474">
        <v>562</v>
      </c>
      <c r="AW474" t="s">
        <v>2824</v>
      </c>
      <c r="AX474" t="s">
        <v>88</v>
      </c>
      <c r="AZ474" t="s">
        <v>918</v>
      </c>
      <c r="BA474">
        <v>11</v>
      </c>
      <c r="BB474">
        <v>8</v>
      </c>
    </row>
    <row r="475" spans="1:54" x14ac:dyDescent="0.2">
      <c r="A475" t="s">
        <v>6462</v>
      </c>
      <c r="B475" t="s">
        <v>6463</v>
      </c>
      <c r="C475" t="s">
        <v>349</v>
      </c>
      <c r="D475" t="s">
        <v>6464</v>
      </c>
      <c r="E475" t="s">
        <v>6464</v>
      </c>
      <c r="G475" t="s">
        <v>56</v>
      </c>
      <c r="H475" t="s">
        <v>58</v>
      </c>
      <c r="I475" t="s">
        <v>352</v>
      </c>
      <c r="J475" t="s">
        <v>352</v>
      </c>
      <c r="K475" t="s">
        <v>7165</v>
      </c>
      <c r="L475" t="s">
        <v>7172</v>
      </c>
      <c r="M475" s="1" t="s">
        <v>353</v>
      </c>
      <c r="N475" t="s">
        <v>354</v>
      </c>
      <c r="O475" s="1" t="s">
        <v>144</v>
      </c>
      <c r="P475" s="1" t="s">
        <v>355</v>
      </c>
      <c r="Q475" s="11" t="s">
        <v>7198</v>
      </c>
      <c r="R475" s="1">
        <v>155</v>
      </c>
      <c r="S475" s="1">
        <v>1607</v>
      </c>
      <c r="T475" s="1" t="s">
        <v>169</v>
      </c>
      <c r="U475" s="1">
        <v>11774050</v>
      </c>
      <c r="V475" t="s">
        <v>6465</v>
      </c>
      <c r="W475" t="s">
        <v>6466</v>
      </c>
      <c r="X475" t="s">
        <v>68</v>
      </c>
      <c r="Y475" t="s">
        <v>6467</v>
      </c>
      <c r="Z475" t="s">
        <v>6468</v>
      </c>
      <c r="AA475" t="s">
        <v>6469</v>
      </c>
      <c r="AB475" t="s">
        <v>6470</v>
      </c>
      <c r="AC475" t="s">
        <v>73</v>
      </c>
      <c r="AD475" t="s">
        <v>6471</v>
      </c>
      <c r="AE475" t="s">
        <v>75</v>
      </c>
      <c r="AF475" t="s">
        <v>76</v>
      </c>
      <c r="AG475" t="s">
        <v>77</v>
      </c>
      <c r="AH475" t="s">
        <v>6472</v>
      </c>
      <c r="AI475" t="s">
        <v>364</v>
      </c>
      <c r="AJ475" t="s">
        <v>80</v>
      </c>
      <c r="AK475" t="s">
        <v>158</v>
      </c>
      <c r="AL475" t="s">
        <v>159</v>
      </c>
      <c r="AM475" t="s">
        <v>83</v>
      </c>
      <c r="AN475">
        <v>2018</v>
      </c>
      <c r="AO475">
        <v>73268</v>
      </c>
      <c r="AP475">
        <v>5147933</v>
      </c>
      <c r="AQ475">
        <v>196</v>
      </c>
      <c r="AR475" t="s">
        <v>84</v>
      </c>
      <c r="AS475">
        <v>562</v>
      </c>
      <c r="AT475" t="s">
        <v>85</v>
      </c>
      <c r="AU475" t="s">
        <v>86</v>
      </c>
      <c r="AV475">
        <v>562</v>
      </c>
      <c r="AW475" t="s">
        <v>6473</v>
      </c>
      <c r="AX475" t="s">
        <v>88</v>
      </c>
      <c r="AZ475" t="s">
        <v>366</v>
      </c>
      <c r="BA475">
        <v>3</v>
      </c>
    </row>
    <row r="476" spans="1:54" x14ac:dyDescent="0.2">
      <c r="A476" t="s">
        <v>6613</v>
      </c>
      <c r="B476" t="s">
        <v>6614</v>
      </c>
      <c r="C476" t="s">
        <v>6615</v>
      </c>
      <c r="D476" t="s">
        <v>6616</v>
      </c>
      <c r="E476" t="s">
        <v>6616</v>
      </c>
      <c r="G476" t="s">
        <v>56</v>
      </c>
      <c r="H476" t="s">
        <v>58</v>
      </c>
      <c r="I476" t="s">
        <v>94</v>
      </c>
      <c r="J476" t="s">
        <v>94</v>
      </c>
      <c r="K476" t="s">
        <v>60</v>
      </c>
      <c r="L476" t="s">
        <v>60</v>
      </c>
      <c r="M476" s="1" t="s">
        <v>61</v>
      </c>
      <c r="N476" t="s">
        <v>6617</v>
      </c>
      <c r="O476" s="1" t="s">
        <v>63</v>
      </c>
      <c r="P476" s="1" t="s">
        <v>64</v>
      </c>
      <c r="Q476" s="11" t="s">
        <v>7231</v>
      </c>
      <c r="R476" s="1">
        <v>655</v>
      </c>
      <c r="S476" s="1">
        <v>1692</v>
      </c>
      <c r="T476" s="1" t="s">
        <v>169</v>
      </c>
      <c r="U476" s="1">
        <v>9419076</v>
      </c>
      <c r="V476" t="s">
        <v>6618</v>
      </c>
      <c r="W476" t="s">
        <v>6619</v>
      </c>
      <c r="X476" t="s">
        <v>68</v>
      </c>
      <c r="Y476" t="s">
        <v>6620</v>
      </c>
      <c r="Z476" t="s">
        <v>6621</v>
      </c>
      <c r="AA476" t="s">
        <v>6622</v>
      </c>
      <c r="AB476" t="s">
        <v>6598</v>
      </c>
      <c r="AC476" t="s">
        <v>73</v>
      </c>
      <c r="AD476" t="s">
        <v>6623</v>
      </c>
      <c r="AE476" t="s">
        <v>75</v>
      </c>
      <c r="AF476" t="s">
        <v>76</v>
      </c>
      <c r="AG476" t="s">
        <v>77</v>
      </c>
      <c r="AH476" t="s">
        <v>78</v>
      </c>
      <c r="AI476" t="s">
        <v>79</v>
      </c>
      <c r="AJ476" t="s">
        <v>80</v>
      </c>
      <c r="AK476" t="s">
        <v>81</v>
      </c>
      <c r="AL476" t="s">
        <v>82</v>
      </c>
      <c r="AM476" t="s">
        <v>83</v>
      </c>
      <c r="AN476">
        <v>2017</v>
      </c>
      <c r="AO476">
        <v>134602</v>
      </c>
      <c r="AP476">
        <v>5240638</v>
      </c>
      <c r="AQ476">
        <v>201</v>
      </c>
      <c r="AR476" t="s">
        <v>84</v>
      </c>
      <c r="AS476">
        <v>562</v>
      </c>
      <c r="AT476" t="s">
        <v>85</v>
      </c>
      <c r="AU476" t="s">
        <v>86</v>
      </c>
      <c r="AV476">
        <v>562</v>
      </c>
      <c r="AW476" t="s">
        <v>6624</v>
      </c>
      <c r="AX476" t="s">
        <v>88</v>
      </c>
      <c r="AZ476" t="s">
        <v>89</v>
      </c>
      <c r="BA476">
        <v>0</v>
      </c>
      <c r="BB476">
        <v>0</v>
      </c>
    </row>
    <row r="477" spans="1:54" x14ac:dyDescent="0.2">
      <c r="A477" t="s">
        <v>6589</v>
      </c>
      <c r="B477" t="s">
        <v>6590</v>
      </c>
      <c r="C477" t="s">
        <v>6591</v>
      </c>
      <c r="D477" t="s">
        <v>6592</v>
      </c>
      <c r="E477" t="s">
        <v>6592</v>
      </c>
      <c r="G477" t="s">
        <v>56</v>
      </c>
      <c r="H477" t="s">
        <v>58</v>
      </c>
      <c r="I477" t="s">
        <v>94</v>
      </c>
      <c r="J477" t="s">
        <v>94</v>
      </c>
      <c r="K477" t="s">
        <v>60</v>
      </c>
      <c r="L477" t="s">
        <v>60</v>
      </c>
      <c r="M477" s="1" t="s">
        <v>61</v>
      </c>
      <c r="N477" t="s">
        <v>62</v>
      </c>
      <c r="O477" s="1" t="s">
        <v>63</v>
      </c>
      <c r="P477" s="1" t="s">
        <v>64</v>
      </c>
      <c r="Q477" s="11" t="s">
        <v>7231</v>
      </c>
      <c r="R477" s="1">
        <v>655</v>
      </c>
      <c r="S477" s="1">
        <v>1692</v>
      </c>
      <c r="T477" s="1" t="s">
        <v>169</v>
      </c>
      <c r="U477" s="1">
        <v>9360778</v>
      </c>
      <c r="V477" t="s">
        <v>6593</v>
      </c>
      <c r="W477" t="s">
        <v>6594</v>
      </c>
      <c r="X477" t="s">
        <v>68</v>
      </c>
      <c r="Y477" t="s">
        <v>6595</v>
      </c>
      <c r="Z477" t="s">
        <v>6596</v>
      </c>
      <c r="AA477" t="s">
        <v>6597</v>
      </c>
      <c r="AB477" t="s">
        <v>6598</v>
      </c>
      <c r="AC477" t="s">
        <v>73</v>
      </c>
      <c r="AD477" t="s">
        <v>6599</v>
      </c>
      <c r="AE477" t="s">
        <v>75</v>
      </c>
      <c r="AF477" t="s">
        <v>76</v>
      </c>
      <c r="AG477" t="s">
        <v>77</v>
      </c>
      <c r="AH477" t="s">
        <v>6600</v>
      </c>
      <c r="AI477" t="s">
        <v>79</v>
      </c>
      <c r="AJ477" t="s">
        <v>80</v>
      </c>
      <c r="AK477" t="s">
        <v>81</v>
      </c>
      <c r="AL477" t="s">
        <v>82</v>
      </c>
      <c r="AM477" t="s">
        <v>83</v>
      </c>
      <c r="AN477">
        <v>2017</v>
      </c>
      <c r="AO477">
        <v>94694</v>
      </c>
      <c r="AP477">
        <v>5215130</v>
      </c>
      <c r="AQ477">
        <v>266</v>
      </c>
      <c r="AR477" t="s">
        <v>84</v>
      </c>
      <c r="AS477">
        <v>562</v>
      </c>
      <c r="AT477" t="s">
        <v>85</v>
      </c>
      <c r="AU477" t="s">
        <v>86</v>
      </c>
      <c r="AV477">
        <v>562</v>
      </c>
      <c r="AW477" t="s">
        <v>6601</v>
      </c>
      <c r="AX477" t="s">
        <v>88</v>
      </c>
      <c r="AZ477" t="s">
        <v>89</v>
      </c>
      <c r="BA477">
        <v>0</v>
      </c>
      <c r="BB477">
        <v>0</v>
      </c>
    </row>
    <row r="478" spans="1:54" x14ac:dyDescent="0.2">
      <c r="A478" t="s">
        <v>6577</v>
      </c>
      <c r="B478" t="s">
        <v>6578</v>
      </c>
      <c r="C478" t="s">
        <v>6579</v>
      </c>
      <c r="D478" t="s">
        <v>6580</v>
      </c>
      <c r="E478" t="s">
        <v>6580</v>
      </c>
      <c r="G478" t="s">
        <v>56</v>
      </c>
      <c r="H478" t="s">
        <v>58</v>
      </c>
      <c r="I478" t="s">
        <v>60</v>
      </c>
      <c r="J478" t="s">
        <v>60</v>
      </c>
      <c r="K478" t="s">
        <v>60</v>
      </c>
      <c r="L478" t="s">
        <v>60</v>
      </c>
      <c r="M478" s="1" t="s">
        <v>61</v>
      </c>
      <c r="N478" t="s">
        <v>169</v>
      </c>
      <c r="O478" s="1" t="s">
        <v>4549</v>
      </c>
      <c r="P478" s="1" t="s">
        <v>64</v>
      </c>
      <c r="Q478" s="11" t="s">
        <v>7231</v>
      </c>
      <c r="R478" s="1">
        <v>655</v>
      </c>
      <c r="S478" s="1">
        <v>1692</v>
      </c>
      <c r="T478" s="1" t="s">
        <v>169</v>
      </c>
      <c r="U478" s="1">
        <v>9360778</v>
      </c>
      <c r="V478" t="s">
        <v>6581</v>
      </c>
      <c r="W478" t="s">
        <v>6582</v>
      </c>
      <c r="X478" t="s">
        <v>68</v>
      </c>
      <c r="Y478" t="s">
        <v>6583</v>
      </c>
      <c r="Z478" t="s">
        <v>6584</v>
      </c>
      <c r="AA478" t="s">
        <v>6585</v>
      </c>
      <c r="AB478" t="s">
        <v>104</v>
      </c>
      <c r="AC478" t="s">
        <v>73</v>
      </c>
      <c r="AD478" t="s">
        <v>6586</v>
      </c>
      <c r="AE478" t="s">
        <v>75</v>
      </c>
      <c r="AF478" t="s">
        <v>76</v>
      </c>
      <c r="AG478" t="s">
        <v>77</v>
      </c>
      <c r="AH478" t="s">
        <v>6587</v>
      </c>
      <c r="AI478" t="s">
        <v>79</v>
      </c>
      <c r="AJ478" t="s">
        <v>80</v>
      </c>
      <c r="AK478" t="s">
        <v>81</v>
      </c>
      <c r="AL478" t="s">
        <v>82</v>
      </c>
      <c r="AM478" t="s">
        <v>83</v>
      </c>
      <c r="AN478">
        <v>2017</v>
      </c>
      <c r="AO478">
        <v>110005</v>
      </c>
      <c r="AP478">
        <v>5216493</v>
      </c>
      <c r="AQ478">
        <v>253</v>
      </c>
      <c r="AR478" t="s">
        <v>84</v>
      </c>
      <c r="AS478">
        <v>562</v>
      </c>
      <c r="AT478" t="s">
        <v>85</v>
      </c>
      <c r="AU478" t="s">
        <v>86</v>
      </c>
      <c r="AV478">
        <v>562</v>
      </c>
      <c r="AW478" t="s">
        <v>6588</v>
      </c>
      <c r="AX478" t="s">
        <v>88</v>
      </c>
      <c r="AZ478" t="s">
        <v>89</v>
      </c>
      <c r="BA478">
        <v>1</v>
      </c>
      <c r="BB478">
        <v>0</v>
      </c>
    </row>
    <row r="479" spans="1:54" x14ac:dyDescent="0.2">
      <c r="A479" t="s">
        <v>161</v>
      </c>
      <c r="B479" t="s">
        <v>161</v>
      </c>
      <c r="C479" t="s">
        <v>162</v>
      </c>
      <c r="D479" t="s">
        <v>163</v>
      </c>
      <c r="E479" t="s">
        <v>163</v>
      </c>
      <c r="G479" t="s">
        <v>56</v>
      </c>
      <c r="H479" t="s">
        <v>93</v>
      </c>
      <c r="I479" t="s">
        <v>60</v>
      </c>
      <c r="J479" t="s">
        <v>60</v>
      </c>
      <c r="K479" t="s">
        <v>60</v>
      </c>
      <c r="L479" t="s">
        <v>60</v>
      </c>
      <c r="M479" s="1" t="s">
        <v>164</v>
      </c>
      <c r="N479" t="s">
        <v>165</v>
      </c>
      <c r="O479" s="1" t="s">
        <v>166</v>
      </c>
      <c r="P479" s="1" t="s">
        <v>167</v>
      </c>
      <c r="Q479" s="11" t="s">
        <v>7197</v>
      </c>
      <c r="R479" s="1">
        <v>642</v>
      </c>
      <c r="S479" s="1">
        <v>30022</v>
      </c>
      <c r="T479" s="1" t="s">
        <v>169</v>
      </c>
      <c r="U479" s="1" t="s">
        <v>170</v>
      </c>
      <c r="V479" t="s">
        <v>171</v>
      </c>
      <c r="W479" t="s">
        <v>172</v>
      </c>
      <c r="X479" t="s">
        <v>68</v>
      </c>
      <c r="Y479" t="s">
        <v>173</v>
      </c>
      <c r="Z479" t="s">
        <v>174</v>
      </c>
      <c r="AA479" t="s">
        <v>175</v>
      </c>
      <c r="AB479" t="s">
        <v>104</v>
      </c>
      <c r="AC479" t="s">
        <v>73</v>
      </c>
      <c r="AD479" t="s">
        <v>176</v>
      </c>
      <c r="AE479" t="s">
        <v>75</v>
      </c>
      <c r="AF479" t="s">
        <v>76</v>
      </c>
      <c r="AG479" t="s">
        <v>77</v>
      </c>
      <c r="AH479" t="s">
        <v>177</v>
      </c>
      <c r="AI479" t="s">
        <v>107</v>
      </c>
      <c r="AJ479" t="s">
        <v>80</v>
      </c>
      <c r="AK479" t="s">
        <v>81</v>
      </c>
      <c r="AL479" t="s">
        <v>82</v>
      </c>
      <c r="AM479" t="s">
        <v>83</v>
      </c>
      <c r="AN479">
        <v>2017</v>
      </c>
      <c r="AO479">
        <v>103713</v>
      </c>
      <c r="AP479">
        <v>4896546</v>
      </c>
      <c r="AQ479">
        <v>159</v>
      </c>
      <c r="AR479" t="s">
        <v>84</v>
      </c>
      <c r="AS479">
        <v>562</v>
      </c>
      <c r="AT479" t="s">
        <v>85</v>
      </c>
      <c r="AU479" t="s">
        <v>86</v>
      </c>
      <c r="AV479">
        <v>562</v>
      </c>
      <c r="AW479" t="s">
        <v>178</v>
      </c>
      <c r="AX479" t="s">
        <v>88</v>
      </c>
    </row>
    <row r="480" spans="1:54" x14ac:dyDescent="0.2">
      <c r="A480" t="s">
        <v>90</v>
      </c>
      <c r="B480" t="s">
        <v>90</v>
      </c>
      <c r="C480" t="s">
        <v>91</v>
      </c>
      <c r="D480" t="s">
        <v>92</v>
      </c>
      <c r="E480" t="s">
        <v>92</v>
      </c>
      <c r="G480" t="s">
        <v>56</v>
      </c>
      <c r="H480" t="s">
        <v>93</v>
      </c>
      <c r="I480" t="s">
        <v>94</v>
      </c>
      <c r="J480" t="s">
        <v>94</v>
      </c>
      <c r="K480" t="s">
        <v>60</v>
      </c>
      <c r="L480" t="s">
        <v>60</v>
      </c>
      <c r="M480" s="1" t="s">
        <v>95</v>
      </c>
      <c r="N480" t="s">
        <v>96</v>
      </c>
      <c r="O480" s="1" t="s">
        <v>97</v>
      </c>
      <c r="P480" s="1" t="s">
        <v>64</v>
      </c>
      <c r="Q480" s="11" t="s">
        <v>7331</v>
      </c>
      <c r="R480" s="1">
        <v>4496</v>
      </c>
      <c r="S480" s="1">
        <v>33427</v>
      </c>
      <c r="T480" s="1" t="e">
        <v>#N/A</v>
      </c>
      <c r="U480" s="1" t="e">
        <v>#N/A</v>
      </c>
      <c r="V480" t="s">
        <v>99</v>
      </c>
      <c r="W480" t="s">
        <v>100</v>
      </c>
      <c r="X480" t="s">
        <v>68</v>
      </c>
      <c r="Y480" t="s">
        <v>101</v>
      </c>
      <c r="Z480" t="s">
        <v>102</v>
      </c>
      <c r="AA480" t="s">
        <v>103</v>
      </c>
      <c r="AB480" t="s">
        <v>104</v>
      </c>
      <c r="AC480" t="s">
        <v>73</v>
      </c>
      <c r="AD480" t="s">
        <v>105</v>
      </c>
      <c r="AE480" t="s">
        <v>75</v>
      </c>
      <c r="AF480" t="s">
        <v>76</v>
      </c>
      <c r="AG480" t="s">
        <v>77</v>
      </c>
      <c r="AH480" t="s">
        <v>106</v>
      </c>
      <c r="AI480" t="s">
        <v>107</v>
      </c>
      <c r="AJ480" t="s">
        <v>80</v>
      </c>
      <c r="AK480" t="s">
        <v>81</v>
      </c>
      <c r="AL480" t="s">
        <v>82</v>
      </c>
      <c r="AM480" t="s">
        <v>83</v>
      </c>
      <c r="AN480">
        <v>2017</v>
      </c>
      <c r="AO480">
        <v>206403</v>
      </c>
      <c r="AP480">
        <v>4959509</v>
      </c>
      <c r="AQ480">
        <v>57</v>
      </c>
      <c r="AR480" t="s">
        <v>84</v>
      </c>
      <c r="AS480">
        <v>562</v>
      </c>
      <c r="AT480" t="s">
        <v>85</v>
      </c>
      <c r="AU480" t="s">
        <v>86</v>
      </c>
      <c r="AV480">
        <v>562</v>
      </c>
      <c r="AW480" t="s">
        <v>108</v>
      </c>
      <c r="AX480" t="s">
        <v>88</v>
      </c>
      <c r="AZ480" t="s">
        <v>109</v>
      </c>
      <c r="BA480">
        <v>0</v>
      </c>
      <c r="BB480">
        <v>27</v>
      </c>
    </row>
    <row r="481" spans="1:54" x14ac:dyDescent="0.2">
      <c r="A481" t="s">
        <v>6602</v>
      </c>
      <c r="B481" t="s">
        <v>6603</v>
      </c>
      <c r="C481" t="s">
        <v>6604</v>
      </c>
      <c r="D481" t="s">
        <v>6605</v>
      </c>
      <c r="E481" t="s">
        <v>6605</v>
      </c>
      <c r="G481" t="s">
        <v>56</v>
      </c>
      <c r="H481" t="s">
        <v>93</v>
      </c>
      <c r="I481" t="s">
        <v>94</v>
      </c>
      <c r="J481" t="s">
        <v>94</v>
      </c>
      <c r="K481" t="s">
        <v>60</v>
      </c>
      <c r="L481" t="s">
        <v>60</v>
      </c>
      <c r="M481" s="1" t="s">
        <v>95</v>
      </c>
      <c r="N481" t="s">
        <v>198</v>
      </c>
      <c r="O481" s="1" t="s">
        <v>97</v>
      </c>
      <c r="P481" s="1" t="s">
        <v>64</v>
      </c>
      <c r="Q481" s="11" t="s">
        <v>7331</v>
      </c>
      <c r="R481" s="1">
        <v>4496</v>
      </c>
      <c r="S481" s="1">
        <v>33427</v>
      </c>
      <c r="T481" s="1" t="s">
        <v>169</v>
      </c>
      <c r="U481" s="1">
        <v>9360778</v>
      </c>
      <c r="V481" t="s">
        <v>6606</v>
      </c>
      <c r="W481" t="s">
        <v>6607</v>
      </c>
      <c r="X481" t="s">
        <v>68</v>
      </c>
      <c r="Y481" t="s">
        <v>6608</v>
      </c>
      <c r="Z481" t="s">
        <v>6609</v>
      </c>
      <c r="AA481" t="s">
        <v>6610</v>
      </c>
      <c r="AB481" t="s">
        <v>104</v>
      </c>
      <c r="AC481" t="s">
        <v>73</v>
      </c>
      <c r="AD481" t="s">
        <v>6611</v>
      </c>
      <c r="AE481" t="s">
        <v>75</v>
      </c>
      <c r="AF481" t="s">
        <v>76</v>
      </c>
      <c r="AG481" t="s">
        <v>77</v>
      </c>
      <c r="AH481" t="s">
        <v>106</v>
      </c>
      <c r="AI481" t="s">
        <v>107</v>
      </c>
      <c r="AJ481" t="s">
        <v>80</v>
      </c>
      <c r="AK481" t="s">
        <v>81</v>
      </c>
      <c r="AL481" t="s">
        <v>82</v>
      </c>
      <c r="AM481" t="s">
        <v>83</v>
      </c>
      <c r="AN481">
        <v>2017</v>
      </c>
      <c r="AO481">
        <v>111700</v>
      </c>
      <c r="AP481">
        <v>4903261</v>
      </c>
      <c r="AQ481">
        <v>95</v>
      </c>
      <c r="AR481" t="s">
        <v>84</v>
      </c>
      <c r="AS481">
        <v>562</v>
      </c>
      <c r="AT481" t="s">
        <v>85</v>
      </c>
      <c r="AU481" t="s">
        <v>86</v>
      </c>
      <c r="AV481">
        <v>562</v>
      </c>
      <c r="AW481" t="s">
        <v>6612</v>
      </c>
      <c r="AX481" t="s">
        <v>88</v>
      </c>
      <c r="AZ481" t="s">
        <v>109</v>
      </c>
      <c r="BA481">
        <v>4</v>
      </c>
      <c r="BB481">
        <v>17</v>
      </c>
    </row>
    <row r="482" spans="1:54" x14ac:dyDescent="0.2">
      <c r="A482" t="s">
        <v>196</v>
      </c>
      <c r="B482" t="s">
        <v>196</v>
      </c>
      <c r="C482" t="s">
        <v>54</v>
      </c>
      <c r="D482" t="s">
        <v>197</v>
      </c>
      <c r="E482" t="s">
        <v>197</v>
      </c>
      <c r="G482" t="s">
        <v>56</v>
      </c>
      <c r="H482" t="s">
        <v>93</v>
      </c>
      <c r="I482" t="s">
        <v>60</v>
      </c>
      <c r="J482" t="s">
        <v>60</v>
      </c>
      <c r="K482" t="s">
        <v>60</v>
      </c>
      <c r="L482" t="s">
        <v>60</v>
      </c>
      <c r="M482" s="1" t="s">
        <v>95</v>
      </c>
      <c r="N482" t="s">
        <v>198</v>
      </c>
      <c r="O482" s="1" t="s">
        <v>97</v>
      </c>
      <c r="P482" s="1" t="s">
        <v>64</v>
      </c>
      <c r="Q482" s="11" t="s">
        <v>7331</v>
      </c>
      <c r="R482" s="1">
        <v>4496</v>
      </c>
      <c r="S482" s="1">
        <v>33427</v>
      </c>
      <c r="T482" s="1" t="s">
        <v>169</v>
      </c>
      <c r="U482" s="1">
        <v>9360778</v>
      </c>
      <c r="V482" t="s">
        <v>199</v>
      </c>
      <c r="W482" t="s">
        <v>200</v>
      </c>
      <c r="X482" t="s">
        <v>68</v>
      </c>
      <c r="Y482" t="s">
        <v>201</v>
      </c>
      <c r="Z482" t="s">
        <v>202</v>
      </c>
      <c r="AA482" t="s">
        <v>203</v>
      </c>
      <c r="AB482" t="s">
        <v>104</v>
      </c>
      <c r="AC482" t="s">
        <v>73</v>
      </c>
      <c r="AD482" t="s">
        <v>204</v>
      </c>
      <c r="AE482" t="s">
        <v>75</v>
      </c>
      <c r="AF482" t="s">
        <v>76</v>
      </c>
      <c r="AG482" t="s">
        <v>77</v>
      </c>
      <c r="AH482" t="s">
        <v>106</v>
      </c>
      <c r="AI482" t="s">
        <v>107</v>
      </c>
      <c r="AJ482" t="s">
        <v>80</v>
      </c>
      <c r="AK482" t="s">
        <v>81</v>
      </c>
      <c r="AL482" t="s">
        <v>82</v>
      </c>
      <c r="AM482" t="s">
        <v>83</v>
      </c>
      <c r="AN482">
        <v>2017</v>
      </c>
      <c r="AO482">
        <v>193046</v>
      </c>
      <c r="AP482">
        <v>4997827</v>
      </c>
      <c r="AQ482">
        <v>68</v>
      </c>
      <c r="AR482" t="s">
        <v>84</v>
      </c>
      <c r="AS482">
        <v>562</v>
      </c>
      <c r="AT482" t="s">
        <v>85</v>
      </c>
      <c r="AU482" t="s">
        <v>86</v>
      </c>
      <c r="AV482">
        <v>562</v>
      </c>
      <c r="AW482" t="s">
        <v>205</v>
      </c>
      <c r="AX482" t="s">
        <v>88</v>
      </c>
      <c r="AZ482" t="s">
        <v>109</v>
      </c>
      <c r="BA482">
        <v>1</v>
      </c>
      <c r="BB482">
        <v>29</v>
      </c>
    </row>
    <row r="483" spans="1:54" x14ac:dyDescent="0.2">
      <c r="A483" t="s">
        <v>53</v>
      </c>
      <c r="B483" t="s">
        <v>53</v>
      </c>
      <c r="C483" t="s">
        <v>54</v>
      </c>
      <c r="D483" t="s">
        <v>55</v>
      </c>
      <c r="E483" t="s">
        <v>55</v>
      </c>
      <c r="G483" t="s">
        <v>56</v>
      </c>
      <c r="H483" t="s">
        <v>58</v>
      </c>
      <c r="I483" t="s">
        <v>60</v>
      </c>
      <c r="J483" t="s">
        <v>60</v>
      </c>
      <c r="K483" t="s">
        <v>60</v>
      </c>
      <c r="L483" t="s">
        <v>60</v>
      </c>
      <c r="M483" s="1" t="s">
        <v>61</v>
      </c>
      <c r="N483" t="s">
        <v>62</v>
      </c>
      <c r="O483" s="1" t="s">
        <v>63</v>
      </c>
      <c r="P483" s="1" t="s">
        <v>64</v>
      </c>
      <c r="Q483" s="11" t="s">
        <v>7231</v>
      </c>
      <c r="R483" s="1">
        <v>655</v>
      </c>
      <c r="S483" s="1">
        <v>1692</v>
      </c>
      <c r="T483" s="1" t="s">
        <v>62</v>
      </c>
      <c r="U483" s="1" t="e">
        <v>#N/A</v>
      </c>
      <c r="V483" t="s">
        <v>66</v>
      </c>
      <c r="W483" t="s">
        <v>67</v>
      </c>
      <c r="X483" t="s">
        <v>68</v>
      </c>
      <c r="Y483" t="s">
        <v>69</v>
      </c>
      <c r="Z483" t="s">
        <v>70</v>
      </c>
      <c r="AA483" t="s">
        <v>71</v>
      </c>
      <c r="AB483" t="s">
        <v>72</v>
      </c>
      <c r="AC483" t="s">
        <v>73</v>
      </c>
      <c r="AD483" t="s">
        <v>74</v>
      </c>
      <c r="AE483" t="s">
        <v>75</v>
      </c>
      <c r="AF483" t="s">
        <v>76</v>
      </c>
      <c r="AG483" t="s">
        <v>77</v>
      </c>
      <c r="AH483" t="s">
        <v>78</v>
      </c>
      <c r="AI483" t="s">
        <v>79</v>
      </c>
      <c r="AJ483" t="s">
        <v>80</v>
      </c>
      <c r="AK483" t="s">
        <v>81</v>
      </c>
      <c r="AL483" t="s">
        <v>82</v>
      </c>
      <c r="AM483" t="s">
        <v>83</v>
      </c>
      <c r="AN483">
        <v>2017</v>
      </c>
      <c r="AO483">
        <v>105664</v>
      </c>
      <c r="AP483">
        <v>5188081</v>
      </c>
      <c r="AQ483">
        <v>227</v>
      </c>
      <c r="AR483" t="s">
        <v>84</v>
      </c>
      <c r="AS483">
        <v>562</v>
      </c>
      <c r="AT483" t="s">
        <v>85</v>
      </c>
      <c r="AU483" t="s">
        <v>86</v>
      </c>
      <c r="AV483">
        <v>562</v>
      </c>
      <c r="AW483" t="s">
        <v>87</v>
      </c>
      <c r="AX483" t="s">
        <v>88</v>
      </c>
      <c r="AZ483" t="s">
        <v>89</v>
      </c>
      <c r="BA483">
        <v>3</v>
      </c>
      <c r="BB483">
        <v>3</v>
      </c>
    </row>
    <row r="484" spans="1:54" x14ac:dyDescent="0.2">
      <c r="A484" t="s">
        <v>6637</v>
      </c>
      <c r="B484" t="s">
        <v>6638</v>
      </c>
      <c r="C484" t="s">
        <v>6639</v>
      </c>
      <c r="D484" t="s">
        <v>6640</v>
      </c>
      <c r="E484" t="s">
        <v>6640</v>
      </c>
      <c r="G484" t="s">
        <v>56</v>
      </c>
      <c r="H484" t="s">
        <v>58</v>
      </c>
      <c r="I484" t="s">
        <v>94</v>
      </c>
      <c r="J484" t="s">
        <v>94</v>
      </c>
      <c r="K484" t="s">
        <v>60</v>
      </c>
      <c r="L484" t="s">
        <v>60</v>
      </c>
      <c r="M484" s="1" t="s">
        <v>61</v>
      </c>
      <c r="N484" t="s">
        <v>62</v>
      </c>
      <c r="O484" s="1" t="s">
        <v>63</v>
      </c>
      <c r="P484" s="1" t="s">
        <v>64</v>
      </c>
      <c r="Q484" s="11" t="s">
        <v>7231</v>
      </c>
      <c r="R484" s="1">
        <v>655</v>
      </c>
      <c r="S484" s="1">
        <v>1692</v>
      </c>
      <c r="T484" s="1" t="s">
        <v>169</v>
      </c>
      <c r="U484" s="1" t="s">
        <v>170</v>
      </c>
      <c r="V484" t="s">
        <v>6641</v>
      </c>
      <c r="W484" t="s">
        <v>6642</v>
      </c>
      <c r="X484" t="s">
        <v>68</v>
      </c>
      <c r="Y484" t="s">
        <v>6643</v>
      </c>
      <c r="Z484" t="s">
        <v>6644</v>
      </c>
      <c r="AA484" t="s">
        <v>6645</v>
      </c>
      <c r="AB484" t="s">
        <v>72</v>
      </c>
      <c r="AC484" t="s">
        <v>73</v>
      </c>
      <c r="AD484" t="s">
        <v>6646</v>
      </c>
      <c r="AE484" t="s">
        <v>75</v>
      </c>
      <c r="AF484" t="s">
        <v>76</v>
      </c>
      <c r="AG484" t="s">
        <v>77</v>
      </c>
      <c r="AH484" t="s">
        <v>6647</v>
      </c>
      <c r="AI484" t="s">
        <v>79</v>
      </c>
      <c r="AJ484" t="s">
        <v>80</v>
      </c>
      <c r="AK484" t="s">
        <v>81</v>
      </c>
      <c r="AL484" t="s">
        <v>82</v>
      </c>
      <c r="AM484" t="s">
        <v>83</v>
      </c>
      <c r="AN484">
        <v>2017</v>
      </c>
      <c r="AO484">
        <v>135895</v>
      </c>
      <c r="AP484">
        <v>5217517</v>
      </c>
      <c r="AQ484">
        <v>238</v>
      </c>
      <c r="AR484" t="s">
        <v>84</v>
      </c>
      <c r="AS484">
        <v>562</v>
      </c>
      <c r="AT484" t="s">
        <v>85</v>
      </c>
      <c r="AU484" t="s">
        <v>86</v>
      </c>
      <c r="AV484">
        <v>562</v>
      </c>
      <c r="AW484" t="s">
        <v>6648</v>
      </c>
      <c r="AX484" t="s">
        <v>88</v>
      </c>
      <c r="AZ484" t="s">
        <v>6649</v>
      </c>
      <c r="BA484">
        <v>0</v>
      </c>
      <c r="BB484">
        <v>10</v>
      </c>
    </row>
    <row r="485" spans="1:54" x14ac:dyDescent="0.2">
      <c r="A485" t="s">
        <v>121</v>
      </c>
      <c r="B485" t="s">
        <v>121</v>
      </c>
      <c r="C485" t="s">
        <v>122</v>
      </c>
      <c r="D485" t="s">
        <v>123</v>
      </c>
      <c r="E485" t="s">
        <v>123</v>
      </c>
      <c r="G485" t="s">
        <v>56</v>
      </c>
      <c r="H485" t="s">
        <v>93</v>
      </c>
      <c r="I485" t="s">
        <v>94</v>
      </c>
      <c r="J485" t="s">
        <v>94</v>
      </c>
      <c r="K485" t="s">
        <v>60</v>
      </c>
      <c r="L485" t="s">
        <v>60</v>
      </c>
      <c r="M485" s="1" t="s">
        <v>124</v>
      </c>
      <c r="N485" t="s">
        <v>125</v>
      </c>
      <c r="O485" s="1" t="s">
        <v>126</v>
      </c>
      <c r="P485" s="1" t="s">
        <v>127</v>
      </c>
      <c r="Q485" s="11" t="s">
        <v>7209</v>
      </c>
      <c r="R485" s="1">
        <v>154</v>
      </c>
      <c r="S485" s="1">
        <v>30050</v>
      </c>
      <c r="T485" s="1" t="e">
        <v>#N/A</v>
      </c>
      <c r="U485" s="1" t="e">
        <v>#N/A</v>
      </c>
      <c r="V485" t="s">
        <v>129</v>
      </c>
      <c r="W485" t="s">
        <v>130</v>
      </c>
      <c r="X485" t="s">
        <v>68</v>
      </c>
      <c r="Y485" t="s">
        <v>131</v>
      </c>
      <c r="Z485" t="s">
        <v>132</v>
      </c>
      <c r="AA485" t="s">
        <v>133</v>
      </c>
      <c r="AB485" t="s">
        <v>72</v>
      </c>
      <c r="AC485" t="s">
        <v>73</v>
      </c>
      <c r="AD485" t="s">
        <v>134</v>
      </c>
      <c r="AE485" t="s">
        <v>75</v>
      </c>
      <c r="AF485" t="s">
        <v>76</v>
      </c>
      <c r="AG485" t="s">
        <v>77</v>
      </c>
      <c r="AH485" t="s">
        <v>135</v>
      </c>
      <c r="AI485" t="s">
        <v>107</v>
      </c>
      <c r="AJ485" t="s">
        <v>80</v>
      </c>
      <c r="AK485" t="s">
        <v>81</v>
      </c>
      <c r="AL485" t="s">
        <v>82</v>
      </c>
      <c r="AM485" t="s">
        <v>83</v>
      </c>
      <c r="AN485">
        <v>2017</v>
      </c>
      <c r="AO485">
        <v>172057</v>
      </c>
      <c r="AP485">
        <v>4952512</v>
      </c>
      <c r="AQ485">
        <v>106</v>
      </c>
      <c r="AR485" t="s">
        <v>84</v>
      </c>
      <c r="AS485">
        <v>562</v>
      </c>
      <c r="AT485" t="s">
        <v>85</v>
      </c>
      <c r="AU485" t="s">
        <v>86</v>
      </c>
      <c r="AV485">
        <v>562</v>
      </c>
      <c r="AW485" t="s">
        <v>136</v>
      </c>
      <c r="AX485" t="s">
        <v>88</v>
      </c>
    </row>
    <row r="486" spans="1:54" x14ac:dyDescent="0.2">
      <c r="A486" t="s">
        <v>6552</v>
      </c>
      <c r="B486" t="s">
        <v>6553</v>
      </c>
      <c r="C486" t="s">
        <v>6554</v>
      </c>
      <c r="D486" t="s">
        <v>6555</v>
      </c>
      <c r="E486" t="s">
        <v>6555</v>
      </c>
      <c r="G486" t="s">
        <v>56</v>
      </c>
      <c r="H486" t="s">
        <v>58</v>
      </c>
      <c r="I486" t="s">
        <v>60</v>
      </c>
      <c r="J486" t="s">
        <v>60</v>
      </c>
      <c r="K486" t="s">
        <v>60</v>
      </c>
      <c r="L486" t="s">
        <v>60</v>
      </c>
      <c r="M486" s="1" t="s">
        <v>61</v>
      </c>
      <c r="N486" t="s">
        <v>62</v>
      </c>
      <c r="O486" s="1" t="s">
        <v>63</v>
      </c>
      <c r="P486" s="1" t="s">
        <v>64</v>
      </c>
      <c r="Q486" s="11" t="s">
        <v>7231</v>
      </c>
      <c r="R486" s="1">
        <v>655</v>
      </c>
      <c r="S486" s="1">
        <v>1692</v>
      </c>
      <c r="T486" s="1" t="s">
        <v>169</v>
      </c>
      <c r="U486" s="1" t="s">
        <v>6556</v>
      </c>
      <c r="V486" t="s">
        <v>6557</v>
      </c>
      <c r="W486" t="s">
        <v>6558</v>
      </c>
      <c r="X486" t="s">
        <v>68</v>
      </c>
      <c r="Y486" t="s">
        <v>6559</v>
      </c>
      <c r="Z486" t="s">
        <v>6560</v>
      </c>
      <c r="AA486" t="s">
        <v>6561</v>
      </c>
      <c r="AB486" t="s">
        <v>72</v>
      </c>
      <c r="AC486" t="s">
        <v>73</v>
      </c>
      <c r="AD486" t="s">
        <v>6562</v>
      </c>
      <c r="AE486" t="s">
        <v>75</v>
      </c>
      <c r="AF486" t="s">
        <v>76</v>
      </c>
      <c r="AG486" t="s">
        <v>77</v>
      </c>
      <c r="AH486" t="s">
        <v>6563</v>
      </c>
      <c r="AI486" t="s">
        <v>79</v>
      </c>
      <c r="AJ486" t="s">
        <v>80</v>
      </c>
      <c r="AK486" t="s">
        <v>81</v>
      </c>
      <c r="AL486" t="s">
        <v>82</v>
      </c>
      <c r="AM486" t="s">
        <v>83</v>
      </c>
      <c r="AN486">
        <v>2017</v>
      </c>
      <c r="AO486">
        <v>70819</v>
      </c>
      <c r="AP486">
        <v>5205597</v>
      </c>
      <c r="AQ486">
        <v>259</v>
      </c>
      <c r="AR486" t="s">
        <v>84</v>
      </c>
      <c r="AS486">
        <v>562</v>
      </c>
      <c r="AT486" t="s">
        <v>85</v>
      </c>
      <c r="AU486" t="s">
        <v>86</v>
      </c>
      <c r="AV486">
        <v>562</v>
      </c>
      <c r="AW486" t="s">
        <v>6564</v>
      </c>
      <c r="AX486" t="s">
        <v>88</v>
      </c>
      <c r="AZ486" t="s">
        <v>89</v>
      </c>
      <c r="BA486">
        <v>0</v>
      </c>
      <c r="BB486">
        <v>0</v>
      </c>
    </row>
    <row r="487" spans="1:54" x14ac:dyDescent="0.2">
      <c r="A487" t="s">
        <v>5565</v>
      </c>
      <c r="B487" t="s">
        <v>5566</v>
      </c>
      <c r="C487" t="s">
        <v>5567</v>
      </c>
      <c r="D487" t="s">
        <v>5568</v>
      </c>
      <c r="E487" t="s">
        <v>5568</v>
      </c>
      <c r="G487" t="s">
        <v>56</v>
      </c>
      <c r="H487" t="s">
        <v>93</v>
      </c>
      <c r="I487" t="s">
        <v>5569</v>
      </c>
      <c r="J487" t="s">
        <v>5569</v>
      </c>
      <c r="K487" t="s">
        <v>60</v>
      </c>
      <c r="L487" t="s">
        <v>60</v>
      </c>
      <c r="M487" s="1" t="s">
        <v>95</v>
      </c>
      <c r="N487" t="s">
        <v>96</v>
      </c>
      <c r="O487" s="1" t="s">
        <v>97</v>
      </c>
      <c r="P487" s="1" t="s">
        <v>64</v>
      </c>
      <c r="Q487" s="11" t="s">
        <v>7331</v>
      </c>
      <c r="R487" s="1">
        <v>4496</v>
      </c>
      <c r="S487" s="1">
        <v>33427</v>
      </c>
      <c r="T487" s="1" t="s">
        <v>169</v>
      </c>
      <c r="U487" s="1" t="s">
        <v>170</v>
      </c>
      <c r="V487" t="s">
        <v>5570</v>
      </c>
      <c r="W487" t="s">
        <v>5571</v>
      </c>
      <c r="X487" t="s">
        <v>68</v>
      </c>
      <c r="Y487" t="s">
        <v>5572</v>
      </c>
      <c r="Z487" t="s">
        <v>5573</v>
      </c>
      <c r="AA487" t="s">
        <v>5574</v>
      </c>
      <c r="AB487" t="s">
        <v>72</v>
      </c>
      <c r="AC487" t="s">
        <v>73</v>
      </c>
      <c r="AD487" t="s">
        <v>5575</v>
      </c>
      <c r="AE487" t="s">
        <v>75</v>
      </c>
      <c r="AF487" t="s">
        <v>76</v>
      </c>
      <c r="AG487" t="s">
        <v>77</v>
      </c>
      <c r="AH487" t="s">
        <v>106</v>
      </c>
      <c r="AI487" t="s">
        <v>107</v>
      </c>
      <c r="AJ487" t="s">
        <v>80</v>
      </c>
      <c r="AK487" t="s">
        <v>81</v>
      </c>
      <c r="AL487" t="s">
        <v>82</v>
      </c>
      <c r="AM487" t="s">
        <v>83</v>
      </c>
      <c r="AN487">
        <v>2017</v>
      </c>
      <c r="AO487">
        <v>218581</v>
      </c>
      <c r="AP487">
        <v>4983888</v>
      </c>
      <c r="AQ487">
        <v>59</v>
      </c>
      <c r="AR487" t="s">
        <v>84</v>
      </c>
      <c r="AS487">
        <v>562</v>
      </c>
      <c r="AT487" t="s">
        <v>85</v>
      </c>
      <c r="AU487" t="s">
        <v>86</v>
      </c>
      <c r="AV487">
        <v>562</v>
      </c>
      <c r="AW487" t="s">
        <v>5576</v>
      </c>
      <c r="AX487" t="s">
        <v>88</v>
      </c>
      <c r="AZ487" t="s">
        <v>109</v>
      </c>
      <c r="BA487">
        <v>2</v>
      </c>
      <c r="BB487">
        <v>31</v>
      </c>
    </row>
    <row r="488" spans="1:54" x14ac:dyDescent="0.2">
      <c r="A488" t="s">
        <v>6683</v>
      </c>
      <c r="B488" t="s">
        <v>6684</v>
      </c>
      <c r="C488" t="s">
        <v>6685</v>
      </c>
      <c r="D488" t="s">
        <v>6686</v>
      </c>
      <c r="E488" t="s">
        <v>6686</v>
      </c>
      <c r="G488" t="s">
        <v>56</v>
      </c>
      <c r="H488" t="s">
        <v>93</v>
      </c>
      <c r="I488" t="s">
        <v>94</v>
      </c>
      <c r="J488" t="s">
        <v>94</v>
      </c>
      <c r="K488" t="s">
        <v>60</v>
      </c>
      <c r="L488" t="s">
        <v>60</v>
      </c>
      <c r="M488" s="1" t="s">
        <v>3150</v>
      </c>
      <c r="N488" t="s">
        <v>3151</v>
      </c>
      <c r="O488" s="1" t="s">
        <v>144</v>
      </c>
      <c r="P488" s="1" t="s">
        <v>64</v>
      </c>
      <c r="Q488" s="11" t="s">
        <v>7331</v>
      </c>
      <c r="R488" s="1">
        <v>1611</v>
      </c>
      <c r="S488" s="1">
        <v>52368</v>
      </c>
      <c r="T488" s="1" t="s">
        <v>169</v>
      </c>
      <c r="U488" s="1" t="s">
        <v>170</v>
      </c>
      <c r="V488" t="s">
        <v>6687</v>
      </c>
      <c r="W488" t="s">
        <v>6688</v>
      </c>
      <c r="X488" t="s">
        <v>68</v>
      </c>
      <c r="Y488" t="s">
        <v>6689</v>
      </c>
      <c r="Z488" t="s">
        <v>6690</v>
      </c>
      <c r="AA488" t="s">
        <v>6691</v>
      </c>
      <c r="AB488" t="s">
        <v>118</v>
      </c>
      <c r="AC488" t="s">
        <v>73</v>
      </c>
      <c r="AD488" t="s">
        <v>6692</v>
      </c>
      <c r="AE488" t="s">
        <v>75</v>
      </c>
      <c r="AF488" t="s">
        <v>76</v>
      </c>
      <c r="AG488" t="s">
        <v>77</v>
      </c>
      <c r="AH488" t="s">
        <v>3158</v>
      </c>
      <c r="AI488" t="s">
        <v>156</v>
      </c>
      <c r="AJ488" t="s">
        <v>80</v>
      </c>
      <c r="AK488" t="s">
        <v>81</v>
      </c>
      <c r="AL488" t="s">
        <v>82</v>
      </c>
      <c r="AM488" t="s">
        <v>83</v>
      </c>
      <c r="AN488">
        <v>2017</v>
      </c>
      <c r="AO488">
        <v>164324</v>
      </c>
      <c r="AP488">
        <v>5267260</v>
      </c>
      <c r="AQ488">
        <v>91</v>
      </c>
      <c r="AR488" t="s">
        <v>84</v>
      </c>
      <c r="AS488">
        <v>562</v>
      </c>
      <c r="AT488" t="s">
        <v>85</v>
      </c>
      <c r="AU488" t="s">
        <v>86</v>
      </c>
      <c r="AV488">
        <v>562</v>
      </c>
      <c r="AW488" t="s">
        <v>6693</v>
      </c>
      <c r="AX488" t="s">
        <v>88</v>
      </c>
    </row>
    <row r="489" spans="1:54" x14ac:dyDescent="0.2">
      <c r="A489" t="s">
        <v>6625</v>
      </c>
      <c r="B489" t="s">
        <v>6626</v>
      </c>
      <c r="C489" t="s">
        <v>6627</v>
      </c>
      <c r="D489" t="s">
        <v>6628</v>
      </c>
      <c r="E489" t="s">
        <v>6628</v>
      </c>
      <c r="G489" t="s">
        <v>56</v>
      </c>
      <c r="H489" t="s">
        <v>93</v>
      </c>
      <c r="I489" t="s">
        <v>6629</v>
      </c>
      <c r="J489" t="s">
        <v>6629</v>
      </c>
      <c r="K489" t="s">
        <v>60</v>
      </c>
      <c r="L489" t="s">
        <v>60</v>
      </c>
      <c r="M489" s="1" t="s">
        <v>95</v>
      </c>
      <c r="N489" t="s">
        <v>198</v>
      </c>
      <c r="O489" s="1" t="s">
        <v>97</v>
      </c>
      <c r="P489" s="1" t="s">
        <v>64</v>
      </c>
      <c r="Q489" s="11" t="s">
        <v>7331</v>
      </c>
      <c r="R489" s="1">
        <v>4496</v>
      </c>
      <c r="S489" s="1">
        <v>33427</v>
      </c>
      <c r="T489" s="1" t="s">
        <v>169</v>
      </c>
      <c r="U489" s="1">
        <v>9360778</v>
      </c>
      <c r="V489" t="s">
        <v>6630</v>
      </c>
      <c r="W489" t="s">
        <v>6631</v>
      </c>
      <c r="X489" t="s">
        <v>68</v>
      </c>
      <c r="Y489" t="s">
        <v>6632</v>
      </c>
      <c r="Z489" t="s">
        <v>6633</v>
      </c>
      <c r="AA489" t="s">
        <v>6634</v>
      </c>
      <c r="AB489" t="s">
        <v>118</v>
      </c>
      <c r="AC489" t="s">
        <v>73</v>
      </c>
      <c r="AD489" t="s">
        <v>6635</v>
      </c>
      <c r="AE489" t="s">
        <v>75</v>
      </c>
      <c r="AF489" t="s">
        <v>76</v>
      </c>
      <c r="AG489" t="s">
        <v>77</v>
      </c>
      <c r="AH489" t="s">
        <v>106</v>
      </c>
      <c r="AI489" t="s">
        <v>107</v>
      </c>
      <c r="AJ489" t="s">
        <v>80</v>
      </c>
      <c r="AK489" t="s">
        <v>81</v>
      </c>
      <c r="AL489" t="s">
        <v>82</v>
      </c>
      <c r="AM489" t="s">
        <v>83</v>
      </c>
      <c r="AN489">
        <v>2017</v>
      </c>
      <c r="AO489">
        <v>138330</v>
      </c>
      <c r="AP489">
        <v>4872595</v>
      </c>
      <c r="AQ489">
        <v>83</v>
      </c>
      <c r="AR489" t="s">
        <v>84</v>
      </c>
      <c r="AS489">
        <v>562</v>
      </c>
      <c r="AT489" t="s">
        <v>85</v>
      </c>
      <c r="AU489" t="s">
        <v>86</v>
      </c>
      <c r="AV489">
        <v>562</v>
      </c>
      <c r="AW489" t="s">
        <v>6636</v>
      </c>
      <c r="AX489" t="s">
        <v>88</v>
      </c>
      <c r="AZ489" t="s">
        <v>109</v>
      </c>
      <c r="BA489">
        <v>3</v>
      </c>
      <c r="BB489">
        <v>16</v>
      </c>
    </row>
    <row r="490" spans="1:54" x14ac:dyDescent="0.2">
      <c r="A490" t="s">
        <v>219</v>
      </c>
      <c r="B490" t="s">
        <v>219</v>
      </c>
      <c r="C490" t="s">
        <v>220</v>
      </c>
      <c r="D490" t="s">
        <v>221</v>
      </c>
      <c r="E490" t="s">
        <v>221</v>
      </c>
      <c r="G490" t="s">
        <v>56</v>
      </c>
      <c r="H490" t="s">
        <v>93</v>
      </c>
      <c r="I490" t="s">
        <v>60</v>
      </c>
      <c r="J490" t="s">
        <v>60</v>
      </c>
      <c r="K490" t="s">
        <v>60</v>
      </c>
      <c r="L490" t="s">
        <v>60</v>
      </c>
      <c r="M490" s="1" t="s">
        <v>95</v>
      </c>
      <c r="N490" t="s">
        <v>222</v>
      </c>
      <c r="O490" s="1" t="s">
        <v>97</v>
      </c>
      <c r="P490" s="1" t="s">
        <v>64</v>
      </c>
      <c r="Q490" s="11" t="s">
        <v>7331</v>
      </c>
      <c r="R490" s="1">
        <v>4496</v>
      </c>
      <c r="S490" s="1">
        <v>33427</v>
      </c>
      <c r="T490" s="1" t="s">
        <v>169</v>
      </c>
      <c r="U490" s="1">
        <v>9556556</v>
      </c>
      <c r="V490" t="s">
        <v>223</v>
      </c>
      <c r="W490" t="s">
        <v>224</v>
      </c>
      <c r="X490" t="s">
        <v>68</v>
      </c>
      <c r="Y490" t="s">
        <v>225</v>
      </c>
      <c r="Z490" t="s">
        <v>226</v>
      </c>
      <c r="AA490" t="s">
        <v>227</v>
      </c>
      <c r="AB490" t="s">
        <v>118</v>
      </c>
      <c r="AC490" t="s">
        <v>73</v>
      </c>
      <c r="AD490" t="s">
        <v>228</v>
      </c>
      <c r="AE490" t="s">
        <v>75</v>
      </c>
      <c r="AF490" t="s">
        <v>76</v>
      </c>
      <c r="AG490" t="s">
        <v>77</v>
      </c>
      <c r="AH490" t="s">
        <v>106</v>
      </c>
      <c r="AI490" t="s">
        <v>107</v>
      </c>
      <c r="AJ490" t="s">
        <v>80</v>
      </c>
      <c r="AK490" t="s">
        <v>81</v>
      </c>
      <c r="AL490" t="s">
        <v>82</v>
      </c>
      <c r="AM490" t="s">
        <v>83</v>
      </c>
      <c r="AN490">
        <v>2017</v>
      </c>
      <c r="AO490">
        <v>218578</v>
      </c>
      <c r="AP490">
        <v>4968924</v>
      </c>
      <c r="AQ490">
        <v>52</v>
      </c>
      <c r="AR490" t="s">
        <v>84</v>
      </c>
      <c r="AS490">
        <v>562</v>
      </c>
      <c r="AT490" t="s">
        <v>85</v>
      </c>
      <c r="AU490" t="s">
        <v>86</v>
      </c>
      <c r="AV490">
        <v>562</v>
      </c>
      <c r="AW490" t="s">
        <v>229</v>
      </c>
      <c r="AX490" t="s">
        <v>88</v>
      </c>
      <c r="AZ490" t="s">
        <v>109</v>
      </c>
      <c r="BA490">
        <v>1</v>
      </c>
      <c r="BB490">
        <v>28</v>
      </c>
    </row>
    <row r="491" spans="1:54" x14ac:dyDescent="0.2">
      <c r="A491" t="s">
        <v>110</v>
      </c>
      <c r="B491" t="s">
        <v>110</v>
      </c>
      <c r="C491" t="s">
        <v>111</v>
      </c>
      <c r="D491" t="s">
        <v>112</v>
      </c>
      <c r="E491" t="s">
        <v>112</v>
      </c>
      <c r="G491" t="s">
        <v>56</v>
      </c>
      <c r="H491" t="s">
        <v>93</v>
      </c>
      <c r="I491" t="s">
        <v>60</v>
      </c>
      <c r="J491" t="s">
        <v>60</v>
      </c>
      <c r="K491" t="s">
        <v>60</v>
      </c>
      <c r="L491" t="s">
        <v>60</v>
      </c>
      <c r="M491" s="1" t="s">
        <v>95</v>
      </c>
      <c r="N491" t="s">
        <v>96</v>
      </c>
      <c r="O491" s="1" t="s">
        <v>97</v>
      </c>
      <c r="P491" s="1" t="s">
        <v>64</v>
      </c>
      <c r="Q491" s="11" t="s">
        <v>7331</v>
      </c>
      <c r="R491" s="1">
        <v>4496</v>
      </c>
      <c r="S491" s="1">
        <v>33427</v>
      </c>
      <c r="T491" s="1" t="e">
        <v>#N/A</v>
      </c>
      <c r="U491" s="1" t="e">
        <v>#N/A</v>
      </c>
      <c r="V491" t="s">
        <v>113</v>
      </c>
      <c r="W491" t="s">
        <v>114</v>
      </c>
      <c r="X491" t="s">
        <v>68</v>
      </c>
      <c r="Y491" t="s">
        <v>115</v>
      </c>
      <c r="Z491" t="s">
        <v>116</v>
      </c>
      <c r="AA491" t="s">
        <v>117</v>
      </c>
      <c r="AB491" t="s">
        <v>118</v>
      </c>
      <c r="AC491" t="s">
        <v>73</v>
      </c>
      <c r="AD491" t="s">
        <v>119</v>
      </c>
      <c r="AE491" t="s">
        <v>75</v>
      </c>
      <c r="AF491" t="s">
        <v>76</v>
      </c>
      <c r="AG491" t="s">
        <v>77</v>
      </c>
      <c r="AH491" t="s">
        <v>106</v>
      </c>
      <c r="AI491" t="s">
        <v>107</v>
      </c>
      <c r="AJ491" t="s">
        <v>80</v>
      </c>
      <c r="AK491" t="s">
        <v>81</v>
      </c>
      <c r="AL491" t="s">
        <v>82</v>
      </c>
      <c r="AM491" t="s">
        <v>83</v>
      </c>
      <c r="AN491">
        <v>2017</v>
      </c>
      <c r="AO491">
        <v>151090</v>
      </c>
      <c r="AP491">
        <v>4877617</v>
      </c>
      <c r="AQ491">
        <v>100</v>
      </c>
      <c r="AR491" t="s">
        <v>84</v>
      </c>
      <c r="AS491">
        <v>562</v>
      </c>
      <c r="AT491" t="s">
        <v>85</v>
      </c>
      <c r="AU491" t="s">
        <v>86</v>
      </c>
      <c r="AV491">
        <v>562</v>
      </c>
      <c r="AW491" t="s">
        <v>120</v>
      </c>
      <c r="AX491" t="s">
        <v>88</v>
      </c>
      <c r="AZ491" t="s">
        <v>109</v>
      </c>
      <c r="BA491">
        <v>0</v>
      </c>
      <c r="BB491">
        <v>27</v>
      </c>
    </row>
    <row r="492" spans="1:54" x14ac:dyDescent="0.2">
      <c r="A492" t="s">
        <v>1418</v>
      </c>
      <c r="B492" t="s">
        <v>1419</v>
      </c>
      <c r="C492" s="10" t="s">
        <v>1420</v>
      </c>
      <c r="D492" t="s">
        <v>1421</v>
      </c>
      <c r="E492" t="s">
        <v>1421</v>
      </c>
      <c r="G492" t="s">
        <v>56</v>
      </c>
      <c r="H492" t="s">
        <v>58</v>
      </c>
      <c r="I492" s="4" t="s">
        <v>1341</v>
      </c>
      <c r="J492" s="4" t="s">
        <v>1341</v>
      </c>
      <c r="K492" t="s">
        <v>7165</v>
      </c>
      <c r="L492" t="s">
        <v>7165</v>
      </c>
      <c r="M492" s="1" t="s">
        <v>603</v>
      </c>
      <c r="N492" t="e">
        <v>#N/A</v>
      </c>
      <c r="O492" s="1" t="e">
        <v>#N/A</v>
      </c>
      <c r="P492" s="1" t="e">
        <v>#N/A</v>
      </c>
      <c r="Q492" s="11" t="s">
        <v>7194</v>
      </c>
      <c r="R492" s="1" t="e">
        <v>#N/A</v>
      </c>
      <c r="S492" s="1" t="e">
        <v>#N/A</v>
      </c>
      <c r="T492" s="1" t="e">
        <v>#N/A</v>
      </c>
      <c r="U492" s="1" t="e">
        <v>#N/A</v>
      </c>
      <c r="V492" t="s">
        <v>1422</v>
      </c>
      <c r="W492" t="s">
        <v>1421</v>
      </c>
      <c r="X492" t="s">
        <v>68</v>
      </c>
      <c r="Y492" t="s">
        <v>1423</v>
      </c>
      <c r="Z492" t="s">
        <v>1424</v>
      </c>
      <c r="AA492" t="s">
        <v>1425</v>
      </c>
      <c r="AB492" t="s">
        <v>1404</v>
      </c>
      <c r="AC492" t="s">
        <v>73</v>
      </c>
      <c r="AD492" t="s">
        <v>1426</v>
      </c>
      <c r="AE492" t="s">
        <v>75</v>
      </c>
      <c r="AF492" t="s">
        <v>76</v>
      </c>
      <c r="AG492" t="s">
        <v>77</v>
      </c>
      <c r="AH492" t="s">
        <v>694</v>
      </c>
      <c r="AI492" t="s">
        <v>615</v>
      </c>
      <c r="AJ492" t="s">
        <v>616</v>
      </c>
      <c r="AK492" t="s">
        <v>81</v>
      </c>
      <c r="AL492" t="s">
        <v>82</v>
      </c>
      <c r="AM492" t="s">
        <v>83</v>
      </c>
      <c r="AN492" s="3">
        <v>40963</v>
      </c>
      <c r="AO492">
        <v>172497</v>
      </c>
      <c r="AP492">
        <v>5366017</v>
      </c>
      <c r="AQ492">
        <v>211</v>
      </c>
      <c r="AR492" t="s">
        <v>84</v>
      </c>
      <c r="AS492">
        <v>562</v>
      </c>
      <c r="AT492" t="s">
        <v>85</v>
      </c>
      <c r="AU492" t="s">
        <v>86</v>
      </c>
      <c r="AV492">
        <v>562</v>
      </c>
      <c r="AW492" t="s">
        <v>1427</v>
      </c>
      <c r="AX492" t="s">
        <v>88</v>
      </c>
      <c r="AZ492" t="s">
        <v>1407</v>
      </c>
      <c r="BA492">
        <v>1</v>
      </c>
      <c r="BB492">
        <v>10</v>
      </c>
    </row>
    <row r="493" spans="1:54" x14ac:dyDescent="0.2">
      <c r="A493" t="s">
        <v>1408</v>
      </c>
      <c r="B493" t="s">
        <v>1409</v>
      </c>
      <c r="C493" t="s">
        <v>1410</v>
      </c>
      <c r="D493" t="s">
        <v>1411</v>
      </c>
      <c r="E493" t="s">
        <v>1411</v>
      </c>
      <c r="G493" t="s">
        <v>56</v>
      </c>
      <c r="H493" t="s">
        <v>58</v>
      </c>
      <c r="I493" s="4" t="s">
        <v>1341</v>
      </c>
      <c r="J493" s="4" t="s">
        <v>1341</v>
      </c>
      <c r="K493" t="s">
        <v>7165</v>
      </c>
      <c r="L493" t="s">
        <v>7165</v>
      </c>
      <c r="M493" s="1" t="s">
        <v>603</v>
      </c>
      <c r="N493" t="e">
        <v>#N/A</v>
      </c>
      <c r="O493" s="1" t="e">
        <v>#N/A</v>
      </c>
      <c r="P493" s="1" t="e">
        <v>#N/A</v>
      </c>
      <c r="Q493" s="11" t="s">
        <v>7211</v>
      </c>
      <c r="R493" s="1" t="e">
        <v>#N/A</v>
      </c>
      <c r="S493" s="1" t="e">
        <v>#N/A</v>
      </c>
      <c r="T493" s="1" t="e">
        <v>#N/A</v>
      </c>
      <c r="U493" s="1" t="e">
        <v>#N/A</v>
      </c>
      <c r="V493" t="s">
        <v>1412</v>
      </c>
      <c r="W493" t="s">
        <v>1411</v>
      </c>
      <c r="X493" t="s">
        <v>68</v>
      </c>
      <c r="Y493" t="s">
        <v>1413</v>
      </c>
      <c r="Z493" t="s">
        <v>1414</v>
      </c>
      <c r="AA493" t="s">
        <v>1415</v>
      </c>
      <c r="AB493" t="s">
        <v>1404</v>
      </c>
      <c r="AC493" t="s">
        <v>73</v>
      </c>
      <c r="AD493" t="s">
        <v>1416</v>
      </c>
      <c r="AE493" t="s">
        <v>75</v>
      </c>
      <c r="AF493" t="s">
        <v>76</v>
      </c>
      <c r="AG493" t="s">
        <v>77</v>
      </c>
      <c r="AH493" t="s">
        <v>1359</v>
      </c>
      <c r="AI493" t="s">
        <v>615</v>
      </c>
      <c r="AJ493" t="s">
        <v>616</v>
      </c>
      <c r="AK493" t="s">
        <v>81</v>
      </c>
      <c r="AL493" t="s">
        <v>82</v>
      </c>
      <c r="AM493" t="s">
        <v>83</v>
      </c>
      <c r="AN493" s="3">
        <v>40963</v>
      </c>
      <c r="AO493">
        <v>144769</v>
      </c>
      <c r="AP493">
        <v>5356741</v>
      </c>
      <c r="AQ493">
        <v>231</v>
      </c>
      <c r="AR493" t="s">
        <v>84</v>
      </c>
      <c r="AS493">
        <v>562</v>
      </c>
      <c r="AT493" t="s">
        <v>85</v>
      </c>
      <c r="AU493" t="s">
        <v>86</v>
      </c>
      <c r="AV493">
        <v>562</v>
      </c>
      <c r="AW493" t="s">
        <v>1417</v>
      </c>
      <c r="AX493" t="s">
        <v>88</v>
      </c>
      <c r="AZ493" t="s">
        <v>1407</v>
      </c>
      <c r="BA493">
        <v>0</v>
      </c>
      <c r="BB493">
        <v>9</v>
      </c>
    </row>
    <row r="494" spans="1:54" x14ac:dyDescent="0.2">
      <c r="A494" t="s">
        <v>1396</v>
      </c>
      <c r="B494" t="s">
        <v>1397</v>
      </c>
      <c r="C494" t="s">
        <v>1398</v>
      </c>
      <c r="D494" t="s">
        <v>1399</v>
      </c>
      <c r="E494" t="s">
        <v>1399</v>
      </c>
      <c r="G494" t="s">
        <v>56</v>
      </c>
      <c r="H494" t="s">
        <v>58</v>
      </c>
      <c r="I494" s="4" t="s">
        <v>1341</v>
      </c>
      <c r="J494" s="4" t="s">
        <v>1341</v>
      </c>
      <c r="K494" t="s">
        <v>7165</v>
      </c>
      <c r="L494" t="s">
        <v>7165</v>
      </c>
      <c r="M494" s="1" t="s">
        <v>603</v>
      </c>
      <c r="N494" t="e">
        <v>#N/A</v>
      </c>
      <c r="O494" s="1" t="e">
        <v>#N/A</v>
      </c>
      <c r="P494" s="1" t="e">
        <v>#N/A</v>
      </c>
      <c r="Q494" s="11" t="s">
        <v>7211</v>
      </c>
      <c r="R494" s="1" t="e">
        <v>#N/A</v>
      </c>
      <c r="S494" s="1" t="e">
        <v>#N/A</v>
      </c>
      <c r="T494" s="1" t="e">
        <v>#N/A</v>
      </c>
      <c r="U494" s="1" t="e">
        <v>#N/A</v>
      </c>
      <c r="V494" t="s">
        <v>1400</v>
      </c>
      <c r="W494" t="s">
        <v>1399</v>
      </c>
      <c r="X494" t="s">
        <v>68</v>
      </c>
      <c r="Y494" t="s">
        <v>1401</v>
      </c>
      <c r="Z494" t="s">
        <v>1402</v>
      </c>
      <c r="AA494" t="s">
        <v>1403</v>
      </c>
      <c r="AB494" t="s">
        <v>1404</v>
      </c>
      <c r="AC494" t="s">
        <v>73</v>
      </c>
      <c r="AD494" t="s">
        <v>1405</v>
      </c>
      <c r="AE494" t="s">
        <v>75</v>
      </c>
      <c r="AF494" t="s">
        <v>76</v>
      </c>
      <c r="AG494" t="s">
        <v>77</v>
      </c>
      <c r="AH494" t="s">
        <v>694</v>
      </c>
      <c r="AI494" t="s">
        <v>615</v>
      </c>
      <c r="AJ494" t="s">
        <v>616</v>
      </c>
      <c r="AK494" t="s">
        <v>81</v>
      </c>
      <c r="AL494" t="s">
        <v>82</v>
      </c>
      <c r="AM494" t="s">
        <v>83</v>
      </c>
      <c r="AN494" s="3">
        <v>40963</v>
      </c>
      <c r="AO494">
        <v>142464</v>
      </c>
      <c r="AP494">
        <v>5361929</v>
      </c>
      <c r="AQ494">
        <v>202</v>
      </c>
      <c r="AR494" t="s">
        <v>84</v>
      </c>
      <c r="AS494">
        <v>562</v>
      </c>
      <c r="AT494" t="s">
        <v>85</v>
      </c>
      <c r="AU494" t="s">
        <v>86</v>
      </c>
      <c r="AV494">
        <v>562</v>
      </c>
      <c r="AW494" t="s">
        <v>1406</v>
      </c>
      <c r="AX494" t="s">
        <v>88</v>
      </c>
      <c r="AZ494" t="s">
        <v>1407</v>
      </c>
      <c r="BA494">
        <v>1</v>
      </c>
      <c r="BB494">
        <v>10</v>
      </c>
    </row>
    <row r="495" spans="1:54" x14ac:dyDescent="0.2">
      <c r="A495" t="s">
        <v>1383</v>
      </c>
      <c r="B495" t="s">
        <v>1384</v>
      </c>
      <c r="C495" t="s">
        <v>1385</v>
      </c>
      <c r="D495" t="s">
        <v>1386</v>
      </c>
      <c r="E495" t="s">
        <v>1386</v>
      </c>
      <c r="G495" t="s">
        <v>56</v>
      </c>
      <c r="H495" t="s">
        <v>58</v>
      </c>
      <c r="I495" t="s">
        <v>1387</v>
      </c>
      <c r="J495" t="s">
        <v>1387</v>
      </c>
      <c r="K495" t="s">
        <v>7165</v>
      </c>
      <c r="L495" t="s">
        <v>7165</v>
      </c>
      <c r="M495" s="1" t="s">
        <v>603</v>
      </c>
      <c r="N495" t="s">
        <v>649</v>
      </c>
      <c r="O495" s="1" t="s">
        <v>605</v>
      </c>
      <c r="P495" s="1" t="s">
        <v>127</v>
      </c>
      <c r="Q495" s="11" t="s">
        <v>7194</v>
      </c>
      <c r="R495" s="1">
        <v>11</v>
      </c>
      <c r="S495" s="1">
        <v>2124</v>
      </c>
      <c r="T495" s="1" t="s">
        <v>169</v>
      </c>
      <c r="U495" s="1" t="s">
        <v>170</v>
      </c>
      <c r="V495" t="s">
        <v>1388</v>
      </c>
      <c r="W495" t="s">
        <v>1389</v>
      </c>
      <c r="X495" t="s">
        <v>68</v>
      </c>
      <c r="Y495" t="s">
        <v>1390</v>
      </c>
      <c r="Z495" t="s">
        <v>1391</v>
      </c>
      <c r="AA495" t="s">
        <v>1392</v>
      </c>
      <c r="AB495" t="s">
        <v>1393</v>
      </c>
      <c r="AC495" t="s">
        <v>73</v>
      </c>
      <c r="AD495" t="s">
        <v>1394</v>
      </c>
      <c r="AE495" t="s">
        <v>75</v>
      </c>
      <c r="AF495" t="s">
        <v>76</v>
      </c>
      <c r="AG495" t="s">
        <v>77</v>
      </c>
      <c r="AH495" t="s">
        <v>669</v>
      </c>
      <c r="AI495" t="s">
        <v>615</v>
      </c>
      <c r="AJ495" t="s">
        <v>616</v>
      </c>
      <c r="AK495" t="s">
        <v>81</v>
      </c>
      <c r="AL495" t="s">
        <v>82</v>
      </c>
      <c r="AM495" t="s">
        <v>83</v>
      </c>
      <c r="AN495" s="3">
        <v>40963</v>
      </c>
      <c r="AO495">
        <v>124148</v>
      </c>
      <c r="AP495">
        <v>5328224</v>
      </c>
      <c r="AQ495">
        <v>207</v>
      </c>
      <c r="AR495" t="s">
        <v>84</v>
      </c>
      <c r="AS495">
        <v>562</v>
      </c>
      <c r="AT495" t="s">
        <v>85</v>
      </c>
      <c r="AU495" t="s">
        <v>86</v>
      </c>
      <c r="AV495">
        <v>562</v>
      </c>
      <c r="AW495" t="s">
        <v>1395</v>
      </c>
      <c r="AX495" t="s">
        <v>88</v>
      </c>
      <c r="AZ495" t="s">
        <v>918</v>
      </c>
      <c r="BA495">
        <v>1</v>
      </c>
      <c r="BB495">
        <v>17</v>
      </c>
    </row>
    <row r="496" spans="1:54" x14ac:dyDescent="0.2">
      <c r="A496" t="s">
        <v>1428</v>
      </c>
      <c r="B496" t="s">
        <v>1429</v>
      </c>
      <c r="C496" t="s">
        <v>1430</v>
      </c>
      <c r="D496" t="s">
        <v>1431</v>
      </c>
      <c r="E496" t="s">
        <v>1431</v>
      </c>
      <c r="G496" t="s">
        <v>56</v>
      </c>
      <c r="H496" t="s">
        <v>58</v>
      </c>
      <c r="I496" t="s">
        <v>1327</v>
      </c>
      <c r="J496" t="s">
        <v>1327</v>
      </c>
      <c r="K496" t="s">
        <v>7165</v>
      </c>
      <c r="L496" t="s">
        <v>7165</v>
      </c>
      <c r="M496" s="1" t="s">
        <v>603</v>
      </c>
      <c r="N496" t="s">
        <v>649</v>
      </c>
      <c r="O496" s="1" t="s">
        <v>605</v>
      </c>
      <c r="P496" s="1" t="s">
        <v>127</v>
      </c>
      <c r="Q496" s="11" t="s">
        <v>7194</v>
      </c>
      <c r="R496" s="1">
        <v>11</v>
      </c>
      <c r="S496" s="1">
        <v>2124</v>
      </c>
      <c r="T496" s="1" t="s">
        <v>169</v>
      </c>
      <c r="U496" s="1" t="s">
        <v>170</v>
      </c>
      <c r="V496" t="s">
        <v>1432</v>
      </c>
      <c r="W496" t="s">
        <v>1433</v>
      </c>
      <c r="X496" t="s">
        <v>68</v>
      </c>
      <c r="Y496" t="s">
        <v>1434</v>
      </c>
      <c r="Z496" t="s">
        <v>1435</v>
      </c>
      <c r="AA496" t="s">
        <v>1436</v>
      </c>
      <c r="AB496" t="s">
        <v>1437</v>
      </c>
      <c r="AC496" t="s">
        <v>73</v>
      </c>
      <c r="AD496" t="s">
        <v>1438</v>
      </c>
      <c r="AE496" t="s">
        <v>75</v>
      </c>
      <c r="AF496" t="s">
        <v>76</v>
      </c>
      <c r="AG496" t="s">
        <v>77</v>
      </c>
      <c r="AH496" t="s">
        <v>669</v>
      </c>
      <c r="AI496" t="s">
        <v>615</v>
      </c>
      <c r="AJ496" t="s">
        <v>616</v>
      </c>
      <c r="AK496" t="s">
        <v>81</v>
      </c>
      <c r="AL496" t="s">
        <v>82</v>
      </c>
      <c r="AM496" t="s">
        <v>83</v>
      </c>
      <c r="AN496" s="3">
        <v>40964</v>
      </c>
      <c r="AO496">
        <v>124148</v>
      </c>
      <c r="AP496">
        <v>5388521</v>
      </c>
      <c r="AQ496">
        <v>237</v>
      </c>
      <c r="AR496" t="s">
        <v>84</v>
      </c>
      <c r="AS496">
        <v>562</v>
      </c>
      <c r="AT496" t="s">
        <v>85</v>
      </c>
      <c r="AU496" t="s">
        <v>86</v>
      </c>
      <c r="AV496">
        <v>562</v>
      </c>
      <c r="AW496" t="s">
        <v>1439</v>
      </c>
      <c r="AX496" t="s">
        <v>88</v>
      </c>
      <c r="AZ496" t="s">
        <v>918</v>
      </c>
      <c r="BA496">
        <v>1</v>
      </c>
      <c r="BB496">
        <v>2</v>
      </c>
    </row>
    <row r="497" spans="1:54" x14ac:dyDescent="0.2">
      <c r="A497" t="s">
        <v>1787</v>
      </c>
      <c r="B497" t="s">
        <v>1788</v>
      </c>
      <c r="C497" t="s">
        <v>1789</v>
      </c>
      <c r="D497" t="s">
        <v>1790</v>
      </c>
      <c r="E497" t="s">
        <v>1790</v>
      </c>
      <c r="G497" t="s">
        <v>56</v>
      </c>
      <c r="H497" t="s">
        <v>58</v>
      </c>
      <c r="I497" s="4" t="s">
        <v>1341</v>
      </c>
      <c r="J497" s="4" t="s">
        <v>1341</v>
      </c>
      <c r="K497" t="s">
        <v>7165</v>
      </c>
      <c r="L497" t="s">
        <v>7165</v>
      </c>
      <c r="M497" s="1" t="s">
        <v>603</v>
      </c>
      <c r="N497" t="e">
        <v>#N/A</v>
      </c>
      <c r="O497" s="1" t="e">
        <v>#N/A</v>
      </c>
      <c r="P497" s="1" t="e">
        <v>#N/A</v>
      </c>
      <c r="Q497" s="11" t="s">
        <v>7211</v>
      </c>
      <c r="R497" s="1" t="e">
        <v>#N/A</v>
      </c>
      <c r="S497" s="1" t="e">
        <v>#N/A</v>
      </c>
      <c r="T497" s="1" t="e">
        <v>#N/A</v>
      </c>
      <c r="U497" s="1" t="e">
        <v>#N/A</v>
      </c>
      <c r="V497" t="s">
        <v>1791</v>
      </c>
      <c r="W497" t="s">
        <v>1790</v>
      </c>
      <c r="X497" t="s">
        <v>68</v>
      </c>
      <c r="Y497" t="s">
        <v>1792</v>
      </c>
      <c r="Z497" t="s">
        <v>1793</v>
      </c>
      <c r="AA497" t="s">
        <v>1794</v>
      </c>
      <c r="AB497" t="s">
        <v>1437</v>
      </c>
      <c r="AC497" t="s">
        <v>73</v>
      </c>
      <c r="AD497" t="s">
        <v>1795</v>
      </c>
      <c r="AE497" t="s">
        <v>75</v>
      </c>
      <c r="AF497" t="s">
        <v>76</v>
      </c>
      <c r="AG497" t="s">
        <v>77</v>
      </c>
      <c r="AH497" t="s">
        <v>1335</v>
      </c>
      <c r="AI497" t="s">
        <v>615</v>
      </c>
      <c r="AJ497" t="s">
        <v>616</v>
      </c>
      <c r="AK497" t="s">
        <v>81</v>
      </c>
      <c r="AL497" t="s">
        <v>82</v>
      </c>
      <c r="AM497" t="s">
        <v>83</v>
      </c>
      <c r="AN497" s="3">
        <v>40981</v>
      </c>
      <c r="AO497">
        <v>145339</v>
      </c>
      <c r="AP497">
        <v>5329642</v>
      </c>
      <c r="AQ497">
        <v>211</v>
      </c>
      <c r="AR497" t="s">
        <v>84</v>
      </c>
      <c r="AS497">
        <v>562</v>
      </c>
      <c r="AT497" t="s">
        <v>85</v>
      </c>
      <c r="AU497" t="s">
        <v>86</v>
      </c>
      <c r="AV497">
        <v>562</v>
      </c>
      <c r="AW497" t="s">
        <v>1796</v>
      </c>
      <c r="AX497" t="s">
        <v>88</v>
      </c>
      <c r="AZ497" t="s">
        <v>918</v>
      </c>
      <c r="BA497">
        <v>0</v>
      </c>
      <c r="BB497">
        <v>16</v>
      </c>
    </row>
    <row r="498" spans="1:54" x14ac:dyDescent="0.2">
      <c r="A498" t="s">
        <v>1561</v>
      </c>
      <c r="B498" t="s">
        <v>1562</v>
      </c>
      <c r="C498" t="s">
        <v>1563</v>
      </c>
      <c r="D498" t="s">
        <v>1564</v>
      </c>
      <c r="E498" t="s">
        <v>1564</v>
      </c>
      <c r="G498" t="s">
        <v>56</v>
      </c>
      <c r="H498" t="s">
        <v>58</v>
      </c>
      <c r="I498" t="s">
        <v>1039</v>
      </c>
      <c r="J498" t="s">
        <v>1039</v>
      </c>
      <c r="K498" t="s">
        <v>7165</v>
      </c>
      <c r="L498" t="s">
        <v>7165</v>
      </c>
      <c r="M498" s="1" t="s">
        <v>603</v>
      </c>
      <c r="N498" t="s">
        <v>649</v>
      </c>
      <c r="O498" s="1" t="s">
        <v>605</v>
      </c>
      <c r="P498" s="1" t="s">
        <v>127</v>
      </c>
      <c r="Q498" s="11" t="s">
        <v>7211</v>
      </c>
      <c r="R498" s="1">
        <v>11</v>
      </c>
      <c r="S498" s="1">
        <v>30512</v>
      </c>
      <c r="T498" s="1" t="s">
        <v>169</v>
      </c>
      <c r="U498" s="1" t="s">
        <v>170</v>
      </c>
      <c r="V498" t="s">
        <v>1565</v>
      </c>
      <c r="W498" t="s">
        <v>1566</v>
      </c>
      <c r="X498" t="s">
        <v>68</v>
      </c>
      <c r="Y498" t="s">
        <v>1567</v>
      </c>
      <c r="Z498" t="s">
        <v>1568</v>
      </c>
      <c r="AA498" t="s">
        <v>1569</v>
      </c>
      <c r="AB498" t="s">
        <v>1437</v>
      </c>
      <c r="AC498" t="s">
        <v>73</v>
      </c>
      <c r="AD498" t="s">
        <v>1570</v>
      </c>
      <c r="AE498" t="s">
        <v>75</v>
      </c>
      <c r="AF498" t="s">
        <v>76</v>
      </c>
      <c r="AG498" t="s">
        <v>77</v>
      </c>
      <c r="AH498" t="s">
        <v>669</v>
      </c>
      <c r="AI498" t="s">
        <v>615</v>
      </c>
      <c r="AJ498" t="s">
        <v>616</v>
      </c>
      <c r="AK498" t="s">
        <v>81</v>
      </c>
      <c r="AL498" t="s">
        <v>82</v>
      </c>
      <c r="AM498" t="s">
        <v>83</v>
      </c>
      <c r="AN498" s="3">
        <v>41154</v>
      </c>
      <c r="AO498">
        <v>150182</v>
      </c>
      <c r="AP498">
        <v>5326034</v>
      </c>
      <c r="AQ498">
        <v>194</v>
      </c>
      <c r="AR498" t="s">
        <v>84</v>
      </c>
      <c r="AS498">
        <v>562</v>
      </c>
      <c r="AT498" t="s">
        <v>85</v>
      </c>
      <c r="AU498" t="s">
        <v>86</v>
      </c>
      <c r="AV498">
        <v>562</v>
      </c>
      <c r="AW498" t="s">
        <v>1571</v>
      </c>
      <c r="AX498" t="s">
        <v>88</v>
      </c>
      <c r="AZ498" t="s">
        <v>1572</v>
      </c>
      <c r="BA498">
        <v>0</v>
      </c>
      <c r="BB498">
        <v>0</v>
      </c>
    </row>
    <row r="499" spans="1:54" x14ac:dyDescent="0.2">
      <c r="A499" t="s">
        <v>1937</v>
      </c>
      <c r="B499" t="s">
        <v>1938</v>
      </c>
      <c r="C499" t="s">
        <v>1939</v>
      </c>
      <c r="D499" t="s">
        <v>1940</v>
      </c>
      <c r="E499" t="s">
        <v>1940</v>
      </c>
      <c r="G499" t="s">
        <v>56</v>
      </c>
      <c r="H499" t="s">
        <v>58</v>
      </c>
      <c r="I499" t="s">
        <v>1941</v>
      </c>
      <c r="J499" t="s">
        <v>1941</v>
      </c>
      <c r="K499" t="s">
        <v>7167</v>
      </c>
      <c r="L499" t="s">
        <v>7167</v>
      </c>
      <c r="M499" s="1" t="s">
        <v>603</v>
      </c>
      <c r="N499" t="s">
        <v>649</v>
      </c>
      <c r="O499" s="1" t="s">
        <v>605</v>
      </c>
      <c r="P499" s="1" t="s">
        <v>127</v>
      </c>
      <c r="Q499" s="11" t="s">
        <v>7211</v>
      </c>
      <c r="R499" s="1">
        <v>11</v>
      </c>
      <c r="S499" s="1">
        <v>2124</v>
      </c>
      <c r="T499" s="1" t="s">
        <v>169</v>
      </c>
      <c r="U499" s="1" t="s">
        <v>170</v>
      </c>
      <c r="V499" t="s">
        <v>1942</v>
      </c>
      <c r="W499" t="s">
        <v>1943</v>
      </c>
      <c r="X499" t="s">
        <v>68</v>
      </c>
      <c r="Y499" t="s">
        <v>1944</v>
      </c>
      <c r="Z499" t="s">
        <v>1945</v>
      </c>
      <c r="AA499" t="s">
        <v>1946</v>
      </c>
      <c r="AB499" t="s">
        <v>1380</v>
      </c>
      <c r="AC499" t="s">
        <v>73</v>
      </c>
      <c r="AD499" t="s">
        <v>1947</v>
      </c>
      <c r="AE499" t="s">
        <v>75</v>
      </c>
      <c r="AF499" t="s">
        <v>76</v>
      </c>
      <c r="AG499" t="s">
        <v>77</v>
      </c>
      <c r="AH499" t="s">
        <v>630</v>
      </c>
      <c r="AI499" t="s">
        <v>615</v>
      </c>
      <c r="AJ499" t="s">
        <v>616</v>
      </c>
      <c r="AK499" t="s">
        <v>81</v>
      </c>
      <c r="AL499" t="s">
        <v>82</v>
      </c>
      <c r="AM499" t="s">
        <v>83</v>
      </c>
      <c r="AN499" s="3">
        <v>41538</v>
      </c>
      <c r="AO499">
        <v>146706</v>
      </c>
      <c r="AP499">
        <v>5390274</v>
      </c>
      <c r="AQ499">
        <v>157</v>
      </c>
      <c r="AR499" t="s">
        <v>84</v>
      </c>
      <c r="AS499">
        <v>562</v>
      </c>
      <c r="AT499" t="s">
        <v>85</v>
      </c>
      <c r="AU499" t="s">
        <v>86</v>
      </c>
      <c r="AV499">
        <v>562</v>
      </c>
      <c r="AW499" t="s">
        <v>1948</v>
      </c>
      <c r="AX499" t="s">
        <v>88</v>
      </c>
      <c r="AZ499" t="s">
        <v>659</v>
      </c>
      <c r="BA499">
        <v>0</v>
      </c>
      <c r="BB499">
        <v>0</v>
      </c>
    </row>
    <row r="500" spans="1:54" x14ac:dyDescent="0.2">
      <c r="A500" t="s">
        <v>1650</v>
      </c>
      <c r="B500" t="s">
        <v>1651</v>
      </c>
      <c r="C500" t="s">
        <v>1652</v>
      </c>
      <c r="D500" t="s">
        <v>1653</v>
      </c>
      <c r="E500" t="s">
        <v>1653</v>
      </c>
      <c r="G500" t="s">
        <v>56</v>
      </c>
      <c r="H500" t="s">
        <v>58</v>
      </c>
      <c r="I500" t="s">
        <v>1654</v>
      </c>
      <c r="J500" t="s">
        <v>1654</v>
      </c>
      <c r="K500" t="s">
        <v>7165</v>
      </c>
      <c r="L500" t="s">
        <v>7165</v>
      </c>
      <c r="M500" s="1" t="s">
        <v>603</v>
      </c>
      <c r="N500" t="s">
        <v>649</v>
      </c>
      <c r="O500" s="1" t="s">
        <v>605</v>
      </c>
      <c r="P500" s="1" t="s">
        <v>127</v>
      </c>
      <c r="Q500" s="11" t="s">
        <v>7211</v>
      </c>
      <c r="R500" s="1">
        <v>11</v>
      </c>
      <c r="S500" s="1">
        <v>2124</v>
      </c>
      <c r="T500" s="1" t="s">
        <v>169</v>
      </c>
      <c r="U500" s="1" t="s">
        <v>170</v>
      </c>
      <c r="V500" t="s">
        <v>1655</v>
      </c>
      <c r="W500" t="s">
        <v>1656</v>
      </c>
      <c r="X500" t="s">
        <v>68</v>
      </c>
      <c r="Y500" t="s">
        <v>1657</v>
      </c>
      <c r="Z500" t="s">
        <v>1658</v>
      </c>
      <c r="AA500" t="s">
        <v>1659</v>
      </c>
      <c r="AB500" t="s">
        <v>1380</v>
      </c>
      <c r="AC500" t="s">
        <v>73</v>
      </c>
      <c r="AD500" t="s">
        <v>1660</v>
      </c>
      <c r="AE500" t="s">
        <v>75</v>
      </c>
      <c r="AF500" t="s">
        <v>76</v>
      </c>
      <c r="AG500" t="s">
        <v>77</v>
      </c>
      <c r="AH500" t="s">
        <v>669</v>
      </c>
      <c r="AI500" t="s">
        <v>615</v>
      </c>
      <c r="AJ500" t="s">
        <v>616</v>
      </c>
      <c r="AK500" t="s">
        <v>81</v>
      </c>
      <c r="AL500" t="s">
        <v>82</v>
      </c>
      <c r="AM500" t="s">
        <v>83</v>
      </c>
      <c r="AN500" s="3">
        <v>41255</v>
      </c>
      <c r="AO500">
        <v>141466</v>
      </c>
      <c r="AP500">
        <v>5368919</v>
      </c>
      <c r="AQ500">
        <v>275</v>
      </c>
      <c r="AR500" t="s">
        <v>84</v>
      </c>
      <c r="AS500">
        <v>562</v>
      </c>
      <c r="AT500" t="s">
        <v>85</v>
      </c>
      <c r="AU500" t="s">
        <v>86</v>
      </c>
      <c r="AV500">
        <v>562</v>
      </c>
      <c r="AW500" t="s">
        <v>1661</v>
      </c>
      <c r="AX500" t="s">
        <v>88</v>
      </c>
      <c r="AZ500" t="s">
        <v>918</v>
      </c>
      <c r="BA500">
        <v>0</v>
      </c>
      <c r="BB500">
        <v>0</v>
      </c>
    </row>
    <row r="501" spans="1:54" x14ac:dyDescent="0.2">
      <c r="A501" t="s">
        <v>1983</v>
      </c>
      <c r="B501" t="s">
        <v>1984</v>
      </c>
      <c r="C501" t="s">
        <v>1985</v>
      </c>
      <c r="D501" t="s">
        <v>1986</v>
      </c>
      <c r="E501" t="s">
        <v>1986</v>
      </c>
      <c r="G501" t="s">
        <v>56</v>
      </c>
      <c r="H501" t="s">
        <v>58</v>
      </c>
      <c r="I501" t="s">
        <v>1987</v>
      </c>
      <c r="J501" t="s">
        <v>1987</v>
      </c>
      <c r="K501" t="s">
        <v>7167</v>
      </c>
      <c r="L501" t="s">
        <v>7167</v>
      </c>
      <c r="M501" s="1" t="s">
        <v>603</v>
      </c>
      <c r="N501" t="s">
        <v>649</v>
      </c>
      <c r="O501" s="1" t="s">
        <v>605</v>
      </c>
      <c r="P501" s="1" t="s">
        <v>127</v>
      </c>
      <c r="Q501" s="11" t="s">
        <v>7194</v>
      </c>
      <c r="R501" s="1">
        <v>11</v>
      </c>
      <c r="S501" s="1">
        <v>2124</v>
      </c>
      <c r="T501" s="1" t="s">
        <v>169</v>
      </c>
      <c r="U501" s="1" t="s">
        <v>170</v>
      </c>
      <c r="V501" t="s">
        <v>1988</v>
      </c>
      <c r="W501" t="s">
        <v>1989</v>
      </c>
      <c r="X501" t="s">
        <v>68</v>
      </c>
      <c r="Y501" t="s">
        <v>1990</v>
      </c>
      <c r="Z501" t="s">
        <v>1991</v>
      </c>
      <c r="AA501" t="s">
        <v>1992</v>
      </c>
      <c r="AB501" t="s">
        <v>1380</v>
      </c>
      <c r="AC501" t="s">
        <v>73</v>
      </c>
      <c r="AD501" t="s">
        <v>1993</v>
      </c>
      <c r="AE501" t="s">
        <v>75</v>
      </c>
      <c r="AF501" t="s">
        <v>76</v>
      </c>
      <c r="AG501" t="s">
        <v>77</v>
      </c>
      <c r="AH501" t="s">
        <v>669</v>
      </c>
      <c r="AI501" t="s">
        <v>615</v>
      </c>
      <c r="AJ501" t="s">
        <v>616</v>
      </c>
      <c r="AK501" t="s">
        <v>81</v>
      </c>
      <c r="AL501" t="s">
        <v>82</v>
      </c>
      <c r="AM501" t="s">
        <v>83</v>
      </c>
      <c r="AN501" s="3">
        <v>41543</v>
      </c>
      <c r="AO501">
        <v>159779</v>
      </c>
      <c r="AP501">
        <v>5406852</v>
      </c>
      <c r="AQ501">
        <v>163</v>
      </c>
      <c r="AR501" t="s">
        <v>84</v>
      </c>
      <c r="AS501">
        <v>562</v>
      </c>
      <c r="AT501" t="s">
        <v>85</v>
      </c>
      <c r="AU501" t="s">
        <v>86</v>
      </c>
      <c r="AV501">
        <v>562</v>
      </c>
      <c r="AW501" t="s">
        <v>1994</v>
      </c>
      <c r="AX501" t="s">
        <v>88</v>
      </c>
      <c r="AZ501" t="s">
        <v>659</v>
      </c>
      <c r="BA501">
        <v>0</v>
      </c>
      <c r="BB501">
        <v>1</v>
      </c>
    </row>
    <row r="502" spans="1:54" x14ac:dyDescent="0.2">
      <c r="A502" t="s">
        <v>1372</v>
      </c>
      <c r="B502" t="s">
        <v>1373</v>
      </c>
      <c r="C502" t="s">
        <v>1374</v>
      </c>
      <c r="D502" t="s">
        <v>1375</v>
      </c>
      <c r="E502" t="s">
        <v>1375</v>
      </c>
      <c r="G502" t="s">
        <v>56</v>
      </c>
      <c r="H502" t="s">
        <v>58</v>
      </c>
      <c r="I502" s="4" t="s">
        <v>1341</v>
      </c>
      <c r="J502" s="4" t="s">
        <v>1341</v>
      </c>
      <c r="K502" t="s">
        <v>7165</v>
      </c>
      <c r="L502" t="s">
        <v>7165</v>
      </c>
      <c r="M502" s="1" t="s">
        <v>603</v>
      </c>
      <c r="N502" t="e">
        <v>#N/A</v>
      </c>
      <c r="O502" s="1" t="e">
        <v>#N/A</v>
      </c>
      <c r="P502" s="1" t="e">
        <v>#N/A</v>
      </c>
      <c r="Q502" s="11" t="s">
        <v>7194</v>
      </c>
      <c r="R502" s="1" t="e">
        <v>#N/A</v>
      </c>
      <c r="S502" s="1" t="e">
        <v>#N/A</v>
      </c>
      <c r="T502" s="1" t="e">
        <v>#N/A</v>
      </c>
      <c r="U502" s="1" t="e">
        <v>#N/A</v>
      </c>
      <c r="V502" t="s">
        <v>1376</v>
      </c>
      <c r="W502" t="s">
        <v>1375</v>
      </c>
      <c r="X502" t="s">
        <v>68</v>
      </c>
      <c r="Y502" t="s">
        <v>1377</v>
      </c>
      <c r="Z502" t="s">
        <v>1378</v>
      </c>
      <c r="AA502" t="s">
        <v>1379</v>
      </c>
      <c r="AB502" t="s">
        <v>1380</v>
      </c>
      <c r="AC502" t="s">
        <v>73</v>
      </c>
      <c r="AD502" t="s">
        <v>1381</v>
      </c>
      <c r="AE502" t="s">
        <v>75</v>
      </c>
      <c r="AF502" t="s">
        <v>76</v>
      </c>
      <c r="AG502" t="s">
        <v>77</v>
      </c>
      <c r="AH502" t="s">
        <v>1335</v>
      </c>
      <c r="AI502" t="s">
        <v>615</v>
      </c>
      <c r="AJ502" t="s">
        <v>616</v>
      </c>
      <c r="AK502" t="s">
        <v>81</v>
      </c>
      <c r="AL502" t="s">
        <v>82</v>
      </c>
      <c r="AM502" t="s">
        <v>83</v>
      </c>
      <c r="AN502" s="3">
        <v>40956</v>
      </c>
      <c r="AO502">
        <v>133003</v>
      </c>
      <c r="AP502">
        <v>5390830</v>
      </c>
      <c r="AQ502">
        <v>231</v>
      </c>
      <c r="AR502" t="s">
        <v>84</v>
      </c>
      <c r="AS502">
        <v>562</v>
      </c>
      <c r="AT502" t="s">
        <v>85</v>
      </c>
      <c r="AU502" t="s">
        <v>86</v>
      </c>
      <c r="AV502">
        <v>562</v>
      </c>
      <c r="AW502" t="s">
        <v>1382</v>
      </c>
      <c r="AX502" t="s">
        <v>88</v>
      </c>
      <c r="AZ502" t="s">
        <v>918</v>
      </c>
      <c r="BA502">
        <v>0</v>
      </c>
      <c r="BB502">
        <v>1</v>
      </c>
    </row>
    <row r="503" spans="1:54" x14ac:dyDescent="0.2">
      <c r="A503" t="s">
        <v>1949</v>
      </c>
      <c r="B503" t="s">
        <v>1950</v>
      </c>
      <c r="C503" t="s">
        <v>1951</v>
      </c>
      <c r="D503" t="s">
        <v>1952</v>
      </c>
      <c r="E503" t="s">
        <v>1952</v>
      </c>
      <c r="G503" t="s">
        <v>56</v>
      </c>
      <c r="H503" t="s">
        <v>58</v>
      </c>
      <c r="I503" t="s">
        <v>1953</v>
      </c>
      <c r="J503" t="s">
        <v>1953</v>
      </c>
      <c r="K503" t="s">
        <v>7167</v>
      </c>
      <c r="L503" t="s">
        <v>7167</v>
      </c>
      <c r="M503" s="1" t="s">
        <v>603</v>
      </c>
      <c r="N503" t="s">
        <v>649</v>
      </c>
      <c r="O503" s="1" t="s">
        <v>605</v>
      </c>
      <c r="P503" s="1" t="s">
        <v>127</v>
      </c>
      <c r="Q503" s="11" t="s">
        <v>7211</v>
      </c>
      <c r="R503" s="1">
        <v>11</v>
      </c>
      <c r="S503" s="1">
        <v>2124</v>
      </c>
      <c r="T503" s="1" t="s">
        <v>169</v>
      </c>
      <c r="U503" s="1" t="s">
        <v>170</v>
      </c>
      <c r="V503" t="s">
        <v>1954</v>
      </c>
      <c r="W503" t="s">
        <v>1955</v>
      </c>
      <c r="X503" t="s">
        <v>68</v>
      </c>
      <c r="Y503" t="s">
        <v>1956</v>
      </c>
      <c r="Z503" t="s">
        <v>1957</v>
      </c>
      <c r="AA503" t="s">
        <v>1958</v>
      </c>
      <c r="AB503" t="s">
        <v>1380</v>
      </c>
      <c r="AC503" t="s">
        <v>73</v>
      </c>
      <c r="AD503" t="s">
        <v>1959</v>
      </c>
      <c r="AE503" t="s">
        <v>75</v>
      </c>
      <c r="AF503" t="s">
        <v>76</v>
      </c>
      <c r="AG503" t="s">
        <v>77</v>
      </c>
      <c r="AH503" t="s">
        <v>630</v>
      </c>
      <c r="AI503" t="s">
        <v>615</v>
      </c>
      <c r="AJ503" t="s">
        <v>616</v>
      </c>
      <c r="AK503" t="s">
        <v>81</v>
      </c>
      <c r="AL503" t="s">
        <v>82</v>
      </c>
      <c r="AM503" t="s">
        <v>83</v>
      </c>
      <c r="AN503" s="3">
        <v>41540</v>
      </c>
      <c r="AO503">
        <v>148117</v>
      </c>
      <c r="AP503">
        <v>5386554</v>
      </c>
      <c r="AQ503">
        <v>163</v>
      </c>
      <c r="AR503" t="s">
        <v>84</v>
      </c>
      <c r="AS503">
        <v>562</v>
      </c>
      <c r="AT503" t="s">
        <v>85</v>
      </c>
      <c r="AU503" t="s">
        <v>86</v>
      </c>
      <c r="AV503">
        <v>562</v>
      </c>
      <c r="AW503" t="s">
        <v>1960</v>
      </c>
      <c r="AX503" t="s">
        <v>88</v>
      </c>
      <c r="AZ503" t="s">
        <v>659</v>
      </c>
      <c r="BA503">
        <v>1</v>
      </c>
      <c r="BB503">
        <v>1</v>
      </c>
    </row>
    <row r="504" spans="1:54" x14ac:dyDescent="0.2">
      <c r="A504" t="s">
        <v>1860</v>
      </c>
      <c r="B504" t="s">
        <v>1861</v>
      </c>
      <c r="C504" t="s">
        <v>1862</v>
      </c>
      <c r="D504" t="s">
        <v>1863</v>
      </c>
      <c r="E504" t="s">
        <v>1863</v>
      </c>
      <c r="G504" t="s">
        <v>56</v>
      </c>
      <c r="H504" t="s">
        <v>58</v>
      </c>
      <c r="I504" t="s">
        <v>1864</v>
      </c>
      <c r="J504" t="s">
        <v>1864</v>
      </c>
      <c r="K504" t="s">
        <v>7165</v>
      </c>
      <c r="L504" t="s">
        <v>7165</v>
      </c>
      <c r="M504" s="1" t="s">
        <v>603</v>
      </c>
      <c r="N504" t="e">
        <v>#N/A</v>
      </c>
      <c r="O504" s="1" t="e">
        <v>#N/A</v>
      </c>
      <c r="P504" s="1" t="e">
        <v>#N/A</v>
      </c>
      <c r="Q504" s="11" t="s">
        <v>7220</v>
      </c>
      <c r="R504" s="1" t="e">
        <v>#N/A</v>
      </c>
      <c r="S504" s="1" t="e">
        <v>#N/A</v>
      </c>
      <c r="T504" s="1" t="e">
        <v>#N/A</v>
      </c>
      <c r="U504" s="1" t="e">
        <v>#N/A</v>
      </c>
      <c r="V504" t="s">
        <v>1865</v>
      </c>
      <c r="W504" t="s">
        <v>1863</v>
      </c>
      <c r="X504" t="s">
        <v>68</v>
      </c>
      <c r="Y504" t="s">
        <v>1866</v>
      </c>
      <c r="Z504" t="s">
        <v>1867</v>
      </c>
      <c r="AA504" t="s">
        <v>1868</v>
      </c>
      <c r="AB504" t="s">
        <v>1380</v>
      </c>
      <c r="AC504" t="s">
        <v>73</v>
      </c>
      <c r="AD504" t="s">
        <v>1869</v>
      </c>
      <c r="AE504" t="s">
        <v>75</v>
      </c>
      <c r="AF504" t="s">
        <v>76</v>
      </c>
      <c r="AG504" t="s">
        <v>77</v>
      </c>
      <c r="AH504" t="s">
        <v>792</v>
      </c>
      <c r="AI504" t="s">
        <v>615</v>
      </c>
      <c r="AJ504" t="s">
        <v>616</v>
      </c>
      <c r="AK504" t="s">
        <v>81</v>
      </c>
      <c r="AL504" t="s">
        <v>82</v>
      </c>
      <c r="AM504" t="s">
        <v>83</v>
      </c>
      <c r="AN504" s="3">
        <v>41324</v>
      </c>
      <c r="AO504">
        <v>148116</v>
      </c>
      <c r="AP504">
        <v>5414470</v>
      </c>
      <c r="AQ504">
        <v>195</v>
      </c>
      <c r="AR504" t="s">
        <v>84</v>
      </c>
      <c r="AS504">
        <v>562</v>
      </c>
      <c r="AT504" t="s">
        <v>85</v>
      </c>
      <c r="AU504" t="s">
        <v>86</v>
      </c>
      <c r="AV504">
        <v>562</v>
      </c>
      <c r="AW504" t="s">
        <v>1870</v>
      </c>
      <c r="AX504" t="s">
        <v>88</v>
      </c>
      <c r="AZ504" t="s">
        <v>841</v>
      </c>
      <c r="BA504">
        <v>0</v>
      </c>
      <c r="BB504">
        <v>0</v>
      </c>
    </row>
    <row r="505" spans="1:54" x14ac:dyDescent="0.2">
      <c r="A505" t="s">
        <v>1995</v>
      </c>
      <c r="B505" t="s">
        <v>1996</v>
      </c>
      <c r="C505" t="s">
        <v>1997</v>
      </c>
      <c r="D505" t="s">
        <v>1998</v>
      </c>
      <c r="E505" t="s">
        <v>1998</v>
      </c>
      <c r="G505" t="s">
        <v>56</v>
      </c>
      <c r="H505" t="s">
        <v>58</v>
      </c>
      <c r="I505" t="s">
        <v>1987</v>
      </c>
      <c r="J505" t="s">
        <v>1987</v>
      </c>
      <c r="K505" t="s">
        <v>7167</v>
      </c>
      <c r="L505" t="s">
        <v>7167</v>
      </c>
      <c r="M505" s="1" t="s">
        <v>603</v>
      </c>
      <c r="N505" t="s">
        <v>649</v>
      </c>
      <c r="O505" s="1" t="s">
        <v>605</v>
      </c>
      <c r="P505" s="1" t="s">
        <v>127</v>
      </c>
      <c r="Q505" s="11" t="s">
        <v>7211</v>
      </c>
      <c r="R505" s="1">
        <v>11</v>
      </c>
      <c r="S505" s="1">
        <v>2124</v>
      </c>
      <c r="T505" s="1" t="s">
        <v>169</v>
      </c>
      <c r="U505" s="1" t="s">
        <v>170</v>
      </c>
      <c r="V505" t="s">
        <v>1999</v>
      </c>
      <c r="W505" t="s">
        <v>2000</v>
      </c>
      <c r="X505" t="s">
        <v>68</v>
      </c>
      <c r="Y505" t="s">
        <v>2001</v>
      </c>
      <c r="Z505" t="s">
        <v>2002</v>
      </c>
      <c r="AA505" t="s">
        <v>2003</v>
      </c>
      <c r="AB505" t="s">
        <v>1380</v>
      </c>
      <c r="AC505" t="s">
        <v>73</v>
      </c>
      <c r="AD505" t="s">
        <v>2004</v>
      </c>
      <c r="AE505" t="s">
        <v>75</v>
      </c>
      <c r="AF505" t="s">
        <v>76</v>
      </c>
      <c r="AG505" t="s">
        <v>77</v>
      </c>
      <c r="AH505" t="s">
        <v>2005</v>
      </c>
      <c r="AI505" t="s">
        <v>615</v>
      </c>
      <c r="AJ505" t="s">
        <v>616</v>
      </c>
      <c r="AK505" t="s">
        <v>81</v>
      </c>
      <c r="AL505" t="s">
        <v>82</v>
      </c>
      <c r="AM505" t="s">
        <v>83</v>
      </c>
      <c r="AN505" s="3">
        <v>41543</v>
      </c>
      <c r="AO505">
        <v>148975</v>
      </c>
      <c r="AP505">
        <v>5408564</v>
      </c>
      <c r="AQ505">
        <v>151</v>
      </c>
      <c r="AR505" t="s">
        <v>84</v>
      </c>
      <c r="AS505">
        <v>562</v>
      </c>
      <c r="AT505" t="s">
        <v>85</v>
      </c>
      <c r="AU505" t="s">
        <v>86</v>
      </c>
      <c r="AV505">
        <v>562</v>
      </c>
      <c r="AW505" t="s">
        <v>2006</v>
      </c>
      <c r="AX505" t="s">
        <v>88</v>
      </c>
      <c r="AZ505" t="s">
        <v>659</v>
      </c>
      <c r="BA505">
        <v>0</v>
      </c>
      <c r="BB505">
        <v>1</v>
      </c>
    </row>
    <row r="506" spans="1:54" x14ac:dyDescent="0.2">
      <c r="A506" t="s">
        <v>1585</v>
      </c>
      <c r="B506" t="s">
        <v>1586</v>
      </c>
      <c r="C506" t="s">
        <v>1587</v>
      </c>
      <c r="D506" t="s">
        <v>1588</v>
      </c>
      <c r="E506" t="s">
        <v>1588</v>
      </c>
      <c r="G506" t="s">
        <v>56</v>
      </c>
      <c r="H506" t="s">
        <v>58</v>
      </c>
      <c r="I506" s="5" t="s">
        <v>1589</v>
      </c>
      <c r="J506" s="5" t="s">
        <v>1589</v>
      </c>
      <c r="K506" t="s">
        <v>7165</v>
      </c>
      <c r="L506" t="s">
        <v>7165</v>
      </c>
      <c r="M506" s="1" t="s">
        <v>603</v>
      </c>
      <c r="N506" t="e">
        <v>#N/A</v>
      </c>
      <c r="O506" s="1" t="e">
        <v>#N/A</v>
      </c>
      <c r="P506" s="1" t="e">
        <v>#N/A</v>
      </c>
      <c r="Q506" s="11" t="s">
        <v>7211</v>
      </c>
      <c r="R506" s="1" t="e">
        <v>#N/A</v>
      </c>
      <c r="S506" s="1" t="e">
        <v>#N/A</v>
      </c>
      <c r="T506" s="1" t="e">
        <v>#N/A</v>
      </c>
      <c r="U506" s="1" t="e">
        <v>#N/A</v>
      </c>
      <c r="V506" t="s">
        <v>1590</v>
      </c>
      <c r="W506" t="s">
        <v>1588</v>
      </c>
      <c r="X506" t="s">
        <v>68</v>
      </c>
      <c r="Y506" t="s">
        <v>1591</v>
      </c>
      <c r="Z506" t="s">
        <v>1592</v>
      </c>
      <c r="AA506" t="s">
        <v>1593</v>
      </c>
      <c r="AB506" t="s">
        <v>1346</v>
      </c>
      <c r="AC506" t="s">
        <v>73</v>
      </c>
      <c r="AD506" t="s">
        <v>1594</v>
      </c>
      <c r="AE506" t="s">
        <v>75</v>
      </c>
      <c r="AF506" t="s">
        <v>76</v>
      </c>
      <c r="AG506" t="s">
        <v>77</v>
      </c>
      <c r="AH506" t="s">
        <v>630</v>
      </c>
      <c r="AI506" t="s">
        <v>615</v>
      </c>
      <c r="AJ506" t="s">
        <v>616</v>
      </c>
      <c r="AK506" t="s">
        <v>81</v>
      </c>
      <c r="AL506" t="s">
        <v>82</v>
      </c>
      <c r="AM506" t="s">
        <v>83</v>
      </c>
      <c r="AN506" s="3">
        <v>41160</v>
      </c>
      <c r="AO506">
        <v>123950</v>
      </c>
      <c r="AP506">
        <v>5297297</v>
      </c>
      <c r="AQ506">
        <v>244</v>
      </c>
      <c r="AR506" t="s">
        <v>84</v>
      </c>
      <c r="AS506">
        <v>562</v>
      </c>
      <c r="AT506" t="s">
        <v>85</v>
      </c>
      <c r="AU506" t="s">
        <v>86</v>
      </c>
      <c r="AV506">
        <v>562</v>
      </c>
      <c r="AW506" t="s">
        <v>1595</v>
      </c>
      <c r="AX506" t="s">
        <v>88</v>
      </c>
      <c r="AZ506" t="s">
        <v>1572</v>
      </c>
      <c r="BA506">
        <v>0</v>
      </c>
      <c r="BB506">
        <v>0</v>
      </c>
    </row>
    <row r="507" spans="1:54" x14ac:dyDescent="0.2">
      <c r="A507" t="s">
        <v>1692</v>
      </c>
      <c r="B507" t="s">
        <v>1693</v>
      </c>
      <c r="C507" t="s">
        <v>1694</v>
      </c>
      <c r="D507" t="s">
        <v>1695</v>
      </c>
      <c r="E507" t="s">
        <v>1695</v>
      </c>
      <c r="G507" t="s">
        <v>56</v>
      </c>
      <c r="H507" t="s">
        <v>58</v>
      </c>
      <c r="I507" t="s">
        <v>1696</v>
      </c>
      <c r="J507" t="s">
        <v>1696</v>
      </c>
      <c r="K507" t="s">
        <v>7165</v>
      </c>
      <c r="L507" t="s">
        <v>7165</v>
      </c>
      <c r="M507" s="1" t="s">
        <v>603</v>
      </c>
      <c r="N507" t="e">
        <v>#N/A</v>
      </c>
      <c r="O507" s="1" t="e">
        <v>#N/A</v>
      </c>
      <c r="P507" s="1" t="e">
        <v>#N/A</v>
      </c>
      <c r="Q507" s="11" t="s">
        <v>7220</v>
      </c>
      <c r="R507" s="1" t="e">
        <v>#N/A</v>
      </c>
      <c r="S507" s="1" t="e">
        <v>#N/A</v>
      </c>
      <c r="T507" s="1" t="e">
        <v>#N/A</v>
      </c>
      <c r="U507" s="1" t="e">
        <v>#N/A</v>
      </c>
      <c r="V507" t="s">
        <v>1697</v>
      </c>
      <c r="W507" t="s">
        <v>1695</v>
      </c>
      <c r="X507" t="s">
        <v>68</v>
      </c>
      <c r="Y507" t="s">
        <v>1698</v>
      </c>
      <c r="Z507" t="s">
        <v>1699</v>
      </c>
      <c r="AA507" t="s">
        <v>1700</v>
      </c>
      <c r="AB507" t="s">
        <v>1346</v>
      </c>
      <c r="AC507" t="s">
        <v>73</v>
      </c>
      <c r="AD507" t="s">
        <v>1701</v>
      </c>
      <c r="AE507" t="s">
        <v>75</v>
      </c>
      <c r="AF507" t="s">
        <v>76</v>
      </c>
      <c r="AG507" t="s">
        <v>77</v>
      </c>
      <c r="AH507" t="s">
        <v>780</v>
      </c>
      <c r="AI507" t="s">
        <v>615</v>
      </c>
      <c r="AJ507" t="s">
        <v>616</v>
      </c>
      <c r="AK507" t="s">
        <v>81</v>
      </c>
      <c r="AL507" t="s">
        <v>82</v>
      </c>
      <c r="AM507" t="s">
        <v>83</v>
      </c>
      <c r="AN507" s="3">
        <v>41323</v>
      </c>
      <c r="AO507">
        <v>148116</v>
      </c>
      <c r="AP507">
        <v>5385783</v>
      </c>
      <c r="AQ507">
        <v>224</v>
      </c>
      <c r="AR507" t="s">
        <v>84</v>
      </c>
      <c r="AS507">
        <v>562</v>
      </c>
      <c r="AT507" t="s">
        <v>85</v>
      </c>
      <c r="AU507" t="s">
        <v>86</v>
      </c>
      <c r="AV507">
        <v>562</v>
      </c>
      <c r="AW507" t="s">
        <v>1702</v>
      </c>
      <c r="AX507" t="s">
        <v>88</v>
      </c>
      <c r="AZ507" t="s">
        <v>841</v>
      </c>
      <c r="BA507">
        <v>0</v>
      </c>
      <c r="BB507">
        <v>0</v>
      </c>
    </row>
    <row r="508" spans="1:54" x14ac:dyDescent="0.2">
      <c r="A508" t="s">
        <v>1618</v>
      </c>
      <c r="B508" t="s">
        <v>1619</v>
      </c>
      <c r="C508" t="s">
        <v>1620</v>
      </c>
      <c r="D508" t="s">
        <v>1621</v>
      </c>
      <c r="E508" t="s">
        <v>1621</v>
      </c>
      <c r="G508" t="s">
        <v>56</v>
      </c>
      <c r="H508" t="s">
        <v>58</v>
      </c>
      <c r="I508" t="s">
        <v>1622</v>
      </c>
      <c r="J508" t="s">
        <v>1622</v>
      </c>
      <c r="K508" t="s">
        <v>7165</v>
      </c>
      <c r="L508" t="s">
        <v>7165</v>
      </c>
      <c r="M508" s="1" t="s">
        <v>603</v>
      </c>
      <c r="N508" t="s">
        <v>649</v>
      </c>
      <c r="O508" s="1" t="s">
        <v>605</v>
      </c>
      <c r="P508" s="1" t="s">
        <v>127</v>
      </c>
      <c r="Q508" s="11" t="s">
        <v>7211</v>
      </c>
      <c r="R508" s="1">
        <v>11</v>
      </c>
      <c r="S508" s="1">
        <v>2124</v>
      </c>
      <c r="T508" s="1" t="s">
        <v>169</v>
      </c>
      <c r="U508" s="1" t="s">
        <v>170</v>
      </c>
      <c r="V508" t="s">
        <v>1623</v>
      </c>
      <c r="W508" t="s">
        <v>1624</v>
      </c>
      <c r="X508" t="s">
        <v>68</v>
      </c>
      <c r="Y508" t="s">
        <v>1625</v>
      </c>
      <c r="Z508" t="s">
        <v>1626</v>
      </c>
      <c r="AA508" t="s">
        <v>1627</v>
      </c>
      <c r="AB508" t="s">
        <v>1346</v>
      </c>
      <c r="AC508" t="s">
        <v>73</v>
      </c>
      <c r="AD508" t="s">
        <v>1628</v>
      </c>
      <c r="AE508" t="s">
        <v>75</v>
      </c>
      <c r="AF508" t="s">
        <v>76</v>
      </c>
      <c r="AG508" t="s">
        <v>77</v>
      </c>
      <c r="AH508" t="s">
        <v>669</v>
      </c>
      <c r="AI508" t="s">
        <v>615</v>
      </c>
      <c r="AJ508" t="s">
        <v>616</v>
      </c>
      <c r="AK508" t="s">
        <v>81</v>
      </c>
      <c r="AL508" t="s">
        <v>82</v>
      </c>
      <c r="AM508" t="s">
        <v>83</v>
      </c>
      <c r="AN508" s="3">
        <v>41197</v>
      </c>
      <c r="AO508">
        <v>145290</v>
      </c>
      <c r="AP508">
        <v>5363462</v>
      </c>
      <c r="AQ508">
        <v>249</v>
      </c>
      <c r="AR508" t="s">
        <v>84</v>
      </c>
      <c r="AS508">
        <v>562</v>
      </c>
      <c r="AT508" t="s">
        <v>85</v>
      </c>
      <c r="AU508" t="s">
        <v>86</v>
      </c>
      <c r="AV508">
        <v>562</v>
      </c>
      <c r="AW508" t="s">
        <v>1629</v>
      </c>
      <c r="AX508" t="s">
        <v>88</v>
      </c>
      <c r="AZ508" t="s">
        <v>918</v>
      </c>
      <c r="BA508">
        <v>0</v>
      </c>
      <c r="BB508">
        <v>0</v>
      </c>
    </row>
    <row r="509" spans="1:54" x14ac:dyDescent="0.2">
      <c r="A509" t="s">
        <v>1766</v>
      </c>
      <c r="B509" t="s">
        <v>1767</v>
      </c>
      <c r="C509" t="s">
        <v>1768</v>
      </c>
      <c r="D509" t="s">
        <v>1769</v>
      </c>
      <c r="E509" t="s">
        <v>1769</v>
      </c>
      <c r="G509" t="s">
        <v>56</v>
      </c>
      <c r="H509" t="s">
        <v>58</v>
      </c>
      <c r="I509" t="s">
        <v>1696</v>
      </c>
      <c r="J509" t="s">
        <v>1696</v>
      </c>
      <c r="K509" t="s">
        <v>7165</v>
      </c>
      <c r="L509" t="s">
        <v>7165</v>
      </c>
      <c r="M509" s="1" t="s">
        <v>603</v>
      </c>
      <c r="N509" t="e">
        <v>#N/A</v>
      </c>
      <c r="O509" s="1" t="e">
        <v>#N/A</v>
      </c>
      <c r="P509" s="1" t="e">
        <v>#N/A</v>
      </c>
      <c r="Q509" s="11" t="s">
        <v>169</v>
      </c>
      <c r="R509" s="1" t="e">
        <v>#N/A</v>
      </c>
      <c r="S509" s="1" t="e">
        <v>#N/A</v>
      </c>
      <c r="T509" s="1" t="e">
        <v>#N/A</v>
      </c>
      <c r="U509" s="1" t="e">
        <v>#N/A</v>
      </c>
      <c r="V509" t="s">
        <v>1770</v>
      </c>
      <c r="W509" t="s">
        <v>1769</v>
      </c>
      <c r="X509" t="s">
        <v>68</v>
      </c>
      <c r="Y509" t="s">
        <v>1771</v>
      </c>
      <c r="Z509" t="s">
        <v>1772</v>
      </c>
      <c r="AA509" t="s">
        <v>1773</v>
      </c>
      <c r="AB509" t="s">
        <v>1346</v>
      </c>
      <c r="AC509" t="s">
        <v>73</v>
      </c>
      <c r="AD509" t="s">
        <v>1774</v>
      </c>
      <c r="AE509" t="s">
        <v>75</v>
      </c>
      <c r="AF509" t="s">
        <v>76</v>
      </c>
      <c r="AG509" t="s">
        <v>77</v>
      </c>
      <c r="AH509" t="s">
        <v>1775</v>
      </c>
      <c r="AI509" t="s">
        <v>615</v>
      </c>
      <c r="AJ509" t="s">
        <v>616</v>
      </c>
      <c r="AK509" t="s">
        <v>81</v>
      </c>
      <c r="AL509" t="s">
        <v>82</v>
      </c>
      <c r="AM509" t="s">
        <v>83</v>
      </c>
      <c r="AN509" s="3">
        <v>41336</v>
      </c>
      <c r="AO509">
        <v>30229</v>
      </c>
      <c r="AP509">
        <v>5220233</v>
      </c>
      <c r="AQ509">
        <v>461</v>
      </c>
      <c r="AR509" t="s">
        <v>84</v>
      </c>
      <c r="AS509">
        <v>562</v>
      </c>
      <c r="AT509" t="s">
        <v>85</v>
      </c>
      <c r="AU509" t="s">
        <v>86</v>
      </c>
      <c r="AV509">
        <v>562</v>
      </c>
      <c r="AW509" t="s">
        <v>1776</v>
      </c>
      <c r="AX509" t="s">
        <v>88</v>
      </c>
      <c r="AZ509" t="s">
        <v>841</v>
      </c>
      <c r="BA509">
        <v>5</v>
      </c>
      <c r="BB509">
        <v>5</v>
      </c>
    </row>
    <row r="510" spans="1:54" x14ac:dyDescent="0.2">
      <c r="A510" t="s">
        <v>1337</v>
      </c>
      <c r="B510" t="s">
        <v>1338</v>
      </c>
      <c r="C510" t="s">
        <v>1339</v>
      </c>
      <c r="D510" t="s">
        <v>1340</v>
      </c>
      <c r="E510" t="s">
        <v>1340</v>
      </c>
      <c r="G510" t="s">
        <v>56</v>
      </c>
      <c r="H510" t="s">
        <v>58</v>
      </c>
      <c r="I510" s="4" t="s">
        <v>1341</v>
      </c>
      <c r="J510" s="4" t="s">
        <v>1341</v>
      </c>
      <c r="K510" t="s">
        <v>7165</v>
      </c>
      <c r="L510" t="s">
        <v>7165</v>
      </c>
      <c r="M510" s="1" t="s">
        <v>603</v>
      </c>
      <c r="N510" t="e">
        <v>#N/A</v>
      </c>
      <c r="O510" s="1" t="e">
        <v>#N/A</v>
      </c>
      <c r="P510" s="1" t="e">
        <v>#N/A</v>
      </c>
      <c r="Q510" s="11" t="s">
        <v>7194</v>
      </c>
      <c r="R510" s="1" t="e">
        <v>#N/A</v>
      </c>
      <c r="S510" s="1" t="e">
        <v>#N/A</v>
      </c>
      <c r="T510" s="1" t="e">
        <v>#N/A</v>
      </c>
      <c r="U510" s="1" t="e">
        <v>#N/A</v>
      </c>
      <c r="V510" t="s">
        <v>1342</v>
      </c>
      <c r="W510" t="s">
        <v>1340</v>
      </c>
      <c r="X510" t="s">
        <v>68</v>
      </c>
      <c r="Y510" t="s">
        <v>1343</v>
      </c>
      <c r="Z510" t="s">
        <v>1344</v>
      </c>
      <c r="AA510" t="s">
        <v>1345</v>
      </c>
      <c r="AB510" t="s">
        <v>1346</v>
      </c>
      <c r="AC510" t="s">
        <v>73</v>
      </c>
      <c r="AD510" t="s">
        <v>1347</v>
      </c>
      <c r="AE510" t="s">
        <v>75</v>
      </c>
      <c r="AF510" t="s">
        <v>76</v>
      </c>
      <c r="AG510" t="s">
        <v>77</v>
      </c>
      <c r="AH510" t="s">
        <v>1335</v>
      </c>
      <c r="AI510" t="s">
        <v>615</v>
      </c>
      <c r="AJ510" t="s">
        <v>616</v>
      </c>
      <c r="AK510" t="s">
        <v>81</v>
      </c>
      <c r="AL510" t="s">
        <v>82</v>
      </c>
      <c r="AM510" t="s">
        <v>83</v>
      </c>
      <c r="AN510" s="3">
        <v>40956</v>
      </c>
      <c r="AO510">
        <v>142515</v>
      </c>
      <c r="AP510">
        <v>5386124</v>
      </c>
      <c r="AQ510">
        <v>230</v>
      </c>
      <c r="AR510" t="s">
        <v>84</v>
      </c>
      <c r="AS510">
        <v>562</v>
      </c>
      <c r="AT510" t="s">
        <v>85</v>
      </c>
      <c r="AU510" t="s">
        <v>86</v>
      </c>
      <c r="AV510">
        <v>562</v>
      </c>
      <c r="AW510" t="s">
        <v>1348</v>
      </c>
      <c r="AX510" t="s">
        <v>88</v>
      </c>
      <c r="AZ510" t="s">
        <v>918</v>
      </c>
      <c r="BA510">
        <v>0</v>
      </c>
      <c r="BB510">
        <v>1</v>
      </c>
    </row>
    <row r="511" spans="1:54" x14ac:dyDescent="0.2">
      <c r="A511" t="s">
        <v>1850</v>
      </c>
      <c r="B511" t="s">
        <v>1851</v>
      </c>
      <c r="C511" t="s">
        <v>1852</v>
      </c>
      <c r="D511" t="s">
        <v>1853</v>
      </c>
      <c r="E511" t="s">
        <v>1853</v>
      </c>
      <c r="G511" t="s">
        <v>56</v>
      </c>
      <c r="H511" t="s">
        <v>58</v>
      </c>
      <c r="I511" t="s">
        <v>1821</v>
      </c>
      <c r="J511" t="s">
        <v>1821</v>
      </c>
      <c r="K511" t="s">
        <v>7165</v>
      </c>
      <c r="L511" t="s">
        <v>7165</v>
      </c>
      <c r="M511" s="1" t="s">
        <v>603</v>
      </c>
      <c r="N511" t="e">
        <v>#N/A</v>
      </c>
      <c r="O511" s="1" t="e">
        <v>#N/A</v>
      </c>
      <c r="P511" s="1" t="e">
        <v>#N/A</v>
      </c>
      <c r="Q511" s="11" t="s">
        <v>7211</v>
      </c>
      <c r="R511" s="1" t="e">
        <v>#N/A</v>
      </c>
      <c r="S511" s="1" t="e">
        <v>#N/A</v>
      </c>
      <c r="T511" s="1" t="e">
        <v>#N/A</v>
      </c>
      <c r="U511" s="1" t="e">
        <v>#N/A</v>
      </c>
      <c r="V511" t="s">
        <v>1854</v>
      </c>
      <c r="W511" t="s">
        <v>1853</v>
      </c>
      <c r="X511" t="s">
        <v>68</v>
      </c>
      <c r="Y511" t="s">
        <v>1855</v>
      </c>
      <c r="Z511" t="s">
        <v>1856</v>
      </c>
      <c r="AA511" t="s">
        <v>1857</v>
      </c>
      <c r="AB511" t="s">
        <v>1346</v>
      </c>
      <c r="AC511" t="s">
        <v>73</v>
      </c>
      <c r="AD511" t="s">
        <v>1858</v>
      </c>
      <c r="AE511" t="s">
        <v>75</v>
      </c>
      <c r="AF511" t="s">
        <v>76</v>
      </c>
      <c r="AG511" t="s">
        <v>77</v>
      </c>
      <c r="AH511" t="s">
        <v>1335</v>
      </c>
      <c r="AI511" t="s">
        <v>615</v>
      </c>
      <c r="AJ511" t="s">
        <v>616</v>
      </c>
      <c r="AK511" t="s">
        <v>81</v>
      </c>
      <c r="AL511" t="s">
        <v>82</v>
      </c>
      <c r="AM511" t="s">
        <v>83</v>
      </c>
      <c r="AN511" s="3">
        <v>41261</v>
      </c>
      <c r="AO511">
        <v>124172</v>
      </c>
      <c r="AP511">
        <v>5311011</v>
      </c>
      <c r="AQ511">
        <v>243</v>
      </c>
      <c r="AR511" t="s">
        <v>84</v>
      </c>
      <c r="AS511">
        <v>562</v>
      </c>
      <c r="AT511" t="s">
        <v>85</v>
      </c>
      <c r="AU511" t="s">
        <v>86</v>
      </c>
      <c r="AV511">
        <v>562</v>
      </c>
      <c r="AW511" t="s">
        <v>1859</v>
      </c>
      <c r="AX511" t="s">
        <v>88</v>
      </c>
      <c r="AZ511" t="s">
        <v>659</v>
      </c>
      <c r="BA511">
        <v>0</v>
      </c>
      <c r="BB511">
        <v>1</v>
      </c>
    </row>
    <row r="512" spans="1:54" x14ac:dyDescent="0.2">
      <c r="A512" t="s">
        <v>1839</v>
      </c>
      <c r="B512" t="s">
        <v>1840</v>
      </c>
      <c r="C512" t="s">
        <v>1841</v>
      </c>
      <c r="D512" t="s">
        <v>1842</v>
      </c>
      <c r="E512" t="s">
        <v>1842</v>
      </c>
      <c r="G512" t="s">
        <v>56</v>
      </c>
      <c r="H512" t="s">
        <v>58</v>
      </c>
      <c r="I512" t="s">
        <v>1821</v>
      </c>
      <c r="J512" t="s">
        <v>1821</v>
      </c>
      <c r="K512" t="s">
        <v>7165</v>
      </c>
      <c r="L512" t="s">
        <v>7165</v>
      </c>
      <c r="M512" s="1" t="s">
        <v>603</v>
      </c>
      <c r="N512" t="e">
        <v>#N/A</v>
      </c>
      <c r="O512" s="1" t="e">
        <v>#N/A</v>
      </c>
      <c r="P512" s="1" t="e">
        <v>#N/A</v>
      </c>
      <c r="Q512" s="11" t="s">
        <v>7211</v>
      </c>
      <c r="R512" s="1" t="e">
        <v>#N/A</v>
      </c>
      <c r="S512" s="1" t="e">
        <v>#N/A</v>
      </c>
      <c r="T512" s="1" t="e">
        <v>#N/A</v>
      </c>
      <c r="U512" s="1" t="e">
        <v>#N/A</v>
      </c>
      <c r="V512" t="s">
        <v>1843</v>
      </c>
      <c r="W512" t="s">
        <v>1842</v>
      </c>
      <c r="X512" t="s">
        <v>68</v>
      </c>
      <c r="Y512" t="s">
        <v>1844</v>
      </c>
      <c r="Z512" t="s">
        <v>1845</v>
      </c>
      <c r="AA512" t="s">
        <v>1846</v>
      </c>
      <c r="AB512" t="s">
        <v>1346</v>
      </c>
      <c r="AC512" t="s">
        <v>73</v>
      </c>
      <c r="AD512" t="s">
        <v>1847</v>
      </c>
      <c r="AE512" t="s">
        <v>75</v>
      </c>
      <c r="AF512" t="s">
        <v>76</v>
      </c>
      <c r="AG512" t="s">
        <v>77</v>
      </c>
      <c r="AH512" t="s">
        <v>1848</v>
      </c>
      <c r="AI512" t="s">
        <v>615</v>
      </c>
      <c r="AJ512" t="s">
        <v>616</v>
      </c>
      <c r="AK512" t="s">
        <v>81</v>
      </c>
      <c r="AL512" t="s">
        <v>82</v>
      </c>
      <c r="AM512" t="s">
        <v>83</v>
      </c>
      <c r="AN512" s="3">
        <v>41260</v>
      </c>
      <c r="AO512">
        <v>49405</v>
      </c>
      <c r="AP512">
        <v>5247351</v>
      </c>
      <c r="AQ512">
        <v>319</v>
      </c>
      <c r="AR512" t="s">
        <v>84</v>
      </c>
      <c r="AS512">
        <v>562</v>
      </c>
      <c r="AT512" t="s">
        <v>85</v>
      </c>
      <c r="AU512" t="s">
        <v>86</v>
      </c>
      <c r="AV512">
        <v>562</v>
      </c>
      <c r="AW512" t="s">
        <v>1849</v>
      </c>
      <c r="AX512" t="s">
        <v>88</v>
      </c>
      <c r="AZ512" t="s">
        <v>918</v>
      </c>
      <c r="BA512">
        <v>10</v>
      </c>
      <c r="BB512">
        <v>10</v>
      </c>
    </row>
    <row r="513" spans="1:54" x14ac:dyDescent="0.2">
      <c r="A513" t="s">
        <v>1904</v>
      </c>
      <c r="B513" t="s">
        <v>1905</v>
      </c>
      <c r="C513" t="s">
        <v>1906</v>
      </c>
      <c r="D513" t="s">
        <v>1907</v>
      </c>
      <c r="E513" t="s">
        <v>1907</v>
      </c>
      <c r="G513" t="s">
        <v>56</v>
      </c>
      <c r="H513" t="s">
        <v>58</v>
      </c>
      <c r="I513" t="s">
        <v>1696</v>
      </c>
      <c r="J513" t="s">
        <v>1696</v>
      </c>
      <c r="K513" t="s">
        <v>7165</v>
      </c>
      <c r="L513" t="s">
        <v>7165</v>
      </c>
      <c r="M513" s="1" t="s">
        <v>603</v>
      </c>
      <c r="N513" t="e">
        <v>#N/A</v>
      </c>
      <c r="O513" s="1" t="e">
        <v>#N/A</v>
      </c>
      <c r="P513" s="1" t="e">
        <v>#N/A</v>
      </c>
      <c r="Q513" s="11" t="s">
        <v>7220</v>
      </c>
      <c r="R513" s="1" t="e">
        <v>#N/A</v>
      </c>
      <c r="S513" s="1" t="e">
        <v>#N/A</v>
      </c>
      <c r="T513" s="1" t="e">
        <v>#N/A</v>
      </c>
      <c r="U513" s="1" t="e">
        <v>#N/A</v>
      </c>
      <c r="V513" t="s">
        <v>1908</v>
      </c>
      <c r="W513" t="s">
        <v>1907</v>
      </c>
      <c r="X513" t="s">
        <v>68</v>
      </c>
      <c r="Y513" t="s">
        <v>1909</v>
      </c>
      <c r="Z513" t="s">
        <v>1910</v>
      </c>
      <c r="AA513" t="s">
        <v>1911</v>
      </c>
      <c r="AB513" t="s">
        <v>1482</v>
      </c>
      <c r="AC513" t="s">
        <v>73</v>
      </c>
      <c r="AD513" t="s">
        <v>1912</v>
      </c>
      <c r="AE513" t="s">
        <v>75</v>
      </c>
      <c r="AF513" t="s">
        <v>76</v>
      </c>
      <c r="AG513" t="s">
        <v>77</v>
      </c>
      <c r="AH513" t="s">
        <v>792</v>
      </c>
      <c r="AI513" t="s">
        <v>615</v>
      </c>
      <c r="AJ513" t="s">
        <v>616</v>
      </c>
      <c r="AK513" t="s">
        <v>81</v>
      </c>
      <c r="AL513" t="s">
        <v>82</v>
      </c>
      <c r="AM513" t="s">
        <v>83</v>
      </c>
      <c r="AN513" s="3">
        <v>41324</v>
      </c>
      <c r="AO513">
        <v>148116</v>
      </c>
      <c r="AP513">
        <v>5396288</v>
      </c>
      <c r="AQ513">
        <v>195</v>
      </c>
      <c r="AR513" t="s">
        <v>84</v>
      </c>
      <c r="AS513">
        <v>562</v>
      </c>
      <c r="AT513" t="s">
        <v>85</v>
      </c>
      <c r="AU513" t="s">
        <v>86</v>
      </c>
      <c r="AV513">
        <v>562</v>
      </c>
      <c r="AW513" t="s">
        <v>1913</v>
      </c>
      <c r="AX513" t="s">
        <v>88</v>
      </c>
      <c r="AZ513" t="s">
        <v>841</v>
      </c>
      <c r="BA513">
        <v>0</v>
      </c>
      <c r="BB513">
        <v>0</v>
      </c>
    </row>
    <row r="514" spans="1:54" x14ac:dyDescent="0.2">
      <c r="A514" t="s">
        <v>1871</v>
      </c>
      <c r="B514" t="s">
        <v>1872</v>
      </c>
      <c r="C514" t="s">
        <v>1873</v>
      </c>
      <c r="D514" t="s">
        <v>1874</v>
      </c>
      <c r="E514" t="s">
        <v>1874</v>
      </c>
      <c r="G514" t="s">
        <v>56</v>
      </c>
      <c r="H514" t="s">
        <v>58</v>
      </c>
      <c r="I514" t="s">
        <v>1864</v>
      </c>
      <c r="J514" t="s">
        <v>1864</v>
      </c>
      <c r="K514" t="s">
        <v>7165</v>
      </c>
      <c r="L514" t="s">
        <v>7165</v>
      </c>
      <c r="M514" s="1" t="s">
        <v>603</v>
      </c>
      <c r="N514" t="e">
        <v>#N/A</v>
      </c>
      <c r="O514" s="1" t="e">
        <v>#N/A</v>
      </c>
      <c r="P514" s="1" t="e">
        <v>#N/A</v>
      </c>
      <c r="Q514" s="11" t="s">
        <v>7211</v>
      </c>
      <c r="R514" s="1" t="e">
        <v>#N/A</v>
      </c>
      <c r="S514" s="1" t="e">
        <v>#N/A</v>
      </c>
      <c r="T514" s="1" t="e">
        <v>#N/A</v>
      </c>
      <c r="U514" s="1" t="e">
        <v>#N/A</v>
      </c>
      <c r="V514" t="s">
        <v>1875</v>
      </c>
      <c r="W514" t="s">
        <v>1874</v>
      </c>
      <c r="X514" t="s">
        <v>68</v>
      </c>
      <c r="Y514" t="s">
        <v>1876</v>
      </c>
      <c r="Z514" t="s">
        <v>1877</v>
      </c>
      <c r="AA514" t="s">
        <v>1878</v>
      </c>
      <c r="AB514" t="s">
        <v>1482</v>
      </c>
      <c r="AC514" t="s">
        <v>73</v>
      </c>
      <c r="AD514" t="s">
        <v>1879</v>
      </c>
      <c r="AE514" t="s">
        <v>75</v>
      </c>
      <c r="AF514" t="s">
        <v>76</v>
      </c>
      <c r="AG514" t="s">
        <v>77</v>
      </c>
      <c r="AH514" t="s">
        <v>669</v>
      </c>
      <c r="AI514" t="s">
        <v>615</v>
      </c>
      <c r="AJ514" t="s">
        <v>616</v>
      </c>
      <c r="AK514" t="s">
        <v>81</v>
      </c>
      <c r="AL514" t="s">
        <v>82</v>
      </c>
      <c r="AM514" t="s">
        <v>83</v>
      </c>
      <c r="AN514" s="3">
        <v>41261</v>
      </c>
      <c r="AO514">
        <v>148116</v>
      </c>
      <c r="AP514">
        <v>5331691</v>
      </c>
      <c r="AQ514">
        <v>241</v>
      </c>
      <c r="AR514" t="s">
        <v>84</v>
      </c>
      <c r="AS514">
        <v>562</v>
      </c>
      <c r="AT514" t="s">
        <v>85</v>
      </c>
      <c r="AU514" t="s">
        <v>86</v>
      </c>
      <c r="AV514">
        <v>562</v>
      </c>
      <c r="AW514" t="s">
        <v>1880</v>
      </c>
      <c r="AX514" t="s">
        <v>88</v>
      </c>
      <c r="AZ514" t="s">
        <v>659</v>
      </c>
      <c r="BA514">
        <v>0</v>
      </c>
      <c r="BB514">
        <v>1</v>
      </c>
    </row>
    <row r="515" spans="1:54" x14ac:dyDescent="0.2">
      <c r="A515" t="s">
        <v>1596</v>
      </c>
      <c r="B515" t="s">
        <v>1597</v>
      </c>
      <c r="C515" t="s">
        <v>1598</v>
      </c>
      <c r="D515" t="s">
        <v>1599</v>
      </c>
      <c r="E515" t="s">
        <v>1599</v>
      </c>
      <c r="G515" t="s">
        <v>56</v>
      </c>
      <c r="H515" t="s">
        <v>58</v>
      </c>
      <c r="I515" s="5" t="s">
        <v>1589</v>
      </c>
      <c r="J515" s="5" t="s">
        <v>1589</v>
      </c>
      <c r="K515" t="s">
        <v>7165</v>
      </c>
      <c r="L515" t="s">
        <v>7165</v>
      </c>
      <c r="M515" s="1" t="s">
        <v>603</v>
      </c>
      <c r="N515" t="e">
        <v>#N/A</v>
      </c>
      <c r="O515" s="1" t="e">
        <v>#N/A</v>
      </c>
      <c r="P515" s="1" t="e">
        <v>#N/A</v>
      </c>
      <c r="Q515" s="11" t="s">
        <v>7211</v>
      </c>
      <c r="R515" s="1" t="e">
        <v>#N/A</v>
      </c>
      <c r="S515" s="1" t="e">
        <v>#N/A</v>
      </c>
      <c r="T515" s="1" t="e">
        <v>#N/A</v>
      </c>
      <c r="U515" s="1" t="e">
        <v>#N/A</v>
      </c>
      <c r="V515" t="s">
        <v>1600</v>
      </c>
      <c r="W515" t="s">
        <v>1599</v>
      </c>
      <c r="X515" t="s">
        <v>68</v>
      </c>
      <c r="Y515" t="s">
        <v>1601</v>
      </c>
      <c r="Z515" t="s">
        <v>1602</v>
      </c>
      <c r="AA515" t="s">
        <v>1603</v>
      </c>
      <c r="AB515" t="s">
        <v>1482</v>
      </c>
      <c r="AC515" t="s">
        <v>73</v>
      </c>
      <c r="AD515" t="s">
        <v>1604</v>
      </c>
      <c r="AE515" t="s">
        <v>75</v>
      </c>
      <c r="AF515" t="s">
        <v>76</v>
      </c>
      <c r="AG515" t="s">
        <v>77</v>
      </c>
      <c r="AH515" t="s">
        <v>669</v>
      </c>
      <c r="AI515" t="s">
        <v>615</v>
      </c>
      <c r="AJ515" t="s">
        <v>616</v>
      </c>
      <c r="AK515" t="s">
        <v>81</v>
      </c>
      <c r="AL515" t="s">
        <v>82</v>
      </c>
      <c r="AM515" t="s">
        <v>83</v>
      </c>
      <c r="AN515" s="3">
        <v>41166</v>
      </c>
      <c r="AO515">
        <v>110805</v>
      </c>
      <c r="AP515">
        <v>5304244</v>
      </c>
      <c r="AQ515">
        <v>259</v>
      </c>
      <c r="AR515" t="s">
        <v>84</v>
      </c>
      <c r="AS515">
        <v>562</v>
      </c>
      <c r="AT515" t="s">
        <v>85</v>
      </c>
      <c r="AU515" t="s">
        <v>86</v>
      </c>
      <c r="AV515">
        <v>562</v>
      </c>
      <c r="AW515" t="s">
        <v>1605</v>
      </c>
      <c r="AX515" t="s">
        <v>88</v>
      </c>
      <c r="AZ515" t="s">
        <v>1572</v>
      </c>
      <c r="BA515">
        <v>2</v>
      </c>
      <c r="BB515">
        <v>2</v>
      </c>
    </row>
    <row r="516" spans="1:54" x14ac:dyDescent="0.2">
      <c r="A516" t="s">
        <v>1777</v>
      </c>
      <c r="B516" t="s">
        <v>1778</v>
      </c>
      <c r="C516" t="s">
        <v>1779</v>
      </c>
      <c r="D516" t="s">
        <v>1780</v>
      </c>
      <c r="E516" t="s">
        <v>1780</v>
      </c>
      <c r="G516" t="s">
        <v>56</v>
      </c>
      <c r="H516" t="s">
        <v>58</v>
      </c>
      <c r="I516" s="4" t="s">
        <v>1341</v>
      </c>
      <c r="J516" s="4" t="s">
        <v>1341</v>
      </c>
      <c r="K516" t="s">
        <v>7165</v>
      </c>
      <c r="L516" t="s">
        <v>7165</v>
      </c>
      <c r="M516" s="1" t="s">
        <v>603</v>
      </c>
      <c r="N516" t="e">
        <v>#N/A</v>
      </c>
      <c r="O516" s="1" t="e">
        <v>#N/A</v>
      </c>
      <c r="P516" s="1" t="e">
        <v>#N/A</v>
      </c>
      <c r="Q516" s="11" t="s">
        <v>7211</v>
      </c>
      <c r="R516" s="1" t="e">
        <v>#N/A</v>
      </c>
      <c r="S516" s="1" t="e">
        <v>#N/A</v>
      </c>
      <c r="T516" s="1" t="e">
        <v>#N/A</v>
      </c>
      <c r="U516" s="1" t="e">
        <v>#N/A</v>
      </c>
      <c r="V516" t="s">
        <v>1781</v>
      </c>
      <c r="W516" t="s">
        <v>1780</v>
      </c>
      <c r="X516" t="s">
        <v>68</v>
      </c>
      <c r="Y516" t="s">
        <v>1782</v>
      </c>
      <c r="Z516" t="s">
        <v>1783</v>
      </c>
      <c r="AA516" t="s">
        <v>1784</v>
      </c>
      <c r="AB516" t="s">
        <v>1482</v>
      </c>
      <c r="AC516" t="s">
        <v>73</v>
      </c>
      <c r="AD516" t="s">
        <v>1785</v>
      </c>
      <c r="AE516" t="s">
        <v>75</v>
      </c>
      <c r="AF516" t="s">
        <v>76</v>
      </c>
      <c r="AG516" t="s">
        <v>77</v>
      </c>
      <c r="AH516" t="s">
        <v>1335</v>
      </c>
      <c r="AI516" t="s">
        <v>615</v>
      </c>
      <c r="AJ516" t="s">
        <v>616</v>
      </c>
      <c r="AK516" t="s">
        <v>81</v>
      </c>
      <c r="AL516" t="s">
        <v>82</v>
      </c>
      <c r="AM516" t="s">
        <v>83</v>
      </c>
      <c r="AN516" s="3">
        <v>40981</v>
      </c>
      <c r="AO516">
        <v>124148</v>
      </c>
      <c r="AP516">
        <v>5327965</v>
      </c>
      <c r="AQ516">
        <v>205</v>
      </c>
      <c r="AR516" t="s">
        <v>84</v>
      </c>
      <c r="AS516">
        <v>562</v>
      </c>
      <c r="AT516" t="s">
        <v>85</v>
      </c>
      <c r="AU516" t="s">
        <v>86</v>
      </c>
      <c r="AV516">
        <v>562</v>
      </c>
      <c r="AW516" t="s">
        <v>1786</v>
      </c>
      <c r="AX516" t="s">
        <v>88</v>
      </c>
      <c r="AZ516" t="s">
        <v>918</v>
      </c>
      <c r="BA516">
        <v>0</v>
      </c>
      <c r="BB516">
        <v>16</v>
      </c>
    </row>
    <row r="517" spans="1:54" x14ac:dyDescent="0.2">
      <c r="A517" t="s">
        <v>1662</v>
      </c>
      <c r="B517" t="s">
        <v>1663</v>
      </c>
      <c r="C517" t="s">
        <v>1664</v>
      </c>
      <c r="D517" t="s">
        <v>1665</v>
      </c>
      <c r="E517" t="s">
        <v>1665</v>
      </c>
      <c r="G517" t="s">
        <v>56</v>
      </c>
      <c r="H517" t="s">
        <v>58</v>
      </c>
      <c r="I517" t="s">
        <v>1654</v>
      </c>
      <c r="J517" t="s">
        <v>1654</v>
      </c>
      <c r="K517" t="s">
        <v>7165</v>
      </c>
      <c r="L517" t="s">
        <v>7165</v>
      </c>
      <c r="M517" s="1" t="s">
        <v>603</v>
      </c>
      <c r="N517" t="e">
        <v>#N/A</v>
      </c>
      <c r="O517" s="1" t="e">
        <v>#N/A</v>
      </c>
      <c r="P517" s="1" t="e">
        <v>#N/A</v>
      </c>
      <c r="Q517" s="11" t="s">
        <v>7211</v>
      </c>
      <c r="R517" s="1" t="e">
        <v>#N/A</v>
      </c>
      <c r="S517" s="1" t="e">
        <v>#N/A</v>
      </c>
      <c r="T517" s="1" t="e">
        <v>#N/A</v>
      </c>
      <c r="U517" s="1" t="e">
        <v>#N/A</v>
      </c>
      <c r="V517" t="s">
        <v>1666</v>
      </c>
      <c r="W517" t="s">
        <v>1665</v>
      </c>
      <c r="X517" t="s">
        <v>68</v>
      </c>
      <c r="Y517" t="s">
        <v>1667</v>
      </c>
      <c r="Z517" t="s">
        <v>1668</v>
      </c>
      <c r="AA517" t="s">
        <v>1669</v>
      </c>
      <c r="AB517" t="s">
        <v>1482</v>
      </c>
      <c r="AC517" t="s">
        <v>73</v>
      </c>
      <c r="AD517" t="s">
        <v>1670</v>
      </c>
      <c r="AE517" t="s">
        <v>75</v>
      </c>
      <c r="AF517" t="s">
        <v>76</v>
      </c>
      <c r="AG517" t="s">
        <v>77</v>
      </c>
      <c r="AH517" t="s">
        <v>1335</v>
      </c>
      <c r="AI517" t="s">
        <v>615</v>
      </c>
      <c r="AJ517" t="s">
        <v>616</v>
      </c>
      <c r="AK517" t="s">
        <v>81</v>
      </c>
      <c r="AL517" t="s">
        <v>82</v>
      </c>
      <c r="AM517" t="s">
        <v>83</v>
      </c>
      <c r="AN517" s="3">
        <v>41255</v>
      </c>
      <c r="AO517">
        <v>114765</v>
      </c>
      <c r="AP517">
        <v>5343251</v>
      </c>
      <c r="AQ517">
        <v>292</v>
      </c>
      <c r="AR517" t="s">
        <v>84</v>
      </c>
      <c r="AS517">
        <v>562</v>
      </c>
      <c r="AT517" t="s">
        <v>85</v>
      </c>
      <c r="AU517" t="s">
        <v>86</v>
      </c>
      <c r="AV517">
        <v>562</v>
      </c>
      <c r="AW517" t="s">
        <v>1671</v>
      </c>
      <c r="AX517" t="s">
        <v>88</v>
      </c>
      <c r="AZ517" t="s">
        <v>918</v>
      </c>
      <c r="BA517">
        <v>0</v>
      </c>
      <c r="BB517">
        <v>0</v>
      </c>
    </row>
    <row r="518" spans="1:54" x14ac:dyDescent="0.2">
      <c r="A518" t="s">
        <v>1474</v>
      </c>
      <c r="B518" t="s">
        <v>1475</v>
      </c>
      <c r="C518" t="s">
        <v>1476</v>
      </c>
      <c r="D518" t="s">
        <v>1477</v>
      </c>
      <c r="E518" t="s">
        <v>1477</v>
      </c>
      <c r="G518" t="s">
        <v>56</v>
      </c>
      <c r="H518" t="s">
        <v>58</v>
      </c>
      <c r="I518" s="4" t="s">
        <v>1341</v>
      </c>
      <c r="J518" s="4" t="s">
        <v>1341</v>
      </c>
      <c r="K518" t="s">
        <v>7165</v>
      </c>
      <c r="L518" t="s">
        <v>7165</v>
      </c>
      <c r="M518" s="1" t="s">
        <v>603</v>
      </c>
      <c r="N518" t="e">
        <v>#N/A</v>
      </c>
      <c r="O518" s="1" t="e">
        <v>#N/A</v>
      </c>
      <c r="P518" s="1" t="e">
        <v>#N/A</v>
      </c>
      <c r="Q518" s="11" t="s">
        <v>7194</v>
      </c>
      <c r="R518" s="1" t="e">
        <v>#N/A</v>
      </c>
      <c r="S518" s="1" t="e">
        <v>#N/A</v>
      </c>
      <c r="T518" s="1" t="e">
        <v>#N/A</v>
      </c>
      <c r="U518" s="1" t="e">
        <v>#N/A</v>
      </c>
      <c r="V518" t="s">
        <v>1478</v>
      </c>
      <c r="W518" t="s">
        <v>1477</v>
      </c>
      <c r="X518" t="s">
        <v>68</v>
      </c>
      <c r="Y518" t="s">
        <v>1479</v>
      </c>
      <c r="Z518" t="s">
        <v>1480</v>
      </c>
      <c r="AA518" t="s">
        <v>1481</v>
      </c>
      <c r="AB518" t="s">
        <v>1482</v>
      </c>
      <c r="AC518" t="s">
        <v>73</v>
      </c>
      <c r="AD518" t="s">
        <v>1483</v>
      </c>
      <c r="AE518" t="s">
        <v>75</v>
      </c>
      <c r="AF518" t="s">
        <v>76</v>
      </c>
      <c r="AG518" t="s">
        <v>77</v>
      </c>
      <c r="AH518" t="s">
        <v>1335</v>
      </c>
      <c r="AI518" t="s">
        <v>615</v>
      </c>
      <c r="AJ518" t="s">
        <v>616</v>
      </c>
      <c r="AK518" t="s">
        <v>81</v>
      </c>
      <c r="AL518" t="s">
        <v>82</v>
      </c>
      <c r="AM518" t="s">
        <v>83</v>
      </c>
      <c r="AN518" s="3">
        <v>40989</v>
      </c>
      <c r="AO518">
        <v>126619</v>
      </c>
      <c r="AP518">
        <v>5363721</v>
      </c>
      <c r="AQ518">
        <v>209</v>
      </c>
      <c r="AR518" t="s">
        <v>84</v>
      </c>
      <c r="AS518">
        <v>562</v>
      </c>
      <c r="AT518" t="s">
        <v>85</v>
      </c>
      <c r="AU518" t="s">
        <v>86</v>
      </c>
      <c r="AV518">
        <v>562</v>
      </c>
      <c r="AW518" t="s">
        <v>1484</v>
      </c>
      <c r="AX518" t="s">
        <v>88</v>
      </c>
      <c r="AZ518" t="s">
        <v>841</v>
      </c>
      <c r="BA518">
        <v>0</v>
      </c>
      <c r="BB518">
        <v>0</v>
      </c>
    </row>
    <row r="519" spans="1:54" x14ac:dyDescent="0.2">
      <c r="A519" t="s">
        <v>1745</v>
      </c>
      <c r="B519" t="s">
        <v>1746</v>
      </c>
      <c r="C519" t="s">
        <v>1747</v>
      </c>
      <c r="D519" t="s">
        <v>1748</v>
      </c>
      <c r="E519" t="s">
        <v>1748</v>
      </c>
      <c r="G519" t="s">
        <v>56</v>
      </c>
      <c r="H519" t="s">
        <v>58</v>
      </c>
      <c r="I519" t="s">
        <v>1696</v>
      </c>
      <c r="J519" t="s">
        <v>1696</v>
      </c>
      <c r="K519" t="s">
        <v>7165</v>
      </c>
      <c r="L519" t="s">
        <v>7165</v>
      </c>
      <c r="M519" s="1" t="s">
        <v>603</v>
      </c>
      <c r="N519" t="e">
        <v>#N/A</v>
      </c>
      <c r="O519" s="1" t="e">
        <v>#N/A</v>
      </c>
      <c r="P519" s="1" t="e">
        <v>#N/A</v>
      </c>
      <c r="Q519" s="11" t="s">
        <v>7211</v>
      </c>
      <c r="R519" s="1" t="e">
        <v>#N/A</v>
      </c>
      <c r="S519" s="1" t="e">
        <v>#N/A</v>
      </c>
      <c r="T519" s="1" t="e">
        <v>#N/A</v>
      </c>
      <c r="U519" s="1" t="e">
        <v>#N/A</v>
      </c>
      <c r="V519" t="s">
        <v>1749</v>
      </c>
      <c r="W519" t="s">
        <v>1748</v>
      </c>
      <c r="X519" t="s">
        <v>68</v>
      </c>
      <c r="Y519" t="s">
        <v>1750</v>
      </c>
      <c r="Z519" t="s">
        <v>1751</v>
      </c>
      <c r="AA519" t="s">
        <v>1752</v>
      </c>
      <c r="AB519" t="s">
        <v>1482</v>
      </c>
      <c r="AC519" t="s">
        <v>73</v>
      </c>
      <c r="AD519" t="s">
        <v>1753</v>
      </c>
      <c r="AE519" t="s">
        <v>75</v>
      </c>
      <c r="AF519" t="s">
        <v>76</v>
      </c>
      <c r="AG519" t="s">
        <v>77</v>
      </c>
      <c r="AH519" t="s">
        <v>669</v>
      </c>
      <c r="AI519" t="s">
        <v>615</v>
      </c>
      <c r="AJ519" t="s">
        <v>616</v>
      </c>
      <c r="AK519" t="s">
        <v>81</v>
      </c>
      <c r="AL519" t="s">
        <v>82</v>
      </c>
      <c r="AM519" t="s">
        <v>83</v>
      </c>
      <c r="AN519" s="3">
        <v>41259</v>
      </c>
      <c r="AO519">
        <v>124172</v>
      </c>
      <c r="AP519">
        <v>5326282</v>
      </c>
      <c r="AQ519">
        <v>205</v>
      </c>
      <c r="AR519" t="s">
        <v>84</v>
      </c>
      <c r="AS519">
        <v>562</v>
      </c>
      <c r="AT519" t="s">
        <v>85</v>
      </c>
      <c r="AU519" t="s">
        <v>86</v>
      </c>
      <c r="AV519">
        <v>562</v>
      </c>
      <c r="AW519" t="s">
        <v>1754</v>
      </c>
      <c r="AX519" t="s">
        <v>88</v>
      </c>
      <c r="AZ519" t="s">
        <v>659</v>
      </c>
      <c r="BA519">
        <v>0</v>
      </c>
      <c r="BB519">
        <v>1</v>
      </c>
    </row>
    <row r="520" spans="1:54" x14ac:dyDescent="0.2">
      <c r="A520" t="s">
        <v>1807</v>
      </c>
      <c r="B520" t="s">
        <v>1808</v>
      </c>
      <c r="C520" t="s">
        <v>1809</v>
      </c>
      <c r="D520" t="s">
        <v>1810</v>
      </c>
      <c r="E520" t="s">
        <v>1810</v>
      </c>
      <c r="G520" t="s">
        <v>56</v>
      </c>
      <c r="H520" t="s">
        <v>58</v>
      </c>
      <c r="I520" s="4" t="s">
        <v>1341</v>
      </c>
      <c r="J520" s="4" t="s">
        <v>1341</v>
      </c>
      <c r="K520" t="s">
        <v>7165</v>
      </c>
      <c r="L520" t="s">
        <v>7165</v>
      </c>
      <c r="M520" s="1" t="s">
        <v>603</v>
      </c>
      <c r="N520" t="e">
        <v>#N/A</v>
      </c>
      <c r="O520" s="1" t="e">
        <v>#N/A</v>
      </c>
      <c r="P520" s="1" t="e">
        <v>#N/A</v>
      </c>
      <c r="Q520" s="11" t="s">
        <v>7194</v>
      </c>
      <c r="R520" s="1" t="e">
        <v>#N/A</v>
      </c>
      <c r="S520" s="1" t="e">
        <v>#N/A</v>
      </c>
      <c r="T520" s="1" t="e">
        <v>#N/A</v>
      </c>
      <c r="U520" s="1" t="e">
        <v>#N/A</v>
      </c>
      <c r="V520" t="s">
        <v>1811</v>
      </c>
      <c r="W520" t="s">
        <v>1810</v>
      </c>
      <c r="X520" t="s">
        <v>68</v>
      </c>
      <c r="Y520" t="s">
        <v>1812</v>
      </c>
      <c r="Z520" t="s">
        <v>1813</v>
      </c>
      <c r="AA520" t="s">
        <v>1814</v>
      </c>
      <c r="AB520" t="s">
        <v>1448</v>
      </c>
      <c r="AC520" t="s">
        <v>73</v>
      </c>
      <c r="AD520" t="s">
        <v>1815</v>
      </c>
      <c r="AE520" t="s">
        <v>75</v>
      </c>
      <c r="AF520" t="s">
        <v>76</v>
      </c>
      <c r="AG520" t="s">
        <v>77</v>
      </c>
      <c r="AH520" t="s">
        <v>694</v>
      </c>
      <c r="AI520" t="s">
        <v>615</v>
      </c>
      <c r="AJ520" t="s">
        <v>616</v>
      </c>
      <c r="AK520" t="s">
        <v>81</v>
      </c>
      <c r="AL520" t="s">
        <v>82</v>
      </c>
      <c r="AM520" t="s">
        <v>83</v>
      </c>
      <c r="AN520" s="3">
        <v>40981</v>
      </c>
      <c r="AO520">
        <v>168781</v>
      </c>
      <c r="AP520">
        <v>5364338</v>
      </c>
      <c r="AQ520">
        <v>193</v>
      </c>
      <c r="AR520" t="s">
        <v>84</v>
      </c>
      <c r="AS520">
        <v>562</v>
      </c>
      <c r="AT520" t="s">
        <v>85</v>
      </c>
      <c r="AU520" t="s">
        <v>86</v>
      </c>
      <c r="AV520">
        <v>562</v>
      </c>
      <c r="AW520" t="s">
        <v>1816</v>
      </c>
      <c r="AX520" t="s">
        <v>88</v>
      </c>
      <c r="AZ520" t="s">
        <v>1407</v>
      </c>
      <c r="BA520">
        <v>0</v>
      </c>
      <c r="BB520">
        <v>9</v>
      </c>
    </row>
    <row r="521" spans="1:54" x14ac:dyDescent="0.2">
      <c r="A521" t="s">
        <v>1640</v>
      </c>
      <c r="B521" t="s">
        <v>1641</v>
      </c>
      <c r="C521" t="s">
        <v>1642</v>
      </c>
      <c r="D521" t="s">
        <v>1643</v>
      </c>
      <c r="E521" t="s">
        <v>1643</v>
      </c>
      <c r="G521" t="s">
        <v>56</v>
      </c>
      <c r="H521" t="s">
        <v>58</v>
      </c>
      <c r="I521" t="s">
        <v>1622</v>
      </c>
      <c r="J521" t="s">
        <v>1622</v>
      </c>
      <c r="K521" t="s">
        <v>7165</v>
      </c>
      <c r="L521" t="s">
        <v>7165</v>
      </c>
      <c r="M521" s="1" t="s">
        <v>603</v>
      </c>
      <c r="N521" t="e">
        <v>#N/A</v>
      </c>
      <c r="O521" s="1" t="e">
        <v>#N/A</v>
      </c>
      <c r="P521" s="1" t="e">
        <v>#N/A</v>
      </c>
      <c r="Q521" s="11" t="s">
        <v>7211</v>
      </c>
      <c r="R521" s="1" t="e">
        <v>#N/A</v>
      </c>
      <c r="S521" s="1" t="e">
        <v>#N/A</v>
      </c>
      <c r="T521" s="1" t="e">
        <v>#N/A</v>
      </c>
      <c r="U521" s="1" t="e">
        <v>#N/A</v>
      </c>
      <c r="V521" t="s">
        <v>1644</v>
      </c>
      <c r="W521" t="s">
        <v>1643</v>
      </c>
      <c r="X521" t="s">
        <v>68</v>
      </c>
      <c r="Y521" t="s">
        <v>1645</v>
      </c>
      <c r="Z521" t="s">
        <v>1646</v>
      </c>
      <c r="AA521" t="s">
        <v>1647</v>
      </c>
      <c r="AB521" t="s">
        <v>1448</v>
      </c>
      <c r="AC521" t="s">
        <v>73</v>
      </c>
      <c r="AD521" t="s">
        <v>1648</v>
      </c>
      <c r="AE521" t="s">
        <v>75</v>
      </c>
      <c r="AF521" t="s">
        <v>76</v>
      </c>
      <c r="AG521" t="s">
        <v>77</v>
      </c>
      <c r="AH521" t="s">
        <v>630</v>
      </c>
      <c r="AI521" t="s">
        <v>615</v>
      </c>
      <c r="AJ521" t="s">
        <v>616</v>
      </c>
      <c r="AK521" t="s">
        <v>81</v>
      </c>
      <c r="AL521" t="s">
        <v>82</v>
      </c>
      <c r="AM521" t="s">
        <v>83</v>
      </c>
      <c r="AN521" s="3">
        <v>41197</v>
      </c>
      <c r="AO521">
        <v>144781</v>
      </c>
      <c r="AP521">
        <v>5372441</v>
      </c>
      <c r="AQ521">
        <v>266</v>
      </c>
      <c r="AR521" t="s">
        <v>84</v>
      </c>
      <c r="AS521">
        <v>562</v>
      </c>
      <c r="AT521" t="s">
        <v>85</v>
      </c>
      <c r="AU521" t="s">
        <v>86</v>
      </c>
      <c r="AV521">
        <v>562</v>
      </c>
      <c r="AW521" t="s">
        <v>1649</v>
      </c>
      <c r="AX521" t="s">
        <v>88</v>
      </c>
      <c r="AZ521" t="s">
        <v>918</v>
      </c>
      <c r="BA521">
        <v>0</v>
      </c>
      <c r="BB521">
        <v>0</v>
      </c>
    </row>
    <row r="522" spans="1:54" x14ac:dyDescent="0.2">
      <c r="A522" t="s">
        <v>1797</v>
      </c>
      <c r="B522" t="s">
        <v>1798</v>
      </c>
      <c r="C522" t="s">
        <v>1799</v>
      </c>
      <c r="D522" t="s">
        <v>1800</v>
      </c>
      <c r="E522" t="s">
        <v>1800</v>
      </c>
      <c r="G522" t="s">
        <v>56</v>
      </c>
      <c r="H522" t="s">
        <v>58</v>
      </c>
      <c r="I522" s="4" t="s">
        <v>1341</v>
      </c>
      <c r="J522" s="4" t="s">
        <v>1341</v>
      </c>
      <c r="K522" t="s">
        <v>7165</v>
      </c>
      <c r="L522" t="s">
        <v>7165</v>
      </c>
      <c r="M522" s="1" t="s">
        <v>603</v>
      </c>
      <c r="N522" t="e">
        <v>#N/A</v>
      </c>
      <c r="O522" s="1" t="e">
        <v>#N/A</v>
      </c>
      <c r="P522" s="1" t="e">
        <v>#N/A</v>
      </c>
      <c r="Q522" s="11" t="s">
        <v>7211</v>
      </c>
      <c r="R522" s="1" t="e">
        <v>#N/A</v>
      </c>
      <c r="S522" s="1" t="e">
        <v>#N/A</v>
      </c>
      <c r="T522" s="1" t="e">
        <v>#N/A</v>
      </c>
      <c r="U522" s="1" t="e">
        <v>#N/A</v>
      </c>
      <c r="V522" t="s">
        <v>1801</v>
      </c>
      <c r="W522" t="s">
        <v>1800</v>
      </c>
      <c r="X522" t="s">
        <v>68</v>
      </c>
      <c r="Y522" t="s">
        <v>1802</v>
      </c>
      <c r="Z522" t="s">
        <v>1803</v>
      </c>
      <c r="AA522" t="s">
        <v>1804</v>
      </c>
      <c r="AB522" t="s">
        <v>1448</v>
      </c>
      <c r="AC522" t="s">
        <v>73</v>
      </c>
      <c r="AD522" t="s">
        <v>1805</v>
      </c>
      <c r="AE522" t="s">
        <v>75</v>
      </c>
      <c r="AF522" t="s">
        <v>76</v>
      </c>
      <c r="AG522" t="s">
        <v>77</v>
      </c>
      <c r="AH522" t="s">
        <v>1335</v>
      </c>
      <c r="AI522" t="s">
        <v>615</v>
      </c>
      <c r="AJ522" t="s">
        <v>616</v>
      </c>
      <c r="AK522" t="s">
        <v>81</v>
      </c>
      <c r="AL522" t="s">
        <v>82</v>
      </c>
      <c r="AM522" t="s">
        <v>83</v>
      </c>
      <c r="AN522" s="3">
        <v>40981</v>
      </c>
      <c r="AO522">
        <v>127746</v>
      </c>
      <c r="AP522">
        <v>5361534</v>
      </c>
      <c r="AQ522">
        <v>208</v>
      </c>
      <c r="AR522" t="s">
        <v>84</v>
      </c>
      <c r="AS522">
        <v>562</v>
      </c>
      <c r="AT522" t="s">
        <v>85</v>
      </c>
      <c r="AU522" t="s">
        <v>86</v>
      </c>
      <c r="AV522">
        <v>562</v>
      </c>
      <c r="AW522" t="s">
        <v>1806</v>
      </c>
      <c r="AX522" t="s">
        <v>88</v>
      </c>
      <c r="AZ522" t="s">
        <v>1407</v>
      </c>
      <c r="BA522">
        <v>0</v>
      </c>
      <c r="BB522">
        <v>9</v>
      </c>
    </row>
    <row r="523" spans="1:54" x14ac:dyDescent="0.2">
      <c r="A523" t="s">
        <v>1606</v>
      </c>
      <c r="B523" t="s">
        <v>1607</v>
      </c>
      <c r="C523" t="s">
        <v>1608</v>
      </c>
      <c r="D523" t="s">
        <v>1609</v>
      </c>
      <c r="E523" t="s">
        <v>1609</v>
      </c>
      <c r="G523" t="s">
        <v>56</v>
      </c>
      <c r="H523" t="s">
        <v>58</v>
      </c>
      <c r="I523" t="s">
        <v>1610</v>
      </c>
      <c r="J523" t="s">
        <v>1610</v>
      </c>
      <c r="K523" t="s">
        <v>7165</v>
      </c>
      <c r="L523" t="s">
        <v>7165</v>
      </c>
      <c r="M523" s="1" t="s">
        <v>603</v>
      </c>
      <c r="N523" t="s">
        <v>649</v>
      </c>
      <c r="O523" s="1" t="s">
        <v>875</v>
      </c>
      <c r="P523" s="1" t="s">
        <v>64</v>
      </c>
      <c r="Q523" s="11" t="s">
        <v>7220</v>
      </c>
      <c r="R523" s="1">
        <v>11</v>
      </c>
      <c r="S523" s="1">
        <v>2124</v>
      </c>
      <c r="T523" s="1" t="s">
        <v>169</v>
      </c>
      <c r="U523" s="1" t="s">
        <v>170</v>
      </c>
      <c r="V523" t="s">
        <v>1611</v>
      </c>
      <c r="W523" t="s">
        <v>1612</v>
      </c>
      <c r="X523" t="s">
        <v>68</v>
      </c>
      <c r="Y523" t="s">
        <v>1613</v>
      </c>
      <c r="Z523" t="s">
        <v>1614</v>
      </c>
      <c r="AA523" t="s">
        <v>1615</v>
      </c>
      <c r="AB523" t="s">
        <v>1448</v>
      </c>
      <c r="AC523" t="s">
        <v>73</v>
      </c>
      <c r="AD523" t="s">
        <v>1616</v>
      </c>
      <c r="AE523" t="s">
        <v>75</v>
      </c>
      <c r="AF523" t="s">
        <v>76</v>
      </c>
      <c r="AG523" t="s">
        <v>77</v>
      </c>
      <c r="AH523" t="s">
        <v>780</v>
      </c>
      <c r="AI523" t="s">
        <v>615</v>
      </c>
      <c r="AJ523" t="s">
        <v>616</v>
      </c>
      <c r="AK523" t="s">
        <v>81</v>
      </c>
      <c r="AL523" t="s">
        <v>82</v>
      </c>
      <c r="AM523" t="s">
        <v>83</v>
      </c>
      <c r="AN523" s="3">
        <v>41197</v>
      </c>
      <c r="AO523">
        <v>201432</v>
      </c>
      <c r="AP523">
        <v>5325463</v>
      </c>
      <c r="AQ523">
        <v>223</v>
      </c>
      <c r="AR523" t="s">
        <v>84</v>
      </c>
      <c r="AS523">
        <v>562</v>
      </c>
      <c r="AT523" t="s">
        <v>85</v>
      </c>
      <c r="AU523" t="s">
        <v>86</v>
      </c>
      <c r="AV523">
        <v>562</v>
      </c>
      <c r="AW523" t="s">
        <v>1617</v>
      </c>
      <c r="AX523" t="s">
        <v>88</v>
      </c>
      <c r="AZ523" t="s">
        <v>841</v>
      </c>
      <c r="BA523">
        <v>26</v>
      </c>
      <c r="BB523">
        <v>18</v>
      </c>
    </row>
    <row r="524" spans="1:54" x14ac:dyDescent="0.2">
      <c r="A524" t="s">
        <v>1440</v>
      </c>
      <c r="B524" t="s">
        <v>1441</v>
      </c>
      <c r="C524" t="s">
        <v>1442</v>
      </c>
      <c r="D524" t="s">
        <v>1443</v>
      </c>
      <c r="E524" t="s">
        <v>1443</v>
      </c>
      <c r="G524" t="s">
        <v>56</v>
      </c>
      <c r="H524" t="s">
        <v>58</v>
      </c>
      <c r="I524" s="4" t="s">
        <v>1341</v>
      </c>
      <c r="J524" s="4" t="s">
        <v>1341</v>
      </c>
      <c r="K524" t="s">
        <v>7165</v>
      </c>
      <c r="L524" t="s">
        <v>7165</v>
      </c>
      <c r="M524" s="1" t="s">
        <v>603</v>
      </c>
      <c r="N524" t="e">
        <v>#N/A</v>
      </c>
      <c r="O524" s="1" t="e">
        <v>#N/A</v>
      </c>
      <c r="P524" s="1" t="e">
        <v>#N/A</v>
      </c>
      <c r="Q524" s="11" t="s">
        <v>7211</v>
      </c>
      <c r="R524" s="1" t="e">
        <v>#N/A</v>
      </c>
      <c r="S524" s="1" t="e">
        <v>#N/A</v>
      </c>
      <c r="T524" s="1" t="e">
        <v>#N/A</v>
      </c>
      <c r="U524" s="1" t="e">
        <v>#N/A</v>
      </c>
      <c r="V524" t="s">
        <v>1444</v>
      </c>
      <c r="W524" t="s">
        <v>1443</v>
      </c>
      <c r="X524" t="s">
        <v>68</v>
      </c>
      <c r="Y524" t="s">
        <v>1445</v>
      </c>
      <c r="Z524" t="s">
        <v>1446</v>
      </c>
      <c r="AA524" t="s">
        <v>1447</v>
      </c>
      <c r="AB524" t="s">
        <v>1448</v>
      </c>
      <c r="AC524" t="s">
        <v>73</v>
      </c>
      <c r="AD524" t="s">
        <v>1449</v>
      </c>
      <c r="AE524" t="s">
        <v>75</v>
      </c>
      <c r="AF524" t="s">
        <v>76</v>
      </c>
      <c r="AG524" t="s">
        <v>77</v>
      </c>
      <c r="AH524" t="s">
        <v>1335</v>
      </c>
      <c r="AI524" t="s">
        <v>615</v>
      </c>
      <c r="AJ524" t="s">
        <v>616</v>
      </c>
      <c r="AK524" t="s">
        <v>81</v>
      </c>
      <c r="AL524" t="s">
        <v>82</v>
      </c>
      <c r="AM524" t="s">
        <v>83</v>
      </c>
      <c r="AN524" s="3">
        <v>40964</v>
      </c>
      <c r="AO524">
        <v>145290</v>
      </c>
      <c r="AP524">
        <v>5185480</v>
      </c>
      <c r="AQ524">
        <v>180</v>
      </c>
      <c r="AR524" t="s">
        <v>84</v>
      </c>
      <c r="AS524">
        <v>562</v>
      </c>
      <c r="AT524" t="s">
        <v>85</v>
      </c>
      <c r="AU524" t="s">
        <v>86</v>
      </c>
      <c r="AV524">
        <v>562</v>
      </c>
      <c r="AW524" t="s">
        <v>1450</v>
      </c>
      <c r="AX524" t="s">
        <v>88</v>
      </c>
      <c r="AZ524" t="s">
        <v>918</v>
      </c>
      <c r="BA524">
        <v>1</v>
      </c>
      <c r="BB524">
        <v>3</v>
      </c>
    </row>
    <row r="525" spans="1:54" x14ac:dyDescent="0.2">
      <c r="A525" t="s">
        <v>1451</v>
      </c>
      <c r="B525" t="s">
        <v>1452</v>
      </c>
      <c r="C525" t="s">
        <v>1453</v>
      </c>
      <c r="D525" t="s">
        <v>1454</v>
      </c>
      <c r="E525" t="s">
        <v>1454</v>
      </c>
      <c r="G525" t="s">
        <v>56</v>
      </c>
      <c r="H525" t="s">
        <v>58</v>
      </c>
      <c r="I525" s="4" t="s">
        <v>1341</v>
      </c>
      <c r="J525" s="4" t="s">
        <v>1341</v>
      </c>
      <c r="K525" t="s">
        <v>7165</v>
      </c>
      <c r="L525" t="s">
        <v>7165</v>
      </c>
      <c r="M525" s="1" t="s">
        <v>603</v>
      </c>
      <c r="N525" t="e">
        <v>#N/A</v>
      </c>
      <c r="O525" s="1" t="e">
        <v>#N/A</v>
      </c>
      <c r="P525" s="1" t="e">
        <v>#N/A</v>
      </c>
      <c r="Q525" s="11" t="s">
        <v>7211</v>
      </c>
      <c r="R525" s="1" t="e">
        <v>#N/A</v>
      </c>
      <c r="S525" s="1" t="e">
        <v>#N/A</v>
      </c>
      <c r="T525" s="1" t="e">
        <v>#N/A</v>
      </c>
      <c r="U525" s="1" t="e">
        <v>#N/A</v>
      </c>
      <c r="V525" t="s">
        <v>1455</v>
      </c>
      <c r="W525" t="s">
        <v>1454</v>
      </c>
      <c r="X525" t="s">
        <v>68</v>
      </c>
      <c r="Y525" t="s">
        <v>1456</v>
      </c>
      <c r="Z525" t="s">
        <v>1457</v>
      </c>
      <c r="AA525" t="s">
        <v>1458</v>
      </c>
      <c r="AB525" t="s">
        <v>1448</v>
      </c>
      <c r="AC525" t="s">
        <v>73</v>
      </c>
      <c r="AD525" t="s">
        <v>1459</v>
      </c>
      <c r="AE525" t="s">
        <v>75</v>
      </c>
      <c r="AF525" t="s">
        <v>76</v>
      </c>
      <c r="AG525" t="s">
        <v>77</v>
      </c>
      <c r="AH525" t="s">
        <v>1335</v>
      </c>
      <c r="AI525" t="s">
        <v>615</v>
      </c>
      <c r="AJ525" t="s">
        <v>616</v>
      </c>
      <c r="AK525" t="s">
        <v>81</v>
      </c>
      <c r="AL525" t="s">
        <v>82</v>
      </c>
      <c r="AM525" t="s">
        <v>83</v>
      </c>
      <c r="AN525" s="3">
        <v>40964</v>
      </c>
      <c r="AO525">
        <v>115775</v>
      </c>
      <c r="AP525">
        <v>5400275</v>
      </c>
      <c r="AQ525">
        <v>211</v>
      </c>
      <c r="AR525" t="s">
        <v>84</v>
      </c>
      <c r="AS525">
        <v>562</v>
      </c>
      <c r="AT525" t="s">
        <v>85</v>
      </c>
      <c r="AU525" t="s">
        <v>86</v>
      </c>
      <c r="AV525">
        <v>562</v>
      </c>
      <c r="AW525" t="s">
        <v>1460</v>
      </c>
      <c r="AX525" t="s">
        <v>88</v>
      </c>
      <c r="AZ525" t="s">
        <v>918</v>
      </c>
      <c r="BA525">
        <v>1</v>
      </c>
      <c r="BB525">
        <v>3</v>
      </c>
    </row>
    <row r="526" spans="1:54" x14ac:dyDescent="0.2">
      <c r="A526" t="s">
        <v>1703</v>
      </c>
      <c r="B526" t="s">
        <v>1704</v>
      </c>
      <c r="C526" t="s">
        <v>1705</v>
      </c>
      <c r="D526" t="s">
        <v>1706</v>
      </c>
      <c r="E526" t="s">
        <v>1706</v>
      </c>
      <c r="G526" t="s">
        <v>56</v>
      </c>
      <c r="H526" t="s">
        <v>58</v>
      </c>
      <c r="I526" t="s">
        <v>1696</v>
      </c>
      <c r="J526" t="s">
        <v>1696</v>
      </c>
      <c r="K526" t="s">
        <v>7165</v>
      </c>
      <c r="L526" t="s">
        <v>7165</v>
      </c>
      <c r="M526" s="1" t="s">
        <v>603</v>
      </c>
      <c r="N526" t="e">
        <v>#N/A</v>
      </c>
      <c r="O526" s="1" t="e">
        <v>#N/A</v>
      </c>
      <c r="P526" s="1" t="e">
        <v>#N/A</v>
      </c>
      <c r="Q526" s="11" t="s">
        <v>7220</v>
      </c>
      <c r="R526" s="1" t="e">
        <v>#N/A</v>
      </c>
      <c r="S526" s="1" t="e">
        <v>#N/A</v>
      </c>
      <c r="T526" s="1" t="e">
        <v>#N/A</v>
      </c>
      <c r="U526" s="1" t="e">
        <v>#N/A</v>
      </c>
      <c r="V526" t="s">
        <v>1707</v>
      </c>
      <c r="W526" t="s">
        <v>1706</v>
      </c>
      <c r="X526" t="s">
        <v>68</v>
      </c>
      <c r="Y526" t="s">
        <v>1708</v>
      </c>
      <c r="Z526" t="s">
        <v>1709</v>
      </c>
      <c r="AA526" t="s">
        <v>1710</v>
      </c>
      <c r="AB526" t="s">
        <v>1448</v>
      </c>
      <c r="AC526" t="s">
        <v>73</v>
      </c>
      <c r="AD526" t="s">
        <v>1711</v>
      </c>
      <c r="AE526" t="s">
        <v>75</v>
      </c>
      <c r="AF526" t="s">
        <v>76</v>
      </c>
      <c r="AG526" t="s">
        <v>77</v>
      </c>
      <c r="AH526" t="s">
        <v>792</v>
      </c>
      <c r="AI526" t="s">
        <v>615</v>
      </c>
      <c r="AJ526" t="s">
        <v>616</v>
      </c>
      <c r="AK526" t="s">
        <v>81</v>
      </c>
      <c r="AL526" t="s">
        <v>82</v>
      </c>
      <c r="AM526" t="s">
        <v>83</v>
      </c>
      <c r="AN526" s="3">
        <v>41331</v>
      </c>
      <c r="AO526">
        <v>181511</v>
      </c>
      <c r="AP526">
        <v>5412491</v>
      </c>
      <c r="AQ526">
        <v>184</v>
      </c>
      <c r="AR526" t="s">
        <v>84</v>
      </c>
      <c r="AS526">
        <v>562</v>
      </c>
      <c r="AT526" t="s">
        <v>85</v>
      </c>
      <c r="AU526" t="s">
        <v>86</v>
      </c>
      <c r="AV526">
        <v>562</v>
      </c>
      <c r="AW526" t="s">
        <v>1712</v>
      </c>
      <c r="AX526" t="s">
        <v>88</v>
      </c>
      <c r="AZ526" t="s">
        <v>841</v>
      </c>
      <c r="BA526">
        <v>0</v>
      </c>
      <c r="BB526">
        <v>0</v>
      </c>
    </row>
    <row r="527" spans="1:54" x14ac:dyDescent="0.2">
      <c r="A527" t="s">
        <v>1829</v>
      </c>
      <c r="B527" t="s">
        <v>1830</v>
      </c>
      <c r="C527" t="s">
        <v>1831</v>
      </c>
      <c r="D527" t="s">
        <v>1832</v>
      </c>
      <c r="E527" t="s">
        <v>1832</v>
      </c>
      <c r="G527" t="s">
        <v>56</v>
      </c>
      <c r="H527" t="s">
        <v>58</v>
      </c>
      <c r="I527" t="s">
        <v>1821</v>
      </c>
      <c r="J527" t="s">
        <v>1821</v>
      </c>
      <c r="K527" t="s">
        <v>7165</v>
      </c>
      <c r="L527" t="s">
        <v>7165</v>
      </c>
      <c r="M527" s="1" t="s">
        <v>603</v>
      </c>
      <c r="N527" t="e">
        <v>#N/A</v>
      </c>
      <c r="O527" s="1" t="e">
        <v>#N/A</v>
      </c>
      <c r="P527" s="1" t="e">
        <v>#N/A</v>
      </c>
      <c r="Q527" s="11" t="s">
        <v>7211</v>
      </c>
      <c r="R527" s="1" t="e">
        <v>#N/A</v>
      </c>
      <c r="S527" s="1" t="e">
        <v>#N/A</v>
      </c>
      <c r="T527" s="1" t="e">
        <v>#N/A</v>
      </c>
      <c r="U527" s="1" t="e">
        <v>#N/A</v>
      </c>
      <c r="V527" t="s">
        <v>1833</v>
      </c>
      <c r="W527" t="s">
        <v>1832</v>
      </c>
      <c r="X527" t="s">
        <v>68</v>
      </c>
      <c r="Y527" t="s">
        <v>1834</v>
      </c>
      <c r="Z527" t="s">
        <v>1835</v>
      </c>
      <c r="AA527" t="s">
        <v>1836</v>
      </c>
      <c r="AB527" t="s">
        <v>1333</v>
      </c>
      <c r="AC527" t="s">
        <v>73</v>
      </c>
      <c r="AD527" t="s">
        <v>1837</v>
      </c>
      <c r="AE527" t="s">
        <v>75</v>
      </c>
      <c r="AF527" t="s">
        <v>76</v>
      </c>
      <c r="AG527" t="s">
        <v>77</v>
      </c>
      <c r="AH527" t="s">
        <v>905</v>
      </c>
      <c r="AI527" t="s">
        <v>615</v>
      </c>
      <c r="AJ527" t="s">
        <v>616</v>
      </c>
      <c r="AK527" t="s">
        <v>81</v>
      </c>
      <c r="AL527" t="s">
        <v>82</v>
      </c>
      <c r="AM527" t="s">
        <v>83</v>
      </c>
      <c r="AN527" s="3">
        <v>41257</v>
      </c>
      <c r="AO527">
        <v>146675</v>
      </c>
      <c r="AP527">
        <v>5355600</v>
      </c>
      <c r="AQ527">
        <v>229</v>
      </c>
      <c r="AR527" t="s">
        <v>84</v>
      </c>
      <c r="AS527">
        <v>562</v>
      </c>
      <c r="AT527" t="s">
        <v>85</v>
      </c>
      <c r="AU527" t="s">
        <v>86</v>
      </c>
      <c r="AV527">
        <v>562</v>
      </c>
      <c r="AW527" t="s">
        <v>1838</v>
      </c>
      <c r="AX527" t="s">
        <v>88</v>
      </c>
      <c r="AZ527" t="s">
        <v>918</v>
      </c>
      <c r="BA527">
        <v>20</v>
      </c>
      <c r="BB527">
        <v>5</v>
      </c>
    </row>
    <row r="528" spans="1:54" x14ac:dyDescent="0.2">
      <c r="A528" t="s">
        <v>1323</v>
      </c>
      <c r="B528" t="s">
        <v>1324</v>
      </c>
      <c r="C528" t="s">
        <v>1325</v>
      </c>
      <c r="D528" t="s">
        <v>1326</v>
      </c>
      <c r="E528" t="s">
        <v>1326</v>
      </c>
      <c r="G528" t="s">
        <v>56</v>
      </c>
      <c r="H528" t="s">
        <v>58</v>
      </c>
      <c r="I528" t="s">
        <v>1327</v>
      </c>
      <c r="J528" t="s">
        <v>1327</v>
      </c>
      <c r="K528" t="s">
        <v>7165</v>
      </c>
      <c r="L528" t="s">
        <v>7165</v>
      </c>
      <c r="M528" s="1" t="s">
        <v>603</v>
      </c>
      <c r="N528" t="s">
        <v>649</v>
      </c>
      <c r="O528" s="1" t="s">
        <v>605</v>
      </c>
      <c r="P528" s="1" t="s">
        <v>127</v>
      </c>
      <c r="Q528" s="11" t="s">
        <v>7194</v>
      </c>
      <c r="R528" s="1">
        <v>11</v>
      </c>
      <c r="S528" s="1">
        <v>2124</v>
      </c>
      <c r="T528" s="1" t="s">
        <v>169</v>
      </c>
      <c r="U528" s="1" t="s">
        <v>170</v>
      </c>
      <c r="V528" t="s">
        <v>1328</v>
      </c>
      <c r="W528" t="s">
        <v>1329</v>
      </c>
      <c r="X528" t="s">
        <v>68</v>
      </c>
      <c r="Y528" t="s">
        <v>1330</v>
      </c>
      <c r="Z528" t="s">
        <v>1331</v>
      </c>
      <c r="AA528" t="s">
        <v>1332</v>
      </c>
      <c r="AB528" t="s">
        <v>1333</v>
      </c>
      <c r="AC528" t="s">
        <v>73</v>
      </c>
      <c r="AD528" t="s">
        <v>1334</v>
      </c>
      <c r="AE528" t="s">
        <v>75</v>
      </c>
      <c r="AF528" t="s">
        <v>76</v>
      </c>
      <c r="AG528" t="s">
        <v>77</v>
      </c>
      <c r="AH528" t="s">
        <v>1335</v>
      </c>
      <c r="AI528" t="s">
        <v>615</v>
      </c>
      <c r="AJ528" t="s">
        <v>616</v>
      </c>
      <c r="AK528" t="s">
        <v>81</v>
      </c>
      <c r="AL528" t="s">
        <v>82</v>
      </c>
      <c r="AM528" t="s">
        <v>83</v>
      </c>
      <c r="AN528" s="3">
        <v>40956</v>
      </c>
      <c r="AO528">
        <v>133543</v>
      </c>
      <c r="AP528">
        <v>5385222</v>
      </c>
      <c r="AQ528">
        <v>232</v>
      </c>
      <c r="AR528" t="s">
        <v>84</v>
      </c>
      <c r="AS528">
        <v>562</v>
      </c>
      <c r="AT528" t="s">
        <v>85</v>
      </c>
      <c r="AU528" t="s">
        <v>86</v>
      </c>
      <c r="AV528">
        <v>562</v>
      </c>
      <c r="AW528" t="s">
        <v>1336</v>
      </c>
      <c r="AX528" t="s">
        <v>88</v>
      </c>
      <c r="AZ528" t="s">
        <v>918</v>
      </c>
      <c r="BA528">
        <v>0</v>
      </c>
      <c r="BB528">
        <v>1</v>
      </c>
    </row>
    <row r="529" spans="1:54" x14ac:dyDescent="0.2">
      <c r="A529" t="s">
        <v>1926</v>
      </c>
      <c r="B529" t="s">
        <v>1927</v>
      </c>
      <c r="C529" t="s">
        <v>1928</v>
      </c>
      <c r="D529" t="s">
        <v>1929</v>
      </c>
      <c r="E529" t="s">
        <v>1929</v>
      </c>
      <c r="G529" t="s">
        <v>56</v>
      </c>
      <c r="H529" t="s">
        <v>58</v>
      </c>
      <c r="I529" t="s">
        <v>1918</v>
      </c>
      <c r="J529" t="s">
        <v>1918</v>
      </c>
      <c r="K529" t="s">
        <v>7167</v>
      </c>
      <c r="L529" t="s">
        <v>7167</v>
      </c>
      <c r="M529" s="1" t="s">
        <v>603</v>
      </c>
      <c r="N529" t="s">
        <v>649</v>
      </c>
      <c r="O529" s="1" t="s">
        <v>605</v>
      </c>
      <c r="P529" s="1" t="s">
        <v>127</v>
      </c>
      <c r="Q529" s="11" t="s">
        <v>7211</v>
      </c>
      <c r="R529" s="1">
        <v>11</v>
      </c>
      <c r="S529" s="1">
        <v>2124</v>
      </c>
      <c r="T529" s="1" t="s">
        <v>169</v>
      </c>
      <c r="U529" s="1" t="s">
        <v>170</v>
      </c>
      <c r="V529" t="s">
        <v>1930</v>
      </c>
      <c r="W529" t="s">
        <v>1931</v>
      </c>
      <c r="X529" t="s">
        <v>68</v>
      </c>
      <c r="Y529" t="s">
        <v>1932</v>
      </c>
      <c r="Z529" t="s">
        <v>1933</v>
      </c>
      <c r="AA529" t="s">
        <v>1934</v>
      </c>
      <c r="AB529" t="s">
        <v>1333</v>
      </c>
      <c r="AC529" t="s">
        <v>73</v>
      </c>
      <c r="AD529" t="s">
        <v>1935</v>
      </c>
      <c r="AE529" t="s">
        <v>75</v>
      </c>
      <c r="AF529" t="s">
        <v>76</v>
      </c>
      <c r="AG529" t="s">
        <v>77</v>
      </c>
      <c r="AH529" t="s">
        <v>669</v>
      </c>
      <c r="AI529" t="s">
        <v>615</v>
      </c>
      <c r="AJ529" t="s">
        <v>616</v>
      </c>
      <c r="AK529" t="s">
        <v>81</v>
      </c>
      <c r="AL529" t="s">
        <v>82</v>
      </c>
      <c r="AM529" t="s">
        <v>83</v>
      </c>
      <c r="AN529" s="3">
        <v>41536</v>
      </c>
      <c r="AO529">
        <v>160336</v>
      </c>
      <c r="AP529">
        <v>5402534</v>
      </c>
      <c r="AQ529">
        <v>155</v>
      </c>
      <c r="AR529" t="s">
        <v>84</v>
      </c>
      <c r="AS529">
        <v>562</v>
      </c>
      <c r="AT529" t="s">
        <v>85</v>
      </c>
      <c r="AU529" t="s">
        <v>86</v>
      </c>
      <c r="AV529">
        <v>562</v>
      </c>
      <c r="AW529" t="s">
        <v>1936</v>
      </c>
      <c r="AX529" t="s">
        <v>88</v>
      </c>
      <c r="AZ529" t="s">
        <v>659</v>
      </c>
      <c r="BA529">
        <v>0</v>
      </c>
      <c r="BB529">
        <v>0</v>
      </c>
    </row>
    <row r="530" spans="1:54" x14ac:dyDescent="0.2">
      <c r="A530" t="s">
        <v>1485</v>
      </c>
      <c r="B530" t="s">
        <v>1486</v>
      </c>
      <c r="C530" t="s">
        <v>1476</v>
      </c>
      <c r="D530" t="s">
        <v>1487</v>
      </c>
      <c r="E530" t="s">
        <v>1487</v>
      </c>
      <c r="G530" t="s">
        <v>56</v>
      </c>
      <c r="H530" t="s">
        <v>58</v>
      </c>
      <c r="I530" t="s">
        <v>1488</v>
      </c>
      <c r="J530" t="s">
        <v>1488</v>
      </c>
      <c r="K530" t="s">
        <v>7165</v>
      </c>
      <c r="L530" t="s">
        <v>7165</v>
      </c>
      <c r="M530" s="1" t="s">
        <v>603</v>
      </c>
      <c r="N530" t="s">
        <v>649</v>
      </c>
      <c r="O530" s="1" t="s">
        <v>605</v>
      </c>
      <c r="P530" s="1" t="s">
        <v>127</v>
      </c>
      <c r="Q530" s="11" t="s">
        <v>7194</v>
      </c>
      <c r="R530" s="1">
        <v>11</v>
      </c>
      <c r="S530" s="1">
        <v>2124</v>
      </c>
      <c r="T530" s="1" t="s">
        <v>169</v>
      </c>
      <c r="U530" s="1" t="s">
        <v>170</v>
      </c>
      <c r="V530" t="s">
        <v>1489</v>
      </c>
      <c r="W530" t="s">
        <v>1490</v>
      </c>
      <c r="X530" t="s">
        <v>68</v>
      </c>
      <c r="Y530" t="s">
        <v>1491</v>
      </c>
      <c r="Z530" t="s">
        <v>1492</v>
      </c>
      <c r="AA530" t="s">
        <v>1493</v>
      </c>
      <c r="AB530" t="s">
        <v>1333</v>
      </c>
      <c r="AC530" t="s">
        <v>73</v>
      </c>
      <c r="AD530" t="s">
        <v>1494</v>
      </c>
      <c r="AE530" t="s">
        <v>75</v>
      </c>
      <c r="AF530" t="s">
        <v>76</v>
      </c>
      <c r="AG530" t="s">
        <v>77</v>
      </c>
      <c r="AH530" t="s">
        <v>669</v>
      </c>
      <c r="AI530" t="s">
        <v>615</v>
      </c>
      <c r="AJ530" t="s">
        <v>616</v>
      </c>
      <c r="AK530" t="s">
        <v>81</v>
      </c>
      <c r="AL530" t="s">
        <v>82</v>
      </c>
      <c r="AM530" t="s">
        <v>83</v>
      </c>
      <c r="AN530" s="3">
        <v>40980</v>
      </c>
      <c r="AO530">
        <v>120775</v>
      </c>
      <c r="AP530">
        <v>5358534</v>
      </c>
      <c r="AQ530">
        <v>233</v>
      </c>
      <c r="AR530" t="s">
        <v>84</v>
      </c>
      <c r="AS530">
        <v>562</v>
      </c>
      <c r="AT530" t="s">
        <v>85</v>
      </c>
      <c r="AU530" t="s">
        <v>86</v>
      </c>
      <c r="AV530">
        <v>562</v>
      </c>
      <c r="AW530" t="s">
        <v>1495</v>
      </c>
      <c r="AX530" t="s">
        <v>88</v>
      </c>
      <c r="AZ530" t="s">
        <v>841</v>
      </c>
      <c r="BA530">
        <v>0</v>
      </c>
      <c r="BB530">
        <v>0</v>
      </c>
    </row>
    <row r="531" spans="1:54" x14ac:dyDescent="0.2">
      <c r="A531" t="s">
        <v>1817</v>
      </c>
      <c r="B531" t="s">
        <v>1818</v>
      </c>
      <c r="C531" t="s">
        <v>1819</v>
      </c>
      <c r="D531" t="s">
        <v>1820</v>
      </c>
      <c r="E531" t="s">
        <v>1820</v>
      </c>
      <c r="G531" t="s">
        <v>56</v>
      </c>
      <c r="H531" t="s">
        <v>58</v>
      </c>
      <c r="I531" t="s">
        <v>1821</v>
      </c>
      <c r="J531" t="s">
        <v>1821</v>
      </c>
      <c r="K531" t="s">
        <v>7165</v>
      </c>
      <c r="L531" t="s">
        <v>7165</v>
      </c>
      <c r="M531" s="1" t="s">
        <v>603</v>
      </c>
      <c r="N531" t="s">
        <v>649</v>
      </c>
      <c r="O531" s="1" t="s">
        <v>875</v>
      </c>
      <c r="P531" s="1" t="s">
        <v>64</v>
      </c>
      <c r="Q531" s="11" t="s">
        <v>7220</v>
      </c>
      <c r="R531" s="1">
        <v>11</v>
      </c>
      <c r="S531" s="1">
        <v>2124</v>
      </c>
      <c r="T531" s="1" t="s">
        <v>169</v>
      </c>
      <c r="U531" s="1" t="s">
        <v>170</v>
      </c>
      <c r="V531" t="s">
        <v>1822</v>
      </c>
      <c r="W531" t="s">
        <v>1823</v>
      </c>
      <c r="X531" t="s">
        <v>68</v>
      </c>
      <c r="Y531" t="s">
        <v>1824</v>
      </c>
      <c r="Z531" t="s">
        <v>1825</v>
      </c>
      <c r="AA531" t="s">
        <v>1826</v>
      </c>
      <c r="AB531" t="s">
        <v>1333</v>
      </c>
      <c r="AC531" t="s">
        <v>73</v>
      </c>
      <c r="AD531" t="s">
        <v>1827</v>
      </c>
      <c r="AE531" t="s">
        <v>75</v>
      </c>
      <c r="AF531" t="s">
        <v>76</v>
      </c>
      <c r="AG531" t="s">
        <v>77</v>
      </c>
      <c r="AH531" t="s">
        <v>780</v>
      </c>
      <c r="AI531" t="s">
        <v>615</v>
      </c>
      <c r="AJ531" t="s">
        <v>616</v>
      </c>
      <c r="AK531" t="s">
        <v>81</v>
      </c>
      <c r="AL531" t="s">
        <v>82</v>
      </c>
      <c r="AM531" t="s">
        <v>83</v>
      </c>
      <c r="AN531" s="3">
        <v>41259</v>
      </c>
      <c r="AO531">
        <v>156119</v>
      </c>
      <c r="AP531">
        <v>5352821</v>
      </c>
      <c r="AQ531">
        <v>231</v>
      </c>
      <c r="AR531" t="s">
        <v>84</v>
      </c>
      <c r="AS531">
        <v>562</v>
      </c>
      <c r="AT531" t="s">
        <v>85</v>
      </c>
      <c r="AU531" t="s">
        <v>86</v>
      </c>
      <c r="AV531">
        <v>562</v>
      </c>
      <c r="AW531" t="s">
        <v>1828</v>
      </c>
      <c r="AX531" t="s">
        <v>88</v>
      </c>
      <c r="AZ531" t="s">
        <v>659</v>
      </c>
      <c r="BA531">
        <v>17</v>
      </c>
      <c r="BB531">
        <v>20</v>
      </c>
    </row>
    <row r="532" spans="1:54" x14ac:dyDescent="0.2">
      <c r="A532" t="s">
        <v>1733</v>
      </c>
      <c r="B532" t="s">
        <v>1734</v>
      </c>
      <c r="C532" t="s">
        <v>1735</v>
      </c>
      <c r="D532" t="s">
        <v>1736</v>
      </c>
      <c r="E532" t="s">
        <v>1736</v>
      </c>
      <c r="G532" t="s">
        <v>56</v>
      </c>
      <c r="H532" t="s">
        <v>58</v>
      </c>
      <c r="I532" t="s">
        <v>1737</v>
      </c>
      <c r="J532" t="s">
        <v>1737</v>
      </c>
      <c r="K532" t="s">
        <v>7165</v>
      </c>
      <c r="L532" t="s">
        <v>7165</v>
      </c>
      <c r="M532" s="1" t="s">
        <v>603</v>
      </c>
      <c r="N532" t="s">
        <v>649</v>
      </c>
      <c r="O532" s="1" t="s">
        <v>605</v>
      </c>
      <c r="P532" s="1" t="s">
        <v>127</v>
      </c>
      <c r="Q532" s="11" t="s">
        <v>7211</v>
      </c>
      <c r="R532" s="1">
        <v>11</v>
      </c>
      <c r="S532" s="1">
        <v>2124</v>
      </c>
      <c r="T532" s="1" t="s">
        <v>169</v>
      </c>
      <c r="U532" s="1" t="s">
        <v>170</v>
      </c>
      <c r="V532" t="s">
        <v>1738</v>
      </c>
      <c r="W532" t="s">
        <v>1739</v>
      </c>
      <c r="X532" t="s">
        <v>68</v>
      </c>
      <c r="Y532" t="s">
        <v>1740</v>
      </c>
      <c r="Z532" t="s">
        <v>1741</v>
      </c>
      <c r="AA532" t="s">
        <v>1742</v>
      </c>
      <c r="AB532" t="s">
        <v>1333</v>
      </c>
      <c r="AC532" t="s">
        <v>73</v>
      </c>
      <c r="AD532" t="s">
        <v>1743</v>
      </c>
      <c r="AE532" t="s">
        <v>75</v>
      </c>
      <c r="AF532" t="s">
        <v>76</v>
      </c>
      <c r="AG532" t="s">
        <v>77</v>
      </c>
      <c r="AH532" t="s">
        <v>669</v>
      </c>
      <c r="AI532" t="s">
        <v>615</v>
      </c>
      <c r="AJ532" t="s">
        <v>616</v>
      </c>
      <c r="AK532" t="s">
        <v>81</v>
      </c>
      <c r="AL532" t="s">
        <v>82</v>
      </c>
      <c r="AM532" t="s">
        <v>83</v>
      </c>
      <c r="AN532" s="3">
        <v>41259</v>
      </c>
      <c r="AO532">
        <v>131631</v>
      </c>
      <c r="AP532">
        <v>5297328</v>
      </c>
      <c r="AQ532">
        <v>247</v>
      </c>
      <c r="AR532" t="s">
        <v>84</v>
      </c>
      <c r="AS532">
        <v>562</v>
      </c>
      <c r="AT532" t="s">
        <v>85</v>
      </c>
      <c r="AU532" t="s">
        <v>86</v>
      </c>
      <c r="AV532">
        <v>562</v>
      </c>
      <c r="AW532" t="s">
        <v>1744</v>
      </c>
      <c r="AX532" t="s">
        <v>88</v>
      </c>
      <c r="AZ532" t="s">
        <v>659</v>
      </c>
      <c r="BA532">
        <v>0</v>
      </c>
      <c r="BB532">
        <v>1</v>
      </c>
    </row>
    <row r="533" spans="1:54" x14ac:dyDescent="0.2">
      <c r="A533" t="s">
        <v>1672</v>
      </c>
      <c r="B533" t="s">
        <v>1673</v>
      </c>
      <c r="C533" t="s">
        <v>1674</v>
      </c>
      <c r="D533" t="s">
        <v>1675</v>
      </c>
      <c r="E533" t="s">
        <v>1675</v>
      </c>
      <c r="G533" t="s">
        <v>56</v>
      </c>
      <c r="H533" t="s">
        <v>58</v>
      </c>
      <c r="I533" t="s">
        <v>1654</v>
      </c>
      <c r="J533" t="s">
        <v>1654</v>
      </c>
      <c r="K533" t="s">
        <v>7165</v>
      </c>
      <c r="L533" t="s">
        <v>7165</v>
      </c>
      <c r="M533" s="1" t="s">
        <v>603</v>
      </c>
      <c r="N533" t="e">
        <v>#N/A</v>
      </c>
      <c r="O533" s="1" t="e">
        <v>#N/A</v>
      </c>
      <c r="P533" s="1" t="e">
        <v>#N/A</v>
      </c>
      <c r="Q533" s="11" t="s">
        <v>7211</v>
      </c>
      <c r="R533" s="1" t="e">
        <v>#N/A</v>
      </c>
      <c r="S533" s="1" t="e">
        <v>#N/A</v>
      </c>
      <c r="T533" s="1" t="e">
        <v>#N/A</v>
      </c>
      <c r="U533" s="1" t="e">
        <v>#N/A</v>
      </c>
      <c r="V533" t="s">
        <v>1676</v>
      </c>
      <c r="W533" t="s">
        <v>1675</v>
      </c>
      <c r="X533" t="s">
        <v>68</v>
      </c>
      <c r="Y533" t="s">
        <v>1677</v>
      </c>
      <c r="Z533" t="s">
        <v>1678</v>
      </c>
      <c r="AA533" t="s">
        <v>1679</v>
      </c>
      <c r="AB533" t="s">
        <v>1369</v>
      </c>
      <c r="AC533" t="s">
        <v>73</v>
      </c>
      <c r="AD533" t="s">
        <v>1680</v>
      </c>
      <c r="AE533" t="s">
        <v>75</v>
      </c>
      <c r="AF533" t="s">
        <v>76</v>
      </c>
      <c r="AG533" t="s">
        <v>77</v>
      </c>
      <c r="AH533" t="s">
        <v>929</v>
      </c>
      <c r="AI533" t="s">
        <v>615</v>
      </c>
      <c r="AJ533" t="s">
        <v>616</v>
      </c>
      <c r="AK533" t="s">
        <v>81</v>
      </c>
      <c r="AL533" t="s">
        <v>82</v>
      </c>
      <c r="AM533" t="s">
        <v>83</v>
      </c>
      <c r="AN533" s="3">
        <v>41255</v>
      </c>
      <c r="AO533">
        <v>145406</v>
      </c>
      <c r="AP533">
        <v>5371451</v>
      </c>
      <c r="AQ533">
        <v>255</v>
      </c>
      <c r="AR533" t="s">
        <v>84</v>
      </c>
      <c r="AS533">
        <v>562</v>
      </c>
      <c r="AT533" t="s">
        <v>85</v>
      </c>
      <c r="AU533" t="s">
        <v>86</v>
      </c>
      <c r="AV533">
        <v>562</v>
      </c>
      <c r="AW533" t="s">
        <v>1681</v>
      </c>
      <c r="AX533" t="s">
        <v>88</v>
      </c>
      <c r="AZ533" t="s">
        <v>918</v>
      </c>
      <c r="BA533">
        <v>0</v>
      </c>
      <c r="BB533">
        <v>0</v>
      </c>
    </row>
    <row r="534" spans="1:54" x14ac:dyDescent="0.2">
      <c r="A534" t="s">
        <v>1914</v>
      </c>
      <c r="B534" t="s">
        <v>1915</v>
      </c>
      <c r="C534" t="s">
        <v>1916</v>
      </c>
      <c r="D534" t="s">
        <v>1917</v>
      </c>
      <c r="E534" t="s">
        <v>1917</v>
      </c>
      <c r="G534" t="s">
        <v>56</v>
      </c>
      <c r="H534" t="s">
        <v>58</v>
      </c>
      <c r="I534" t="s">
        <v>1918</v>
      </c>
      <c r="J534" t="s">
        <v>1918</v>
      </c>
      <c r="K534" t="s">
        <v>7167</v>
      </c>
      <c r="L534" t="s">
        <v>7167</v>
      </c>
      <c r="M534" s="1" t="s">
        <v>603</v>
      </c>
      <c r="N534" t="s">
        <v>649</v>
      </c>
      <c r="O534" s="1" t="s">
        <v>605</v>
      </c>
      <c r="P534" s="1" t="s">
        <v>127</v>
      </c>
      <c r="Q534" s="11" t="s">
        <v>7211</v>
      </c>
      <c r="R534" s="1">
        <v>11</v>
      </c>
      <c r="S534" s="1">
        <v>2124</v>
      </c>
      <c r="T534" s="1" t="s">
        <v>169</v>
      </c>
      <c r="U534" s="1" t="s">
        <v>170</v>
      </c>
      <c r="V534" t="s">
        <v>1919</v>
      </c>
      <c r="W534" t="s">
        <v>1920</v>
      </c>
      <c r="X534" t="s">
        <v>68</v>
      </c>
      <c r="Y534" t="s">
        <v>1921</v>
      </c>
      <c r="Z534" t="s">
        <v>1922</v>
      </c>
      <c r="AA534" t="s">
        <v>1923</v>
      </c>
      <c r="AB534" t="s">
        <v>1369</v>
      </c>
      <c r="AC534" t="s">
        <v>73</v>
      </c>
      <c r="AD534" t="s">
        <v>1924</v>
      </c>
      <c r="AE534" t="s">
        <v>75</v>
      </c>
      <c r="AF534" t="s">
        <v>76</v>
      </c>
      <c r="AG534" t="s">
        <v>77</v>
      </c>
      <c r="AH534" t="s">
        <v>630</v>
      </c>
      <c r="AI534" t="s">
        <v>615</v>
      </c>
      <c r="AJ534" t="s">
        <v>616</v>
      </c>
      <c r="AK534" t="s">
        <v>81</v>
      </c>
      <c r="AL534" t="s">
        <v>82</v>
      </c>
      <c r="AM534" t="s">
        <v>83</v>
      </c>
      <c r="AN534" s="3">
        <v>41536</v>
      </c>
      <c r="AO534">
        <v>160336</v>
      </c>
      <c r="AP534">
        <v>5385942</v>
      </c>
      <c r="AQ534">
        <v>159</v>
      </c>
      <c r="AR534" t="s">
        <v>84</v>
      </c>
      <c r="AS534">
        <v>562</v>
      </c>
      <c r="AT534" t="s">
        <v>85</v>
      </c>
      <c r="AU534" t="s">
        <v>86</v>
      </c>
      <c r="AV534">
        <v>562</v>
      </c>
      <c r="AW534" t="s">
        <v>1925</v>
      </c>
      <c r="AX534" t="s">
        <v>88</v>
      </c>
      <c r="AZ534" t="s">
        <v>659</v>
      </c>
      <c r="BA534">
        <v>0</v>
      </c>
      <c r="BB534">
        <v>0</v>
      </c>
    </row>
    <row r="535" spans="1:54" x14ac:dyDescent="0.2">
      <c r="A535" t="s">
        <v>1361</v>
      </c>
      <c r="B535" t="s">
        <v>1362</v>
      </c>
      <c r="C535" t="s">
        <v>1363</v>
      </c>
      <c r="D535" t="s">
        <v>1364</v>
      </c>
      <c r="E535" t="s">
        <v>1364</v>
      </c>
      <c r="G535" t="s">
        <v>56</v>
      </c>
      <c r="H535" t="s">
        <v>58</v>
      </c>
      <c r="I535" s="4" t="s">
        <v>1341</v>
      </c>
      <c r="J535" s="4" t="s">
        <v>1341</v>
      </c>
      <c r="K535" t="s">
        <v>7165</v>
      </c>
      <c r="L535" t="s">
        <v>7165</v>
      </c>
      <c r="M535" s="1" t="s">
        <v>603</v>
      </c>
      <c r="N535" t="e">
        <v>#N/A</v>
      </c>
      <c r="O535" s="1" t="e">
        <v>#N/A</v>
      </c>
      <c r="P535" s="1" t="e">
        <v>#N/A</v>
      </c>
      <c r="Q535" s="11" t="s">
        <v>7194</v>
      </c>
      <c r="R535" s="1" t="e">
        <v>#N/A</v>
      </c>
      <c r="S535" s="1" t="e">
        <v>#N/A</v>
      </c>
      <c r="T535" s="1" t="e">
        <v>#N/A</v>
      </c>
      <c r="U535" s="1" t="e">
        <v>#N/A</v>
      </c>
      <c r="V535" t="s">
        <v>1365</v>
      </c>
      <c r="W535" t="s">
        <v>1364</v>
      </c>
      <c r="X535" t="s">
        <v>68</v>
      </c>
      <c r="Y535" t="s">
        <v>1366</v>
      </c>
      <c r="Z535" t="s">
        <v>1367</v>
      </c>
      <c r="AA535" t="s">
        <v>1368</v>
      </c>
      <c r="AB535" t="s">
        <v>1369</v>
      </c>
      <c r="AC535" t="s">
        <v>73</v>
      </c>
      <c r="AD535" t="s">
        <v>1370</v>
      </c>
      <c r="AE535" t="s">
        <v>75</v>
      </c>
      <c r="AF535" t="s">
        <v>76</v>
      </c>
      <c r="AG535" t="s">
        <v>77</v>
      </c>
      <c r="AH535" t="s">
        <v>1335</v>
      </c>
      <c r="AI535" t="s">
        <v>615</v>
      </c>
      <c r="AJ535" t="s">
        <v>616</v>
      </c>
      <c r="AK535" t="s">
        <v>81</v>
      </c>
      <c r="AL535" t="s">
        <v>82</v>
      </c>
      <c r="AM535" t="s">
        <v>83</v>
      </c>
      <c r="AN535" s="3">
        <v>40956</v>
      </c>
      <c r="AO535">
        <v>124149</v>
      </c>
      <c r="AP535">
        <v>5384085</v>
      </c>
      <c r="AQ535">
        <v>224</v>
      </c>
      <c r="AR535" t="s">
        <v>84</v>
      </c>
      <c r="AS535">
        <v>562</v>
      </c>
      <c r="AT535" t="s">
        <v>85</v>
      </c>
      <c r="AU535" t="s">
        <v>86</v>
      </c>
      <c r="AV535">
        <v>562</v>
      </c>
      <c r="AW535" t="s">
        <v>1371</v>
      </c>
      <c r="AX535" t="s">
        <v>88</v>
      </c>
      <c r="AZ535" t="s">
        <v>918</v>
      </c>
      <c r="BA535">
        <v>0</v>
      </c>
      <c r="BB535">
        <v>1</v>
      </c>
    </row>
    <row r="536" spans="1:54" x14ac:dyDescent="0.2">
      <c r="A536" t="s">
        <v>1972</v>
      </c>
      <c r="B536" t="s">
        <v>1973</v>
      </c>
      <c r="C536" t="s">
        <v>1974</v>
      </c>
      <c r="D536" t="s">
        <v>1975</v>
      </c>
      <c r="E536" t="s">
        <v>1975</v>
      </c>
      <c r="G536" t="s">
        <v>56</v>
      </c>
      <c r="H536" t="s">
        <v>58</v>
      </c>
      <c r="I536" t="s">
        <v>1941</v>
      </c>
      <c r="J536" t="s">
        <v>1941</v>
      </c>
      <c r="K536" t="s">
        <v>7167</v>
      </c>
      <c r="L536" t="s">
        <v>7167</v>
      </c>
      <c r="M536" s="1" t="s">
        <v>603</v>
      </c>
      <c r="N536">
        <v>0</v>
      </c>
      <c r="O536" s="1" t="s">
        <v>605</v>
      </c>
      <c r="P536" s="1" t="s">
        <v>127</v>
      </c>
      <c r="Q536" s="11" t="s">
        <v>7211</v>
      </c>
      <c r="R536" s="1">
        <v>11</v>
      </c>
      <c r="S536" s="1">
        <v>2124</v>
      </c>
      <c r="T536" s="1" t="s">
        <v>169</v>
      </c>
      <c r="U536" s="1" t="s">
        <v>170</v>
      </c>
      <c r="V536" t="s">
        <v>1976</v>
      </c>
      <c r="W536" t="s">
        <v>1977</v>
      </c>
      <c r="X536" t="s">
        <v>68</v>
      </c>
      <c r="Y536" t="s">
        <v>1978</v>
      </c>
      <c r="Z536" t="s">
        <v>1979</v>
      </c>
      <c r="AA536" t="s">
        <v>1980</v>
      </c>
      <c r="AB536" t="s">
        <v>1369</v>
      </c>
      <c r="AC536" t="s">
        <v>73</v>
      </c>
      <c r="AD536" t="s">
        <v>1981</v>
      </c>
      <c r="AE536" t="s">
        <v>75</v>
      </c>
      <c r="AF536" t="s">
        <v>76</v>
      </c>
      <c r="AG536" t="s">
        <v>77</v>
      </c>
      <c r="AH536" t="s">
        <v>669</v>
      </c>
      <c r="AI536" t="s">
        <v>615</v>
      </c>
      <c r="AJ536" t="s">
        <v>616</v>
      </c>
      <c r="AK536" t="s">
        <v>81</v>
      </c>
      <c r="AL536" t="s">
        <v>82</v>
      </c>
      <c r="AM536" t="s">
        <v>83</v>
      </c>
      <c r="AN536" s="3">
        <v>41541</v>
      </c>
      <c r="AO536">
        <v>155941</v>
      </c>
      <c r="AP536">
        <v>5404372</v>
      </c>
      <c r="AQ536">
        <v>167</v>
      </c>
      <c r="AR536" t="s">
        <v>84</v>
      </c>
      <c r="AS536">
        <v>562</v>
      </c>
      <c r="AT536" t="s">
        <v>85</v>
      </c>
      <c r="AU536" t="s">
        <v>86</v>
      </c>
      <c r="AV536">
        <v>562</v>
      </c>
      <c r="AW536" t="s">
        <v>1982</v>
      </c>
      <c r="AX536" t="s">
        <v>88</v>
      </c>
      <c r="AZ536" t="s">
        <v>659</v>
      </c>
      <c r="BA536">
        <v>2</v>
      </c>
      <c r="BB536">
        <v>2</v>
      </c>
    </row>
    <row r="537" spans="1:54" x14ac:dyDescent="0.2">
      <c r="A537" t="s">
        <v>1723</v>
      </c>
      <c r="B537" t="s">
        <v>1724</v>
      </c>
      <c r="C537" t="s">
        <v>1725</v>
      </c>
      <c r="D537" t="s">
        <v>1726</v>
      </c>
      <c r="E537" t="s">
        <v>1726</v>
      </c>
      <c r="G537" t="s">
        <v>56</v>
      </c>
      <c r="H537" t="s">
        <v>58</v>
      </c>
      <c r="I537" t="s">
        <v>1696</v>
      </c>
      <c r="J537" t="s">
        <v>1696</v>
      </c>
      <c r="K537" t="s">
        <v>7165</v>
      </c>
      <c r="L537" t="s">
        <v>7165</v>
      </c>
      <c r="M537" s="1" t="s">
        <v>603</v>
      </c>
      <c r="N537" t="e">
        <v>#N/A</v>
      </c>
      <c r="O537" s="1" t="e">
        <v>#N/A</v>
      </c>
      <c r="P537" s="1" t="e">
        <v>#N/A</v>
      </c>
      <c r="Q537" s="11" t="s">
        <v>7220</v>
      </c>
      <c r="R537" s="1" t="e">
        <v>#N/A</v>
      </c>
      <c r="S537" s="1" t="e">
        <v>#N/A</v>
      </c>
      <c r="T537" s="1" t="e">
        <v>#N/A</v>
      </c>
      <c r="U537" s="1" t="e">
        <v>#N/A</v>
      </c>
      <c r="V537" t="s">
        <v>1727</v>
      </c>
      <c r="W537" t="s">
        <v>1726</v>
      </c>
      <c r="X537" t="s">
        <v>68</v>
      </c>
      <c r="Y537" t="s">
        <v>1728</v>
      </c>
      <c r="Z537" t="s">
        <v>1729</v>
      </c>
      <c r="AA537" t="s">
        <v>1730</v>
      </c>
      <c r="AB537" t="s">
        <v>1369</v>
      </c>
      <c r="AC537" t="s">
        <v>73</v>
      </c>
      <c r="AD537" t="s">
        <v>1731</v>
      </c>
      <c r="AE537" t="s">
        <v>75</v>
      </c>
      <c r="AF537" t="s">
        <v>76</v>
      </c>
      <c r="AG537" t="s">
        <v>77</v>
      </c>
      <c r="AH537" t="s">
        <v>792</v>
      </c>
      <c r="AI537" t="s">
        <v>615</v>
      </c>
      <c r="AJ537" t="s">
        <v>616</v>
      </c>
      <c r="AK537" t="s">
        <v>81</v>
      </c>
      <c r="AL537" t="s">
        <v>82</v>
      </c>
      <c r="AM537" t="s">
        <v>83</v>
      </c>
      <c r="AN537" s="3">
        <v>41323</v>
      </c>
      <c r="AO537">
        <v>148116</v>
      </c>
      <c r="AP537">
        <v>5407805</v>
      </c>
      <c r="AQ537">
        <v>210</v>
      </c>
      <c r="AR537" t="s">
        <v>84</v>
      </c>
      <c r="AS537">
        <v>562</v>
      </c>
      <c r="AT537" t="s">
        <v>85</v>
      </c>
      <c r="AU537" t="s">
        <v>86</v>
      </c>
      <c r="AV537">
        <v>562</v>
      </c>
      <c r="AW537" t="s">
        <v>1732</v>
      </c>
      <c r="AX537" t="s">
        <v>88</v>
      </c>
      <c r="AZ537" t="s">
        <v>841</v>
      </c>
      <c r="BA537">
        <v>0</v>
      </c>
      <c r="BB537">
        <v>0</v>
      </c>
    </row>
    <row r="538" spans="1:54" x14ac:dyDescent="0.2">
      <c r="A538" t="s">
        <v>1713</v>
      </c>
      <c r="B538" t="s">
        <v>1714</v>
      </c>
      <c r="C538" t="s">
        <v>1715</v>
      </c>
      <c r="D538" t="s">
        <v>1716</v>
      </c>
      <c r="E538" t="s">
        <v>1716</v>
      </c>
      <c r="G538" t="s">
        <v>56</v>
      </c>
      <c r="H538" t="s">
        <v>58</v>
      </c>
      <c r="I538" t="s">
        <v>1696</v>
      </c>
      <c r="J538" t="s">
        <v>1696</v>
      </c>
      <c r="K538" t="s">
        <v>7165</v>
      </c>
      <c r="L538" t="s">
        <v>7165</v>
      </c>
      <c r="M538" s="1" t="s">
        <v>603</v>
      </c>
      <c r="N538" t="e">
        <v>#N/A</v>
      </c>
      <c r="O538" s="1" t="e">
        <v>#N/A</v>
      </c>
      <c r="P538" s="1" t="e">
        <v>#N/A</v>
      </c>
      <c r="Q538" s="11" t="s">
        <v>7194</v>
      </c>
      <c r="R538" s="1" t="e">
        <v>#N/A</v>
      </c>
      <c r="S538" s="1" t="e">
        <v>#N/A</v>
      </c>
      <c r="T538" s="1" t="e">
        <v>#N/A</v>
      </c>
      <c r="U538" s="1" t="e">
        <v>#N/A</v>
      </c>
      <c r="V538" t="s">
        <v>1717</v>
      </c>
      <c r="W538" t="s">
        <v>1716</v>
      </c>
      <c r="X538" t="s">
        <v>68</v>
      </c>
      <c r="Y538" t="s">
        <v>1718</v>
      </c>
      <c r="Z538" t="s">
        <v>1719</v>
      </c>
      <c r="AA538" t="s">
        <v>1720</v>
      </c>
      <c r="AB538" t="s">
        <v>1369</v>
      </c>
      <c r="AC538" t="s">
        <v>73</v>
      </c>
      <c r="AD538" t="s">
        <v>1721</v>
      </c>
      <c r="AE538" t="s">
        <v>75</v>
      </c>
      <c r="AF538" t="s">
        <v>76</v>
      </c>
      <c r="AG538" t="s">
        <v>77</v>
      </c>
      <c r="AH538" t="s">
        <v>929</v>
      </c>
      <c r="AI538" t="s">
        <v>615</v>
      </c>
      <c r="AJ538" t="s">
        <v>616</v>
      </c>
      <c r="AK538" t="s">
        <v>81</v>
      </c>
      <c r="AL538" t="s">
        <v>82</v>
      </c>
      <c r="AM538" t="s">
        <v>83</v>
      </c>
      <c r="AN538" s="3">
        <v>41259</v>
      </c>
      <c r="AO538">
        <v>149177</v>
      </c>
      <c r="AP538">
        <v>5347237</v>
      </c>
      <c r="AQ538">
        <v>254</v>
      </c>
      <c r="AR538" t="s">
        <v>84</v>
      </c>
      <c r="AS538">
        <v>562</v>
      </c>
      <c r="AT538" t="s">
        <v>85</v>
      </c>
      <c r="AU538" t="s">
        <v>86</v>
      </c>
      <c r="AV538">
        <v>562</v>
      </c>
      <c r="AW538" t="s">
        <v>1722</v>
      </c>
      <c r="AX538" t="s">
        <v>88</v>
      </c>
      <c r="AZ538" t="s">
        <v>841</v>
      </c>
      <c r="BA538">
        <v>35</v>
      </c>
      <c r="BB538">
        <v>18</v>
      </c>
    </row>
    <row r="539" spans="1:54" x14ac:dyDescent="0.2">
      <c r="A539" t="s">
        <v>1881</v>
      </c>
      <c r="B539" t="s">
        <v>1882</v>
      </c>
      <c r="C539" t="s">
        <v>1883</v>
      </c>
      <c r="D539" t="s">
        <v>1884</v>
      </c>
      <c r="E539" t="s">
        <v>1884</v>
      </c>
      <c r="G539" t="s">
        <v>56</v>
      </c>
      <c r="H539" t="s">
        <v>58</v>
      </c>
      <c r="I539" t="s">
        <v>1696</v>
      </c>
      <c r="J539" t="s">
        <v>1696</v>
      </c>
      <c r="K539" t="s">
        <v>7165</v>
      </c>
      <c r="L539" t="s">
        <v>7165</v>
      </c>
      <c r="M539" s="1" t="s">
        <v>603</v>
      </c>
      <c r="N539" t="e">
        <v>#N/A</v>
      </c>
      <c r="O539" s="1" t="e">
        <v>#N/A</v>
      </c>
      <c r="P539" s="1" t="e">
        <v>#N/A</v>
      </c>
      <c r="Q539" s="11" t="s">
        <v>7220</v>
      </c>
      <c r="R539" s="1" t="e">
        <v>#N/A</v>
      </c>
      <c r="S539" s="1" t="e">
        <v>#N/A</v>
      </c>
      <c r="T539" s="1" t="e">
        <v>#N/A</v>
      </c>
      <c r="U539" s="1" t="e">
        <v>#N/A</v>
      </c>
      <c r="V539" t="s">
        <v>1885</v>
      </c>
      <c r="W539" t="s">
        <v>1884</v>
      </c>
      <c r="X539" t="s">
        <v>68</v>
      </c>
      <c r="Y539" t="s">
        <v>1886</v>
      </c>
      <c r="Z539" t="s">
        <v>1887</v>
      </c>
      <c r="AA539" t="s">
        <v>1888</v>
      </c>
      <c r="AB539" t="s">
        <v>1369</v>
      </c>
      <c r="AC539" t="s">
        <v>73</v>
      </c>
      <c r="AD539" t="s">
        <v>1889</v>
      </c>
      <c r="AE539" t="s">
        <v>75</v>
      </c>
      <c r="AF539" t="s">
        <v>76</v>
      </c>
      <c r="AG539" t="s">
        <v>77</v>
      </c>
      <c r="AH539" t="s">
        <v>792</v>
      </c>
      <c r="AI539" t="s">
        <v>615</v>
      </c>
      <c r="AJ539" t="s">
        <v>616</v>
      </c>
      <c r="AK539" t="s">
        <v>81</v>
      </c>
      <c r="AL539" t="s">
        <v>82</v>
      </c>
      <c r="AM539" t="s">
        <v>83</v>
      </c>
      <c r="AN539" s="3">
        <v>41324</v>
      </c>
      <c r="AO539">
        <v>148116</v>
      </c>
      <c r="AP539">
        <v>5410141</v>
      </c>
      <c r="AQ539">
        <v>213</v>
      </c>
      <c r="AR539" t="s">
        <v>84</v>
      </c>
      <c r="AS539">
        <v>562</v>
      </c>
      <c r="AT539" t="s">
        <v>85</v>
      </c>
      <c r="AU539" t="s">
        <v>86</v>
      </c>
      <c r="AV539">
        <v>562</v>
      </c>
      <c r="AW539" t="s">
        <v>1890</v>
      </c>
      <c r="AX539" t="s">
        <v>88</v>
      </c>
      <c r="AZ539" t="s">
        <v>841</v>
      </c>
      <c r="BA539">
        <v>0</v>
      </c>
      <c r="BB539">
        <v>0</v>
      </c>
    </row>
    <row r="540" spans="1:54" x14ac:dyDescent="0.2">
      <c r="A540" t="s">
        <v>1891</v>
      </c>
      <c r="B540" t="s">
        <v>1892</v>
      </c>
      <c r="C540" t="s">
        <v>1893</v>
      </c>
      <c r="D540" t="s">
        <v>1894</v>
      </c>
      <c r="E540" t="s">
        <v>1894</v>
      </c>
      <c r="G540" t="s">
        <v>56</v>
      </c>
      <c r="H540" t="s">
        <v>58</v>
      </c>
      <c r="I540" t="s">
        <v>1895</v>
      </c>
      <c r="J540" t="s">
        <v>1895</v>
      </c>
      <c r="K540" t="s">
        <v>7165</v>
      </c>
      <c r="L540" t="s">
        <v>7165</v>
      </c>
      <c r="M540" s="1" t="s">
        <v>603</v>
      </c>
      <c r="N540" t="s">
        <v>649</v>
      </c>
      <c r="O540" s="1" t="s">
        <v>875</v>
      </c>
      <c r="P540" s="1" t="s">
        <v>64</v>
      </c>
      <c r="Q540" s="11" t="s">
        <v>7220</v>
      </c>
      <c r="R540" s="1">
        <v>11</v>
      </c>
      <c r="S540" s="1">
        <v>2124</v>
      </c>
      <c r="T540" s="1" t="s">
        <v>169</v>
      </c>
      <c r="U540" s="1" t="s">
        <v>170</v>
      </c>
      <c r="V540" t="s">
        <v>1896</v>
      </c>
      <c r="W540" t="s">
        <v>1897</v>
      </c>
      <c r="X540" t="s">
        <v>68</v>
      </c>
      <c r="Y540" t="s">
        <v>1898</v>
      </c>
      <c r="Z540" t="s">
        <v>1899</v>
      </c>
      <c r="AA540" t="s">
        <v>1900</v>
      </c>
      <c r="AB540" t="s">
        <v>1357</v>
      </c>
      <c r="AC540" t="s">
        <v>73</v>
      </c>
      <c r="AD540" t="s">
        <v>1901</v>
      </c>
      <c r="AE540" t="s">
        <v>75</v>
      </c>
      <c r="AF540" t="s">
        <v>76</v>
      </c>
      <c r="AG540" t="s">
        <v>77</v>
      </c>
      <c r="AH540" t="s">
        <v>1902</v>
      </c>
      <c r="AI540" t="s">
        <v>615</v>
      </c>
      <c r="AJ540" t="s">
        <v>616</v>
      </c>
      <c r="AK540" t="s">
        <v>81</v>
      </c>
      <c r="AL540" t="s">
        <v>82</v>
      </c>
      <c r="AM540" t="s">
        <v>83</v>
      </c>
      <c r="AN540" s="3">
        <v>41324</v>
      </c>
      <c r="AO540">
        <v>188217</v>
      </c>
      <c r="AP540">
        <v>5399797</v>
      </c>
      <c r="AQ540">
        <v>189</v>
      </c>
      <c r="AR540" t="s">
        <v>84</v>
      </c>
      <c r="AS540">
        <v>562</v>
      </c>
      <c r="AT540" t="s">
        <v>85</v>
      </c>
      <c r="AU540" t="s">
        <v>86</v>
      </c>
      <c r="AV540">
        <v>562</v>
      </c>
      <c r="AW540" t="s">
        <v>1903</v>
      </c>
      <c r="AX540" t="s">
        <v>88</v>
      </c>
      <c r="AZ540" t="s">
        <v>841</v>
      </c>
      <c r="BA540">
        <v>0</v>
      </c>
      <c r="BB540">
        <v>0</v>
      </c>
    </row>
    <row r="541" spans="1:54" x14ac:dyDescent="0.2">
      <c r="A541" t="s">
        <v>1961</v>
      </c>
      <c r="B541" t="s">
        <v>1962</v>
      </c>
      <c r="C541" t="s">
        <v>1963</v>
      </c>
      <c r="D541" t="s">
        <v>1964</v>
      </c>
      <c r="E541" t="s">
        <v>1964</v>
      </c>
      <c r="G541" t="s">
        <v>56</v>
      </c>
      <c r="H541" t="s">
        <v>58</v>
      </c>
      <c r="I541" t="s">
        <v>1953</v>
      </c>
      <c r="J541" t="s">
        <v>1953</v>
      </c>
      <c r="K541" t="s">
        <v>7167</v>
      </c>
      <c r="L541" t="s">
        <v>7167</v>
      </c>
      <c r="M541" s="1" t="s">
        <v>603</v>
      </c>
      <c r="N541" t="s">
        <v>649</v>
      </c>
      <c r="O541" s="1" t="s">
        <v>605</v>
      </c>
      <c r="P541" s="1" t="s">
        <v>127</v>
      </c>
      <c r="Q541" s="11" t="s">
        <v>7211</v>
      </c>
      <c r="R541" s="1">
        <v>11</v>
      </c>
      <c r="S541" s="1">
        <v>2124</v>
      </c>
      <c r="T541" s="1" t="s">
        <v>169</v>
      </c>
      <c r="U541" s="1" t="s">
        <v>170</v>
      </c>
      <c r="V541" t="s">
        <v>1965</v>
      </c>
      <c r="W541" t="s">
        <v>1966</v>
      </c>
      <c r="X541" t="s">
        <v>68</v>
      </c>
      <c r="Y541" t="s">
        <v>1967</v>
      </c>
      <c r="Z541" t="s">
        <v>1968</v>
      </c>
      <c r="AA541" t="s">
        <v>1969</v>
      </c>
      <c r="AB541" t="s">
        <v>1357</v>
      </c>
      <c r="AC541" t="s">
        <v>73</v>
      </c>
      <c r="AD541" t="s">
        <v>1970</v>
      </c>
      <c r="AE541" t="s">
        <v>75</v>
      </c>
      <c r="AF541" t="s">
        <v>76</v>
      </c>
      <c r="AG541" t="s">
        <v>77</v>
      </c>
      <c r="AH541" t="s">
        <v>630</v>
      </c>
      <c r="AI541" t="s">
        <v>615</v>
      </c>
      <c r="AJ541" t="s">
        <v>616</v>
      </c>
      <c r="AK541" t="s">
        <v>81</v>
      </c>
      <c r="AL541" t="s">
        <v>82</v>
      </c>
      <c r="AM541" t="s">
        <v>83</v>
      </c>
      <c r="AN541" s="3">
        <v>41540</v>
      </c>
      <c r="AO541">
        <v>160339</v>
      </c>
      <c r="AP541">
        <v>5393603</v>
      </c>
      <c r="AQ541">
        <v>161</v>
      </c>
      <c r="AR541" t="s">
        <v>84</v>
      </c>
      <c r="AS541">
        <v>562</v>
      </c>
      <c r="AT541" t="s">
        <v>85</v>
      </c>
      <c r="AU541" t="s">
        <v>86</v>
      </c>
      <c r="AV541">
        <v>562</v>
      </c>
      <c r="AW541" t="s">
        <v>1971</v>
      </c>
      <c r="AX541" t="s">
        <v>88</v>
      </c>
      <c r="AZ541" t="s">
        <v>659</v>
      </c>
      <c r="BA541">
        <v>0</v>
      </c>
      <c r="BB541">
        <v>0</v>
      </c>
    </row>
    <row r="542" spans="1:54" x14ac:dyDescent="0.2">
      <c r="A542" t="s">
        <v>1630</v>
      </c>
      <c r="B542" t="s">
        <v>1631</v>
      </c>
      <c r="C542" t="s">
        <v>1632</v>
      </c>
      <c r="D542" t="s">
        <v>1633</v>
      </c>
      <c r="E542" t="s">
        <v>1633</v>
      </c>
      <c r="G542" t="s">
        <v>56</v>
      </c>
      <c r="H542" t="s">
        <v>58</v>
      </c>
      <c r="I542" t="s">
        <v>1622</v>
      </c>
      <c r="J542" t="s">
        <v>1622</v>
      </c>
      <c r="K542" t="s">
        <v>7165</v>
      </c>
      <c r="L542" t="s">
        <v>7165</v>
      </c>
      <c r="M542" s="1" t="s">
        <v>603</v>
      </c>
      <c r="N542" t="e">
        <v>#N/A</v>
      </c>
      <c r="O542" s="1" t="e">
        <v>#N/A</v>
      </c>
      <c r="P542" s="1" t="e">
        <v>#N/A</v>
      </c>
      <c r="Q542" s="11" t="s">
        <v>7211</v>
      </c>
      <c r="R542" s="1" t="e">
        <v>#N/A</v>
      </c>
      <c r="S542" s="1" t="e">
        <v>#N/A</v>
      </c>
      <c r="T542" s="1" t="e">
        <v>#N/A</v>
      </c>
      <c r="U542" s="1" t="e">
        <v>#N/A</v>
      </c>
      <c r="V542" t="s">
        <v>1634</v>
      </c>
      <c r="W542" t="s">
        <v>1633</v>
      </c>
      <c r="X542" t="s">
        <v>68</v>
      </c>
      <c r="Y542" t="s">
        <v>1635</v>
      </c>
      <c r="Z542" t="s">
        <v>1636</v>
      </c>
      <c r="AA542" t="s">
        <v>1637</v>
      </c>
      <c r="AB542" t="s">
        <v>1357</v>
      </c>
      <c r="AC542" t="s">
        <v>73</v>
      </c>
      <c r="AD542" t="s">
        <v>1638</v>
      </c>
      <c r="AE542" t="s">
        <v>75</v>
      </c>
      <c r="AF542" t="s">
        <v>76</v>
      </c>
      <c r="AG542" t="s">
        <v>77</v>
      </c>
      <c r="AH542" t="s">
        <v>669</v>
      </c>
      <c r="AI542" t="s">
        <v>615</v>
      </c>
      <c r="AJ542" t="s">
        <v>616</v>
      </c>
      <c r="AK542" t="s">
        <v>81</v>
      </c>
      <c r="AL542" t="s">
        <v>82</v>
      </c>
      <c r="AM542" t="s">
        <v>83</v>
      </c>
      <c r="AN542" s="3">
        <v>41197</v>
      </c>
      <c r="AO542">
        <v>148116</v>
      </c>
      <c r="AP542">
        <v>5366873</v>
      </c>
      <c r="AQ542">
        <v>267</v>
      </c>
      <c r="AR542" t="s">
        <v>84</v>
      </c>
      <c r="AS542">
        <v>562</v>
      </c>
      <c r="AT542" t="s">
        <v>85</v>
      </c>
      <c r="AU542" t="s">
        <v>86</v>
      </c>
      <c r="AV542">
        <v>562</v>
      </c>
      <c r="AW542" t="s">
        <v>1639</v>
      </c>
      <c r="AX542" t="s">
        <v>88</v>
      </c>
      <c r="AZ542" t="s">
        <v>918</v>
      </c>
      <c r="BA542">
        <v>0</v>
      </c>
      <c r="BB542">
        <v>0</v>
      </c>
    </row>
    <row r="543" spans="1:54" x14ac:dyDescent="0.2">
      <c r="A543" t="s">
        <v>1755</v>
      </c>
      <c r="B543" t="s">
        <v>1756</v>
      </c>
      <c r="C543" t="s">
        <v>1757</v>
      </c>
      <c r="D543" t="s">
        <v>1758</v>
      </c>
      <c r="E543" t="s">
        <v>1758</v>
      </c>
      <c r="G543" t="s">
        <v>56</v>
      </c>
      <c r="H543" t="s">
        <v>58</v>
      </c>
      <c r="I543" t="s">
        <v>1696</v>
      </c>
      <c r="J543" t="s">
        <v>1696</v>
      </c>
      <c r="K543" t="s">
        <v>7165</v>
      </c>
      <c r="L543" t="s">
        <v>7165</v>
      </c>
      <c r="M543" s="1" t="s">
        <v>603</v>
      </c>
      <c r="N543" t="e">
        <v>#N/A</v>
      </c>
      <c r="O543" s="1" t="e">
        <v>#N/A</v>
      </c>
      <c r="P543" s="1" t="e">
        <v>#N/A</v>
      </c>
      <c r="Q543" s="11" t="s">
        <v>7220</v>
      </c>
      <c r="R543" s="1" t="e">
        <v>#N/A</v>
      </c>
      <c r="S543" s="1" t="e">
        <v>#N/A</v>
      </c>
      <c r="T543" s="1" t="e">
        <v>#N/A</v>
      </c>
      <c r="U543" s="1" t="e">
        <v>#N/A</v>
      </c>
      <c r="V543" t="s">
        <v>1759</v>
      </c>
      <c r="W543" t="s">
        <v>1758</v>
      </c>
      <c r="X543" t="s">
        <v>68</v>
      </c>
      <c r="Y543" t="s">
        <v>1760</v>
      </c>
      <c r="Z543" t="s">
        <v>1761</v>
      </c>
      <c r="AA543" t="s">
        <v>1762</v>
      </c>
      <c r="AB543" t="s">
        <v>1357</v>
      </c>
      <c r="AC543" t="s">
        <v>73</v>
      </c>
      <c r="AD543" t="s">
        <v>1763</v>
      </c>
      <c r="AE543" t="s">
        <v>75</v>
      </c>
      <c r="AF543" t="s">
        <v>76</v>
      </c>
      <c r="AG543" t="s">
        <v>77</v>
      </c>
      <c r="AH543" t="s">
        <v>1764</v>
      </c>
      <c r="AI543" t="s">
        <v>615</v>
      </c>
      <c r="AJ543" t="s">
        <v>616</v>
      </c>
      <c r="AK543" t="s">
        <v>81</v>
      </c>
      <c r="AL543" t="s">
        <v>82</v>
      </c>
      <c r="AM543" t="s">
        <v>83</v>
      </c>
      <c r="AN543" s="3">
        <v>41336</v>
      </c>
      <c r="AO543">
        <v>33824</v>
      </c>
      <c r="AP543">
        <v>5310625</v>
      </c>
      <c r="AQ543">
        <v>479</v>
      </c>
      <c r="AR543" t="s">
        <v>84</v>
      </c>
      <c r="AS543">
        <v>562</v>
      </c>
      <c r="AT543" t="s">
        <v>85</v>
      </c>
      <c r="AU543" t="s">
        <v>86</v>
      </c>
      <c r="AV543">
        <v>562</v>
      </c>
      <c r="AW543" t="s">
        <v>1765</v>
      </c>
      <c r="AX543" t="s">
        <v>88</v>
      </c>
      <c r="AZ543" t="s">
        <v>841</v>
      </c>
      <c r="BA543">
        <v>5</v>
      </c>
      <c r="BB543">
        <v>5</v>
      </c>
    </row>
    <row r="544" spans="1:54" x14ac:dyDescent="0.2">
      <c r="A544" t="s">
        <v>1349</v>
      </c>
      <c r="B544" t="s">
        <v>1350</v>
      </c>
      <c r="C544" t="s">
        <v>1351</v>
      </c>
      <c r="D544" t="s">
        <v>1352</v>
      </c>
      <c r="E544" t="s">
        <v>1352</v>
      </c>
      <c r="G544" t="s">
        <v>56</v>
      </c>
      <c r="H544" t="s">
        <v>58</v>
      </c>
      <c r="I544" s="4" t="s">
        <v>1341</v>
      </c>
      <c r="J544" s="4" t="s">
        <v>1341</v>
      </c>
      <c r="K544" t="s">
        <v>7165</v>
      </c>
      <c r="L544" t="s">
        <v>7165</v>
      </c>
      <c r="M544" s="1" t="s">
        <v>603</v>
      </c>
      <c r="N544" t="e">
        <v>#N/A</v>
      </c>
      <c r="O544" s="1" t="e">
        <v>#N/A</v>
      </c>
      <c r="P544" s="1" t="e">
        <v>#N/A</v>
      </c>
      <c r="Q544" s="11" t="s">
        <v>7194</v>
      </c>
      <c r="R544" s="1" t="e">
        <v>#N/A</v>
      </c>
      <c r="S544" s="1" t="e">
        <v>#N/A</v>
      </c>
      <c r="T544" s="1" t="e">
        <v>#N/A</v>
      </c>
      <c r="U544" s="1" t="e">
        <v>#N/A</v>
      </c>
      <c r="V544" t="s">
        <v>1353</v>
      </c>
      <c r="W544" t="s">
        <v>1352</v>
      </c>
      <c r="X544" t="s">
        <v>68</v>
      </c>
      <c r="Y544" t="s">
        <v>1354</v>
      </c>
      <c r="Z544" t="s">
        <v>1355</v>
      </c>
      <c r="AA544" t="s">
        <v>1356</v>
      </c>
      <c r="AB544" t="s">
        <v>1357</v>
      </c>
      <c r="AC544" t="s">
        <v>73</v>
      </c>
      <c r="AD544" t="s">
        <v>1358</v>
      </c>
      <c r="AE544" t="s">
        <v>75</v>
      </c>
      <c r="AF544" t="s">
        <v>76</v>
      </c>
      <c r="AG544" t="s">
        <v>77</v>
      </c>
      <c r="AH544" t="s">
        <v>1359</v>
      </c>
      <c r="AI544" t="s">
        <v>615</v>
      </c>
      <c r="AJ544" t="s">
        <v>616</v>
      </c>
      <c r="AK544" t="s">
        <v>81</v>
      </c>
      <c r="AL544" t="s">
        <v>82</v>
      </c>
      <c r="AM544" t="s">
        <v>83</v>
      </c>
      <c r="AN544" s="3">
        <v>40956</v>
      </c>
      <c r="AO544">
        <v>87581</v>
      </c>
      <c r="AP544">
        <v>5364994</v>
      </c>
      <c r="AQ544">
        <v>262</v>
      </c>
      <c r="AR544" t="s">
        <v>84</v>
      </c>
      <c r="AS544">
        <v>562</v>
      </c>
      <c r="AT544" t="s">
        <v>85</v>
      </c>
      <c r="AU544" t="s">
        <v>86</v>
      </c>
      <c r="AV544">
        <v>562</v>
      </c>
      <c r="AW544" t="s">
        <v>1360</v>
      </c>
      <c r="AX544" t="s">
        <v>88</v>
      </c>
      <c r="AZ544" t="s">
        <v>918</v>
      </c>
      <c r="BA544">
        <v>2</v>
      </c>
      <c r="BB544">
        <v>3</v>
      </c>
    </row>
    <row r="545" spans="1:54" x14ac:dyDescent="0.2">
      <c r="A545" t="s">
        <v>1682</v>
      </c>
      <c r="B545" t="s">
        <v>1683</v>
      </c>
      <c r="C545" t="s">
        <v>1684</v>
      </c>
      <c r="D545" t="s">
        <v>1685</v>
      </c>
      <c r="E545" t="s">
        <v>1685</v>
      </c>
      <c r="G545" t="s">
        <v>56</v>
      </c>
      <c r="H545" t="s">
        <v>58</v>
      </c>
      <c r="I545" t="s">
        <v>1654</v>
      </c>
      <c r="J545" t="s">
        <v>1654</v>
      </c>
      <c r="K545" t="s">
        <v>7165</v>
      </c>
      <c r="L545" t="s">
        <v>7165</v>
      </c>
      <c r="M545" s="1" t="s">
        <v>603</v>
      </c>
      <c r="N545" t="e">
        <v>#N/A</v>
      </c>
      <c r="O545" s="1" t="e">
        <v>#N/A</v>
      </c>
      <c r="P545" s="1" t="e">
        <v>#N/A</v>
      </c>
      <c r="Q545" s="11" t="s">
        <v>7211</v>
      </c>
      <c r="R545" s="1" t="e">
        <v>#N/A</v>
      </c>
      <c r="S545" s="1" t="e">
        <v>#N/A</v>
      </c>
      <c r="T545" s="1" t="e">
        <v>#N/A</v>
      </c>
      <c r="U545" s="1" t="e">
        <v>#N/A</v>
      </c>
      <c r="V545" t="s">
        <v>1686</v>
      </c>
      <c r="W545" t="s">
        <v>1685</v>
      </c>
      <c r="X545" t="s">
        <v>68</v>
      </c>
      <c r="Y545" t="s">
        <v>1687</v>
      </c>
      <c r="Z545" t="s">
        <v>1688</v>
      </c>
      <c r="AA545" t="s">
        <v>1689</v>
      </c>
      <c r="AB545" t="s">
        <v>1357</v>
      </c>
      <c r="AC545" t="s">
        <v>73</v>
      </c>
      <c r="AD545" t="s">
        <v>1690</v>
      </c>
      <c r="AE545" t="s">
        <v>75</v>
      </c>
      <c r="AF545" t="s">
        <v>76</v>
      </c>
      <c r="AG545" t="s">
        <v>77</v>
      </c>
      <c r="AH545" t="s">
        <v>630</v>
      </c>
      <c r="AI545" t="s">
        <v>615</v>
      </c>
      <c r="AJ545" t="s">
        <v>616</v>
      </c>
      <c r="AK545" t="s">
        <v>81</v>
      </c>
      <c r="AL545" t="s">
        <v>82</v>
      </c>
      <c r="AM545" t="s">
        <v>83</v>
      </c>
      <c r="AN545" s="3">
        <v>41255</v>
      </c>
      <c r="AO545">
        <v>147538</v>
      </c>
      <c r="AP545">
        <v>5357967</v>
      </c>
      <c r="AQ545">
        <v>259</v>
      </c>
      <c r="AR545" t="s">
        <v>84</v>
      </c>
      <c r="AS545">
        <v>562</v>
      </c>
      <c r="AT545" t="s">
        <v>85</v>
      </c>
      <c r="AU545" t="s">
        <v>86</v>
      </c>
      <c r="AV545">
        <v>562</v>
      </c>
      <c r="AW545" t="s">
        <v>1691</v>
      </c>
      <c r="AX545" t="s">
        <v>88</v>
      </c>
      <c r="AZ545" t="s">
        <v>918</v>
      </c>
      <c r="BA545">
        <v>1</v>
      </c>
      <c r="BB545">
        <v>1</v>
      </c>
    </row>
    <row r="546" spans="1:54" x14ac:dyDescent="0.2">
      <c r="A546" t="s">
        <v>6565</v>
      </c>
      <c r="B546" t="s">
        <v>6566</v>
      </c>
      <c r="C546" t="s">
        <v>6554</v>
      </c>
      <c r="D546" t="s">
        <v>6567</v>
      </c>
      <c r="E546" t="s">
        <v>6567</v>
      </c>
      <c r="G546" t="s">
        <v>56</v>
      </c>
      <c r="H546" t="s">
        <v>93</v>
      </c>
      <c r="I546" t="s">
        <v>60</v>
      </c>
      <c r="J546" t="s">
        <v>60</v>
      </c>
      <c r="K546" t="s">
        <v>60</v>
      </c>
      <c r="L546" t="s">
        <v>60</v>
      </c>
      <c r="M546" s="1" t="s">
        <v>95</v>
      </c>
      <c r="N546" t="s">
        <v>96</v>
      </c>
      <c r="O546" s="1" t="s">
        <v>97</v>
      </c>
      <c r="P546" s="1" t="s">
        <v>64</v>
      </c>
      <c r="Q546" s="11" t="s">
        <v>7331</v>
      </c>
      <c r="R546" s="1">
        <v>4496</v>
      </c>
      <c r="S546" s="1">
        <v>33427</v>
      </c>
      <c r="T546" s="1" t="s">
        <v>169</v>
      </c>
      <c r="U546" s="1" t="s">
        <v>6568</v>
      </c>
      <c r="V546" t="s">
        <v>6569</v>
      </c>
      <c r="W546" t="s">
        <v>6570</v>
      </c>
      <c r="X546" t="s">
        <v>68</v>
      </c>
      <c r="Y546" t="s">
        <v>6571</v>
      </c>
      <c r="Z546" t="s">
        <v>6572</v>
      </c>
      <c r="AA546" t="s">
        <v>6573</v>
      </c>
      <c r="AB546" t="s">
        <v>6574</v>
      </c>
      <c r="AC546" t="s">
        <v>73</v>
      </c>
      <c r="AD546" t="s">
        <v>6575</v>
      </c>
      <c r="AE546" t="s">
        <v>75</v>
      </c>
      <c r="AF546" t="s">
        <v>76</v>
      </c>
      <c r="AG546" t="s">
        <v>77</v>
      </c>
      <c r="AH546" t="s">
        <v>106</v>
      </c>
      <c r="AI546" t="s">
        <v>107</v>
      </c>
      <c r="AJ546" t="s">
        <v>80</v>
      </c>
      <c r="AK546" t="s">
        <v>81</v>
      </c>
      <c r="AL546" t="s">
        <v>82</v>
      </c>
      <c r="AM546" t="s">
        <v>83</v>
      </c>
      <c r="AN546">
        <v>2017</v>
      </c>
      <c r="AO546">
        <v>193046</v>
      </c>
      <c r="AP546">
        <v>5037890</v>
      </c>
      <c r="AQ546">
        <v>82</v>
      </c>
      <c r="AR546" t="s">
        <v>84</v>
      </c>
      <c r="AS546">
        <v>562</v>
      </c>
      <c r="AT546" t="s">
        <v>85</v>
      </c>
      <c r="AU546" t="s">
        <v>86</v>
      </c>
      <c r="AV546">
        <v>562</v>
      </c>
      <c r="AW546" t="s">
        <v>6576</v>
      </c>
      <c r="AX546" t="s">
        <v>88</v>
      </c>
      <c r="AZ546" t="s">
        <v>109</v>
      </c>
      <c r="BA546">
        <v>1</v>
      </c>
      <c r="BB546">
        <v>30</v>
      </c>
    </row>
    <row r="547" spans="1:54" x14ac:dyDescent="0.2">
      <c r="A547" t="s">
        <v>5227</v>
      </c>
      <c r="B547" t="s">
        <v>5228</v>
      </c>
      <c r="C547" t="s">
        <v>5229</v>
      </c>
      <c r="D547" t="s">
        <v>5230</v>
      </c>
      <c r="E547" t="s">
        <v>5230</v>
      </c>
      <c r="F547" t="s">
        <v>2035</v>
      </c>
      <c r="G547" t="s">
        <v>56</v>
      </c>
      <c r="H547" t="s">
        <v>93</v>
      </c>
      <c r="I547" t="s">
        <v>5041</v>
      </c>
      <c r="J547" t="s">
        <v>5041</v>
      </c>
      <c r="K547" t="s">
        <v>7165</v>
      </c>
      <c r="L547" t="s">
        <v>7165</v>
      </c>
      <c r="M547" s="1" t="s">
        <v>5231</v>
      </c>
      <c r="N547" t="s">
        <v>5232</v>
      </c>
      <c r="O547" s="1" t="s">
        <v>144</v>
      </c>
      <c r="P547" s="1" t="s">
        <v>4318</v>
      </c>
      <c r="Q547" s="11" t="s">
        <v>7333</v>
      </c>
      <c r="R547" s="1">
        <v>5133</v>
      </c>
      <c r="S547" s="1">
        <v>93573</v>
      </c>
      <c r="T547" s="1" t="s">
        <v>169</v>
      </c>
      <c r="U547" s="1">
        <v>7448959</v>
      </c>
      <c r="V547" t="s">
        <v>5233</v>
      </c>
      <c r="W547" t="s">
        <v>5234</v>
      </c>
      <c r="X547" t="s">
        <v>68</v>
      </c>
      <c r="Y547" t="s">
        <v>5235</v>
      </c>
      <c r="Z547" t="s">
        <v>5236</v>
      </c>
      <c r="AA547" t="s">
        <v>5237</v>
      </c>
      <c r="AB547" t="s">
        <v>5189</v>
      </c>
      <c r="AC547" t="s">
        <v>73</v>
      </c>
      <c r="AD547" t="s">
        <v>5238</v>
      </c>
      <c r="AE547" t="s">
        <v>3341</v>
      </c>
      <c r="AF547" t="s">
        <v>76</v>
      </c>
      <c r="AG547" t="s">
        <v>77</v>
      </c>
      <c r="AH547" t="s">
        <v>5239</v>
      </c>
      <c r="AI547" t="s">
        <v>5240</v>
      </c>
      <c r="AJ547" t="s">
        <v>5241</v>
      </c>
      <c r="AK547" t="s">
        <v>81</v>
      </c>
      <c r="AL547" t="s">
        <v>82</v>
      </c>
      <c r="AM547" t="s">
        <v>83</v>
      </c>
      <c r="AN547">
        <v>2015</v>
      </c>
      <c r="AO547">
        <v>61890</v>
      </c>
      <c r="AP547">
        <v>5094331</v>
      </c>
      <c r="AQ547">
        <v>174</v>
      </c>
      <c r="AR547" t="s">
        <v>84</v>
      </c>
      <c r="AS547">
        <v>562</v>
      </c>
      <c r="AT547" t="s">
        <v>85</v>
      </c>
      <c r="AU547" t="s">
        <v>86</v>
      </c>
      <c r="AV547">
        <v>562</v>
      </c>
      <c r="AW547" t="s">
        <v>5242</v>
      </c>
      <c r="AX547" t="s">
        <v>88</v>
      </c>
    </row>
    <row r="548" spans="1:54" x14ac:dyDescent="0.2">
      <c r="A548" t="s">
        <v>5181</v>
      </c>
      <c r="B548" t="s">
        <v>5182</v>
      </c>
      <c r="C548" t="s">
        <v>5152</v>
      </c>
      <c r="D548" t="s">
        <v>5183</v>
      </c>
      <c r="E548" t="s">
        <v>5183</v>
      </c>
      <c r="G548" t="s">
        <v>56</v>
      </c>
      <c r="H548" t="s">
        <v>93</v>
      </c>
      <c r="I548" t="s">
        <v>5154</v>
      </c>
      <c r="J548" t="s">
        <v>2384</v>
      </c>
      <c r="K548" t="s">
        <v>7165</v>
      </c>
      <c r="L548" t="s">
        <v>7165</v>
      </c>
      <c r="M548" s="1" t="s">
        <v>183</v>
      </c>
      <c r="N548" t="s">
        <v>538</v>
      </c>
      <c r="O548" s="1" t="s">
        <v>166</v>
      </c>
      <c r="P548" s="1" t="s">
        <v>250</v>
      </c>
      <c r="Q548" s="11" t="s">
        <v>7327</v>
      </c>
      <c r="R548" s="1">
        <v>33</v>
      </c>
      <c r="S548" s="1">
        <v>1587</v>
      </c>
      <c r="T548" s="1" t="s">
        <v>5155</v>
      </c>
      <c r="U548" s="1">
        <v>7255712</v>
      </c>
      <c r="V548" t="s">
        <v>5184</v>
      </c>
      <c r="W548" t="s">
        <v>5185</v>
      </c>
      <c r="X548" t="s">
        <v>68</v>
      </c>
      <c r="Y548" t="s">
        <v>5186</v>
      </c>
      <c r="Z548" t="s">
        <v>5187</v>
      </c>
      <c r="AA548" t="s">
        <v>5188</v>
      </c>
      <c r="AB548" t="s">
        <v>5189</v>
      </c>
      <c r="AC548" t="s">
        <v>73</v>
      </c>
      <c r="AD548" t="s">
        <v>5190</v>
      </c>
      <c r="AE548" t="s">
        <v>5162</v>
      </c>
      <c r="AF548" t="s">
        <v>76</v>
      </c>
      <c r="AG548" t="s">
        <v>77</v>
      </c>
      <c r="AH548" t="s">
        <v>5163</v>
      </c>
      <c r="AI548" t="s">
        <v>5164</v>
      </c>
      <c r="AJ548" t="s">
        <v>5165</v>
      </c>
      <c r="AK548" t="s">
        <v>81</v>
      </c>
      <c r="AL548" t="s">
        <v>82</v>
      </c>
      <c r="AM548" t="s">
        <v>83</v>
      </c>
      <c r="AN548">
        <v>2015</v>
      </c>
      <c r="AO548">
        <v>134230</v>
      </c>
      <c r="AP548">
        <v>5446580</v>
      </c>
      <c r="AQ548">
        <v>136</v>
      </c>
      <c r="AR548" t="s">
        <v>84</v>
      </c>
      <c r="AS548">
        <v>562</v>
      </c>
      <c r="AT548" t="s">
        <v>85</v>
      </c>
      <c r="AU548" t="s">
        <v>86</v>
      </c>
      <c r="AV548">
        <v>562</v>
      </c>
      <c r="AW548" t="s">
        <v>5191</v>
      </c>
      <c r="AX548" t="s">
        <v>88</v>
      </c>
      <c r="AZ548" t="s">
        <v>5167</v>
      </c>
      <c r="BA548">
        <v>0</v>
      </c>
    </row>
    <row r="549" spans="1:54" x14ac:dyDescent="0.2">
      <c r="A549" t="s">
        <v>5213</v>
      </c>
      <c r="B549" t="s">
        <v>5214</v>
      </c>
      <c r="C549" t="s">
        <v>5215</v>
      </c>
      <c r="D549" t="s">
        <v>5216</v>
      </c>
      <c r="E549" t="s">
        <v>5216</v>
      </c>
      <c r="G549" t="s">
        <v>56</v>
      </c>
      <c r="H549" t="s">
        <v>93</v>
      </c>
      <c r="I549" t="s">
        <v>2384</v>
      </c>
      <c r="J549" t="s">
        <v>2384</v>
      </c>
      <c r="K549" t="s">
        <v>7165</v>
      </c>
      <c r="L549" t="s">
        <v>7165</v>
      </c>
      <c r="M549" s="1" t="s">
        <v>5217</v>
      </c>
      <c r="N549" t="s">
        <v>5218</v>
      </c>
      <c r="O549" s="1" t="s">
        <v>166</v>
      </c>
      <c r="P549" s="1" t="s">
        <v>250</v>
      </c>
      <c r="Q549" s="11" t="s">
        <v>7327</v>
      </c>
      <c r="R549" s="1">
        <v>5285</v>
      </c>
      <c r="S549" s="1">
        <v>101475</v>
      </c>
      <c r="T549" s="1" t="s">
        <v>169</v>
      </c>
      <c r="U549" s="1">
        <v>7448959</v>
      </c>
      <c r="V549" t="s">
        <v>5219</v>
      </c>
      <c r="W549" t="s">
        <v>5220</v>
      </c>
      <c r="X549" t="s">
        <v>68</v>
      </c>
      <c r="Y549" t="s">
        <v>5221</v>
      </c>
      <c r="Z549" t="s">
        <v>5222</v>
      </c>
      <c r="AA549" t="s">
        <v>5223</v>
      </c>
      <c r="AB549" t="s">
        <v>5107</v>
      </c>
      <c r="AC549" t="s">
        <v>73</v>
      </c>
      <c r="AD549" t="s">
        <v>5224</v>
      </c>
      <c r="AE549" t="s">
        <v>75</v>
      </c>
      <c r="AF549" t="s">
        <v>76</v>
      </c>
      <c r="AG549" t="s">
        <v>77</v>
      </c>
      <c r="AH549" t="s">
        <v>5225</v>
      </c>
      <c r="AI549" t="s">
        <v>156</v>
      </c>
      <c r="AJ549" t="s">
        <v>80</v>
      </c>
      <c r="AK549" t="s">
        <v>81</v>
      </c>
      <c r="AL549" t="s">
        <v>82</v>
      </c>
      <c r="AM549" t="s">
        <v>83</v>
      </c>
      <c r="AN549">
        <v>2015</v>
      </c>
      <c r="AO549">
        <v>102831</v>
      </c>
      <c r="AP549">
        <v>4909808</v>
      </c>
      <c r="AQ549">
        <v>123</v>
      </c>
      <c r="AR549" t="s">
        <v>84</v>
      </c>
      <c r="AS549">
        <v>562</v>
      </c>
      <c r="AT549" t="s">
        <v>85</v>
      </c>
      <c r="AU549" t="s">
        <v>86</v>
      </c>
      <c r="AV549">
        <v>562</v>
      </c>
      <c r="AW549" t="s">
        <v>5226</v>
      </c>
      <c r="AX549" t="s">
        <v>88</v>
      </c>
    </row>
    <row r="550" spans="1:54" x14ac:dyDescent="0.2">
      <c r="A550" t="s">
        <v>5095</v>
      </c>
      <c r="B550" t="s">
        <v>5096</v>
      </c>
      <c r="C550" t="s">
        <v>5097</v>
      </c>
      <c r="D550" t="s">
        <v>5098</v>
      </c>
      <c r="E550" t="s">
        <v>5098</v>
      </c>
      <c r="F550" t="s">
        <v>2035</v>
      </c>
      <c r="G550" t="s">
        <v>56</v>
      </c>
      <c r="H550" t="s">
        <v>93</v>
      </c>
      <c r="I550" t="s">
        <v>5041</v>
      </c>
      <c r="J550" t="s">
        <v>5041</v>
      </c>
      <c r="K550" t="s">
        <v>7165</v>
      </c>
      <c r="L550" t="s">
        <v>7165</v>
      </c>
      <c r="M550" s="1" t="s">
        <v>5099</v>
      </c>
      <c r="N550" t="s">
        <v>5100</v>
      </c>
      <c r="O550" s="1" t="s">
        <v>144</v>
      </c>
      <c r="P550" s="1" t="s">
        <v>4318</v>
      </c>
      <c r="Q550" s="11" t="s">
        <v>7333</v>
      </c>
      <c r="R550" s="1">
        <v>10</v>
      </c>
      <c r="S550" s="1">
        <v>2011</v>
      </c>
      <c r="T550" s="1" t="s">
        <v>5101</v>
      </c>
      <c r="U550" s="1">
        <v>6981595</v>
      </c>
      <c r="V550" t="s">
        <v>5102</v>
      </c>
      <c r="W550" t="s">
        <v>5103</v>
      </c>
      <c r="X550" t="s">
        <v>68</v>
      </c>
      <c r="Y550" t="s">
        <v>5104</v>
      </c>
      <c r="Z550" t="s">
        <v>5105</v>
      </c>
      <c r="AA550" t="s">
        <v>5106</v>
      </c>
      <c r="AB550" t="s">
        <v>5107</v>
      </c>
      <c r="AC550" t="s">
        <v>73</v>
      </c>
      <c r="AD550" t="s">
        <v>5108</v>
      </c>
      <c r="AE550" t="s">
        <v>5109</v>
      </c>
      <c r="AF550" t="s">
        <v>76</v>
      </c>
      <c r="AG550" t="s">
        <v>77</v>
      </c>
      <c r="AH550" t="s">
        <v>5110</v>
      </c>
      <c r="AI550" t="s">
        <v>5111</v>
      </c>
      <c r="AJ550" t="s">
        <v>5112</v>
      </c>
      <c r="AK550" t="s">
        <v>158</v>
      </c>
      <c r="AL550" t="s">
        <v>159</v>
      </c>
      <c r="AM550" t="s">
        <v>83</v>
      </c>
      <c r="AN550">
        <v>2015</v>
      </c>
      <c r="AO550">
        <v>63231</v>
      </c>
      <c r="AP550">
        <v>5099965</v>
      </c>
      <c r="AQ550">
        <v>201</v>
      </c>
      <c r="AR550" t="s">
        <v>84</v>
      </c>
      <c r="AS550">
        <v>562</v>
      </c>
      <c r="AT550" t="s">
        <v>85</v>
      </c>
      <c r="AU550" t="s">
        <v>86</v>
      </c>
      <c r="AV550">
        <v>562</v>
      </c>
      <c r="AW550" t="s">
        <v>5113</v>
      </c>
      <c r="AX550" t="s">
        <v>88</v>
      </c>
    </row>
    <row r="551" spans="1:54" x14ac:dyDescent="0.2">
      <c r="A551" t="s">
        <v>5133</v>
      </c>
      <c r="B551" t="s">
        <v>5134</v>
      </c>
      <c r="C551" t="s">
        <v>5135</v>
      </c>
      <c r="D551" t="s">
        <v>5136</v>
      </c>
      <c r="E551" t="s">
        <v>5136</v>
      </c>
      <c r="G551" t="s">
        <v>56</v>
      </c>
      <c r="H551" t="s">
        <v>93</v>
      </c>
      <c r="I551" t="s">
        <v>5137</v>
      </c>
      <c r="J551" t="s">
        <v>5138</v>
      </c>
      <c r="K551" t="s">
        <v>7165</v>
      </c>
      <c r="L551" t="s">
        <v>7165</v>
      </c>
      <c r="M551" s="1" t="s">
        <v>183</v>
      </c>
      <c r="N551" t="s">
        <v>184</v>
      </c>
      <c r="O551" s="1" t="s">
        <v>166</v>
      </c>
      <c r="P551" s="1" t="s">
        <v>250</v>
      </c>
      <c r="Q551" s="11" t="s">
        <v>7327</v>
      </c>
      <c r="R551" s="1">
        <v>33</v>
      </c>
      <c r="S551" s="1">
        <v>1587</v>
      </c>
      <c r="T551" s="1" t="s">
        <v>5140</v>
      </c>
      <c r="U551" s="1">
        <v>7028471</v>
      </c>
      <c r="V551" t="s">
        <v>5141</v>
      </c>
      <c r="W551" t="s">
        <v>5142</v>
      </c>
      <c r="X551" t="s">
        <v>68</v>
      </c>
      <c r="Y551" t="s">
        <v>5143</v>
      </c>
      <c r="Z551" t="s">
        <v>5144</v>
      </c>
      <c r="AA551" t="s">
        <v>5145</v>
      </c>
      <c r="AB551" t="s">
        <v>5107</v>
      </c>
      <c r="AC551" t="s">
        <v>73</v>
      </c>
      <c r="AD551" t="s">
        <v>5146</v>
      </c>
      <c r="AE551" t="s">
        <v>2173</v>
      </c>
      <c r="AF551" t="s">
        <v>76</v>
      </c>
      <c r="AG551" t="s">
        <v>77</v>
      </c>
      <c r="AH551" t="s">
        <v>5147</v>
      </c>
      <c r="AI551" t="s">
        <v>156</v>
      </c>
      <c r="AJ551" t="s">
        <v>5148</v>
      </c>
      <c r="AK551" t="s">
        <v>158</v>
      </c>
      <c r="AL551" t="s">
        <v>159</v>
      </c>
      <c r="AM551" t="s">
        <v>83</v>
      </c>
      <c r="AN551">
        <v>2015</v>
      </c>
      <c r="AO551">
        <v>101159</v>
      </c>
      <c r="AP551">
        <v>5431412</v>
      </c>
      <c r="AQ551">
        <v>164</v>
      </c>
      <c r="AR551" t="s">
        <v>84</v>
      </c>
      <c r="AS551">
        <v>562</v>
      </c>
      <c r="AT551" t="s">
        <v>85</v>
      </c>
      <c r="AU551" t="s">
        <v>86</v>
      </c>
      <c r="AV551">
        <v>562</v>
      </c>
      <c r="AW551" t="s">
        <v>5149</v>
      </c>
      <c r="AX551" t="s">
        <v>88</v>
      </c>
    </row>
    <row r="552" spans="1:54" x14ac:dyDescent="0.2">
      <c r="A552" t="s">
        <v>5293</v>
      </c>
      <c r="B552" t="s">
        <v>5294</v>
      </c>
      <c r="C552" t="s">
        <v>5295</v>
      </c>
      <c r="D552" t="s">
        <v>5296</v>
      </c>
      <c r="E552" t="s">
        <v>5296</v>
      </c>
      <c r="G552" t="s">
        <v>56</v>
      </c>
      <c r="H552" t="s">
        <v>93</v>
      </c>
      <c r="I552" t="s">
        <v>5154</v>
      </c>
      <c r="J552" t="s">
        <v>2384</v>
      </c>
      <c r="K552" t="s">
        <v>7165</v>
      </c>
      <c r="L552" t="s">
        <v>7165</v>
      </c>
      <c r="M552" s="1" t="s">
        <v>183</v>
      </c>
      <c r="N552" t="s">
        <v>184</v>
      </c>
      <c r="O552" s="1" t="s">
        <v>166</v>
      </c>
      <c r="P552" s="1" t="s">
        <v>250</v>
      </c>
      <c r="Q552" s="11" t="s">
        <v>7327</v>
      </c>
      <c r="R552" s="1">
        <v>33</v>
      </c>
      <c r="S552" s="1">
        <v>59323</v>
      </c>
      <c r="T552" s="1" t="s">
        <v>2277</v>
      </c>
      <c r="U552" s="1">
        <v>7760650</v>
      </c>
      <c r="V552" t="s">
        <v>5297</v>
      </c>
      <c r="W552" t="s">
        <v>5298</v>
      </c>
      <c r="X552" t="s">
        <v>68</v>
      </c>
      <c r="Y552" t="s">
        <v>5299</v>
      </c>
      <c r="Z552" t="s">
        <v>5300</v>
      </c>
      <c r="AA552" t="s">
        <v>5301</v>
      </c>
      <c r="AB552" t="s">
        <v>5107</v>
      </c>
      <c r="AC552" t="s">
        <v>73</v>
      </c>
      <c r="AD552" t="s">
        <v>5302</v>
      </c>
      <c r="AE552" t="s">
        <v>2173</v>
      </c>
      <c r="AF552" t="s">
        <v>76</v>
      </c>
      <c r="AG552" t="s">
        <v>77</v>
      </c>
      <c r="AH552" t="s">
        <v>5178</v>
      </c>
      <c r="AI552" t="s">
        <v>156</v>
      </c>
      <c r="AJ552" t="s">
        <v>5148</v>
      </c>
      <c r="AK552" t="s">
        <v>158</v>
      </c>
      <c r="AL552" t="s">
        <v>159</v>
      </c>
      <c r="AM552" t="s">
        <v>83</v>
      </c>
      <c r="AN552">
        <v>2015</v>
      </c>
      <c r="AO552">
        <v>168723</v>
      </c>
      <c r="AP552">
        <v>5324799</v>
      </c>
      <c r="AQ552">
        <v>152</v>
      </c>
      <c r="AR552" t="s">
        <v>84</v>
      </c>
      <c r="AS552">
        <v>562</v>
      </c>
      <c r="AT552" t="s">
        <v>85</v>
      </c>
      <c r="AU552" t="s">
        <v>86</v>
      </c>
      <c r="AV552">
        <v>562</v>
      </c>
      <c r="AW552" t="s">
        <v>5303</v>
      </c>
      <c r="AX552" t="s">
        <v>88</v>
      </c>
    </row>
    <row r="553" spans="1:54" x14ac:dyDescent="0.2">
      <c r="A553" t="s">
        <v>5304</v>
      </c>
      <c r="B553" t="s">
        <v>5305</v>
      </c>
      <c r="C553" t="s">
        <v>5306</v>
      </c>
      <c r="D553" t="s">
        <v>5307</v>
      </c>
      <c r="E553" t="s">
        <v>5307</v>
      </c>
      <c r="G553" t="s">
        <v>56</v>
      </c>
      <c r="H553" t="s">
        <v>93</v>
      </c>
      <c r="I553" t="s">
        <v>2384</v>
      </c>
      <c r="J553" t="s">
        <v>2384</v>
      </c>
      <c r="K553" t="s">
        <v>7165</v>
      </c>
      <c r="L553" t="s">
        <v>7165</v>
      </c>
      <c r="M553" s="1" t="s">
        <v>5217</v>
      </c>
      <c r="N553" t="s">
        <v>5308</v>
      </c>
      <c r="O553" s="1" t="s">
        <v>166</v>
      </c>
      <c r="P553" s="1" t="s">
        <v>250</v>
      </c>
      <c r="Q553" s="11" t="s">
        <v>7327</v>
      </c>
      <c r="R553" s="1">
        <v>8821</v>
      </c>
      <c r="S553" s="1">
        <v>72002</v>
      </c>
      <c r="T553" s="1" t="s">
        <v>5309</v>
      </c>
      <c r="U553" s="1" t="s">
        <v>170</v>
      </c>
      <c r="V553" t="s">
        <v>5310</v>
      </c>
      <c r="X553" t="s">
        <v>68</v>
      </c>
      <c r="Y553" t="s">
        <v>5311</v>
      </c>
      <c r="Z553" t="s">
        <v>5312</v>
      </c>
      <c r="AA553" t="s">
        <v>5313</v>
      </c>
      <c r="AB553" t="s">
        <v>5107</v>
      </c>
      <c r="AC553" t="s">
        <v>73</v>
      </c>
      <c r="AE553" t="s">
        <v>5314</v>
      </c>
      <c r="AF553" t="s">
        <v>76</v>
      </c>
      <c r="AG553" t="s">
        <v>77</v>
      </c>
      <c r="AH553" t="s">
        <v>5315</v>
      </c>
      <c r="AI553" t="s">
        <v>156</v>
      </c>
      <c r="AJ553" t="s">
        <v>5316</v>
      </c>
      <c r="AK553" t="s">
        <v>81</v>
      </c>
      <c r="AL553" t="s">
        <v>82</v>
      </c>
      <c r="AM553" t="s">
        <v>3457</v>
      </c>
      <c r="AN553">
        <v>2015</v>
      </c>
      <c r="AO553">
        <v>84533</v>
      </c>
      <c r="AP553">
        <v>5017702</v>
      </c>
      <c r="AQ553">
        <v>134</v>
      </c>
      <c r="AR553" t="s">
        <v>84</v>
      </c>
      <c r="AS553">
        <v>562</v>
      </c>
      <c r="AV553">
        <v>562</v>
      </c>
      <c r="AX553" t="s">
        <v>88</v>
      </c>
    </row>
    <row r="554" spans="1:54" x14ac:dyDescent="0.2">
      <c r="A554" t="s">
        <v>5054</v>
      </c>
      <c r="B554" t="s">
        <v>5055</v>
      </c>
      <c r="C554" t="s">
        <v>5056</v>
      </c>
      <c r="D554" t="s">
        <v>5057</v>
      </c>
      <c r="E554" t="s">
        <v>5057</v>
      </c>
      <c r="F554" t="s">
        <v>2035</v>
      </c>
      <c r="G554" t="s">
        <v>56</v>
      </c>
      <c r="H554" t="s">
        <v>93</v>
      </c>
      <c r="I554" t="s">
        <v>2384</v>
      </c>
      <c r="J554" t="s">
        <v>2384</v>
      </c>
      <c r="K554" t="s">
        <v>7165</v>
      </c>
      <c r="L554" t="s">
        <v>7165</v>
      </c>
      <c r="M554" s="1" t="s">
        <v>5058</v>
      </c>
      <c r="N554" t="s">
        <v>5059</v>
      </c>
      <c r="O554" s="1" t="s">
        <v>5060</v>
      </c>
      <c r="P554" s="1" t="s">
        <v>4318</v>
      </c>
      <c r="Q554" s="11" t="s">
        <v>7333</v>
      </c>
      <c r="R554" s="1">
        <v>641</v>
      </c>
      <c r="S554" s="1">
        <v>93687</v>
      </c>
      <c r="T554" s="1" t="s">
        <v>5061</v>
      </c>
      <c r="U554" s="1">
        <v>6981595</v>
      </c>
      <c r="V554" t="s">
        <v>5062</v>
      </c>
      <c r="W554" t="s">
        <v>5063</v>
      </c>
      <c r="X554" t="s">
        <v>68</v>
      </c>
      <c r="Y554" t="s">
        <v>5064</v>
      </c>
      <c r="Z554" t="s">
        <v>5065</v>
      </c>
      <c r="AA554" t="s">
        <v>5066</v>
      </c>
      <c r="AB554" t="s">
        <v>2390</v>
      </c>
      <c r="AC554" t="s">
        <v>73</v>
      </c>
      <c r="AD554" t="s">
        <v>5067</v>
      </c>
      <c r="AE554" t="s">
        <v>5068</v>
      </c>
      <c r="AF554" t="s">
        <v>76</v>
      </c>
      <c r="AG554" t="s">
        <v>77</v>
      </c>
      <c r="AH554" t="s">
        <v>5069</v>
      </c>
      <c r="AI554" t="s">
        <v>5070</v>
      </c>
      <c r="AJ554" t="s">
        <v>5071</v>
      </c>
      <c r="AK554" t="s">
        <v>158</v>
      </c>
      <c r="AL554" t="s">
        <v>159</v>
      </c>
      <c r="AM554" t="s">
        <v>83</v>
      </c>
      <c r="AN554">
        <v>2015</v>
      </c>
      <c r="AO554">
        <v>92870</v>
      </c>
      <c r="AP554">
        <v>5248153</v>
      </c>
      <c r="AQ554">
        <v>156</v>
      </c>
      <c r="AR554" t="s">
        <v>84</v>
      </c>
      <c r="AS554">
        <v>562</v>
      </c>
      <c r="AT554" t="s">
        <v>85</v>
      </c>
      <c r="AU554" t="s">
        <v>86</v>
      </c>
      <c r="AV554">
        <v>562</v>
      </c>
      <c r="AW554" t="s">
        <v>5072</v>
      </c>
      <c r="AX554" t="s">
        <v>88</v>
      </c>
      <c r="AZ554" t="s">
        <v>5073</v>
      </c>
      <c r="BA554">
        <v>0</v>
      </c>
    </row>
    <row r="555" spans="1:54" x14ac:dyDescent="0.2">
      <c r="A555" t="s">
        <v>5272</v>
      </c>
      <c r="B555" t="s">
        <v>5273</v>
      </c>
      <c r="C555" t="s">
        <v>5260</v>
      </c>
      <c r="D555" t="s">
        <v>5274</v>
      </c>
      <c r="E555" t="s">
        <v>5274</v>
      </c>
      <c r="G555" t="s">
        <v>56</v>
      </c>
      <c r="H555" t="s">
        <v>93</v>
      </c>
      <c r="I555" t="s">
        <v>2384</v>
      </c>
      <c r="J555" t="s">
        <v>2384</v>
      </c>
      <c r="K555" t="s">
        <v>7165</v>
      </c>
      <c r="L555" t="s">
        <v>7165</v>
      </c>
      <c r="M555" s="1" t="s">
        <v>3210</v>
      </c>
      <c r="N555" t="s">
        <v>3211</v>
      </c>
      <c r="O555" s="1" t="s">
        <v>144</v>
      </c>
      <c r="P555" s="1" t="s">
        <v>64</v>
      </c>
      <c r="Q555" s="11" t="s">
        <v>7220</v>
      </c>
      <c r="R555" s="1">
        <v>6118</v>
      </c>
      <c r="S555" s="1">
        <v>35267</v>
      </c>
      <c r="T555" s="1" t="s">
        <v>169</v>
      </c>
      <c r="U555" s="1">
        <v>7706011</v>
      </c>
      <c r="V555" t="s">
        <v>5275</v>
      </c>
      <c r="W555" t="s">
        <v>5276</v>
      </c>
      <c r="X555" t="s">
        <v>68</v>
      </c>
      <c r="Y555" t="s">
        <v>5277</v>
      </c>
      <c r="Z555" t="s">
        <v>5278</v>
      </c>
      <c r="AA555" t="s">
        <v>5279</v>
      </c>
      <c r="AB555" t="s">
        <v>2390</v>
      </c>
      <c r="AC555" t="s">
        <v>73</v>
      </c>
      <c r="AD555" t="s">
        <v>5280</v>
      </c>
      <c r="AE555" t="s">
        <v>75</v>
      </c>
      <c r="AF555" t="s">
        <v>76</v>
      </c>
      <c r="AG555" t="s">
        <v>77</v>
      </c>
      <c r="AH555" t="s">
        <v>5268</v>
      </c>
      <c r="AI555" t="s">
        <v>156</v>
      </c>
      <c r="AJ555" t="s">
        <v>5269</v>
      </c>
      <c r="AK555" t="s">
        <v>81</v>
      </c>
      <c r="AL555" t="s">
        <v>82</v>
      </c>
      <c r="AM555" t="s">
        <v>83</v>
      </c>
      <c r="AN555">
        <v>2015</v>
      </c>
      <c r="AO555">
        <v>80407</v>
      </c>
      <c r="AP555">
        <v>5385900</v>
      </c>
      <c r="AQ555">
        <v>233</v>
      </c>
      <c r="AR555" t="s">
        <v>84</v>
      </c>
      <c r="AS555">
        <v>562</v>
      </c>
      <c r="AT555" t="s">
        <v>85</v>
      </c>
      <c r="AU555" t="s">
        <v>86</v>
      </c>
      <c r="AV555">
        <v>562</v>
      </c>
      <c r="AW555" t="s">
        <v>5281</v>
      </c>
      <c r="AX555" t="s">
        <v>88</v>
      </c>
      <c r="AZ555" t="s">
        <v>5271</v>
      </c>
      <c r="BA555">
        <v>0</v>
      </c>
    </row>
    <row r="556" spans="1:54" x14ac:dyDescent="0.2">
      <c r="A556" t="s">
        <v>2380</v>
      </c>
      <c r="B556" t="s">
        <v>2381</v>
      </c>
      <c r="C556" t="s">
        <v>2382</v>
      </c>
      <c r="D556" t="s">
        <v>2383</v>
      </c>
      <c r="E556" t="s">
        <v>2383</v>
      </c>
      <c r="G556" t="s">
        <v>56</v>
      </c>
      <c r="H556" t="s">
        <v>58</v>
      </c>
      <c r="I556" t="s">
        <v>2384</v>
      </c>
      <c r="J556" t="s">
        <v>2384</v>
      </c>
      <c r="K556" t="s">
        <v>7165</v>
      </c>
      <c r="L556" t="s">
        <v>7165</v>
      </c>
      <c r="M556" s="1" t="s">
        <v>603</v>
      </c>
      <c r="N556" t="s">
        <v>649</v>
      </c>
      <c r="O556" s="1" t="s">
        <v>875</v>
      </c>
      <c r="P556" s="1" t="s">
        <v>64</v>
      </c>
      <c r="Q556" s="11" t="s">
        <v>7220</v>
      </c>
      <c r="R556" s="1">
        <v>11</v>
      </c>
      <c r="S556" s="1">
        <v>51328</v>
      </c>
      <c r="T556" s="1" t="s">
        <v>2104</v>
      </c>
      <c r="U556" s="1" t="s">
        <v>170</v>
      </c>
      <c r="V556" t="s">
        <v>2385</v>
      </c>
      <c r="W556" t="s">
        <v>2386</v>
      </c>
      <c r="X556" t="s">
        <v>68</v>
      </c>
      <c r="Y556" t="s">
        <v>2387</v>
      </c>
      <c r="Z556" t="s">
        <v>2388</v>
      </c>
      <c r="AA556" t="s">
        <v>2389</v>
      </c>
      <c r="AB556" t="s">
        <v>2390</v>
      </c>
      <c r="AC556" t="s">
        <v>73</v>
      </c>
      <c r="AD556" t="s">
        <v>2391</v>
      </c>
      <c r="AE556" t="s">
        <v>2126</v>
      </c>
      <c r="AF556" t="s">
        <v>76</v>
      </c>
      <c r="AG556" t="s">
        <v>77</v>
      </c>
      <c r="AH556" t="s">
        <v>2392</v>
      </c>
      <c r="AI556" t="s">
        <v>1104</v>
      </c>
      <c r="AJ556" t="s">
        <v>2127</v>
      </c>
      <c r="AK556" t="s">
        <v>158</v>
      </c>
      <c r="AL556" t="s">
        <v>159</v>
      </c>
      <c r="AM556" t="s">
        <v>83</v>
      </c>
      <c r="AN556">
        <v>2015</v>
      </c>
      <c r="AO556">
        <v>142773</v>
      </c>
      <c r="AP556">
        <v>5437080</v>
      </c>
      <c r="AQ556">
        <v>163</v>
      </c>
      <c r="AR556" t="s">
        <v>84</v>
      </c>
      <c r="AS556">
        <v>562</v>
      </c>
      <c r="AT556" t="s">
        <v>85</v>
      </c>
      <c r="AU556" t="s">
        <v>86</v>
      </c>
      <c r="AV556">
        <v>562</v>
      </c>
      <c r="AW556" t="s">
        <v>2393</v>
      </c>
      <c r="AX556" t="s">
        <v>88</v>
      </c>
    </row>
    <row r="557" spans="1:54" x14ac:dyDescent="0.2">
      <c r="A557" t="s">
        <v>5243</v>
      </c>
      <c r="B557" t="s">
        <v>5244</v>
      </c>
      <c r="C557" t="s">
        <v>5245</v>
      </c>
      <c r="D557" t="s">
        <v>5246</v>
      </c>
      <c r="E557" t="s">
        <v>5246</v>
      </c>
      <c r="G557" t="s">
        <v>56</v>
      </c>
      <c r="H557" t="s">
        <v>93</v>
      </c>
      <c r="I557" t="s">
        <v>5247</v>
      </c>
      <c r="J557" t="s">
        <v>5041</v>
      </c>
      <c r="K557" t="s">
        <v>7165</v>
      </c>
      <c r="L557" t="s">
        <v>7165</v>
      </c>
      <c r="M557" s="1" t="s">
        <v>183</v>
      </c>
      <c r="N557" t="s">
        <v>184</v>
      </c>
      <c r="O557" s="1" t="s">
        <v>166</v>
      </c>
      <c r="P557" s="1" t="s">
        <v>250</v>
      </c>
      <c r="Q557" s="11" t="s">
        <v>7327</v>
      </c>
      <c r="R557" s="1">
        <v>33</v>
      </c>
      <c r="S557" s="1">
        <v>101477</v>
      </c>
      <c r="T557" s="1" t="s">
        <v>5248</v>
      </c>
      <c r="U557" s="1" t="s">
        <v>170</v>
      </c>
      <c r="V557" t="s">
        <v>5249</v>
      </c>
      <c r="W557" t="s">
        <v>5250</v>
      </c>
      <c r="X557" t="s">
        <v>68</v>
      </c>
      <c r="Y557" t="s">
        <v>5251</v>
      </c>
      <c r="Z557" t="s">
        <v>5252</v>
      </c>
      <c r="AA557" t="s">
        <v>5253</v>
      </c>
      <c r="AB557" t="s">
        <v>2390</v>
      </c>
      <c r="AC557" t="s">
        <v>73</v>
      </c>
      <c r="AD557" t="s">
        <v>5254</v>
      </c>
      <c r="AE557" t="s">
        <v>5255</v>
      </c>
      <c r="AF557" t="s">
        <v>76</v>
      </c>
      <c r="AG557" t="s">
        <v>77</v>
      </c>
      <c r="AH557" t="s">
        <v>5178</v>
      </c>
      <c r="AI557" t="s">
        <v>156</v>
      </c>
      <c r="AJ557" t="s">
        <v>5256</v>
      </c>
      <c r="AK557" t="s">
        <v>158</v>
      </c>
      <c r="AL557" t="s">
        <v>159</v>
      </c>
      <c r="AM557" t="s">
        <v>83</v>
      </c>
      <c r="AN557">
        <v>2015</v>
      </c>
      <c r="AO557">
        <v>125587</v>
      </c>
      <c r="AP557">
        <v>5438046</v>
      </c>
      <c r="AQ557">
        <v>133</v>
      </c>
      <c r="AR557" t="s">
        <v>84</v>
      </c>
      <c r="AS557">
        <v>562</v>
      </c>
      <c r="AT557" t="s">
        <v>85</v>
      </c>
      <c r="AU557" t="s">
        <v>86</v>
      </c>
      <c r="AV557">
        <v>562</v>
      </c>
      <c r="AW557" t="s">
        <v>5257</v>
      </c>
      <c r="AX557" t="s">
        <v>88</v>
      </c>
    </row>
    <row r="558" spans="1:54" x14ac:dyDescent="0.2">
      <c r="A558" t="s">
        <v>5037</v>
      </c>
      <c r="B558" t="s">
        <v>5038</v>
      </c>
      <c r="C558" t="s">
        <v>5039</v>
      </c>
      <c r="D558" t="s">
        <v>5040</v>
      </c>
      <c r="E558" t="s">
        <v>5040</v>
      </c>
      <c r="G558" t="s">
        <v>56</v>
      </c>
      <c r="H558" t="s">
        <v>58</v>
      </c>
      <c r="I558" t="s">
        <v>5041</v>
      </c>
      <c r="J558" t="s">
        <v>5041</v>
      </c>
      <c r="K558" t="s">
        <v>7165</v>
      </c>
      <c r="L558" t="s">
        <v>7165</v>
      </c>
      <c r="M558" s="1" t="s">
        <v>4502</v>
      </c>
      <c r="N558" t="s">
        <v>5042</v>
      </c>
      <c r="O558" s="1" t="s">
        <v>144</v>
      </c>
      <c r="P558" s="1" t="s">
        <v>4318</v>
      </c>
      <c r="Q558" s="11" t="s">
        <v>7316</v>
      </c>
      <c r="R558" s="1">
        <v>710</v>
      </c>
      <c r="S558" s="1">
        <v>101149</v>
      </c>
      <c r="T558" s="1" t="s">
        <v>169</v>
      </c>
      <c r="U558" s="1">
        <v>6634420</v>
      </c>
      <c r="V558" t="s">
        <v>5044</v>
      </c>
      <c r="W558" t="s">
        <v>5045</v>
      </c>
      <c r="X558" t="s">
        <v>68</v>
      </c>
      <c r="Y558" t="s">
        <v>5046</v>
      </c>
      <c r="Z558" t="s">
        <v>5047</v>
      </c>
      <c r="AA558" t="s">
        <v>5048</v>
      </c>
      <c r="AB558" t="s">
        <v>2390</v>
      </c>
      <c r="AC558" t="s">
        <v>73</v>
      </c>
      <c r="AD558" t="s">
        <v>5049</v>
      </c>
      <c r="AE558" t="s">
        <v>3402</v>
      </c>
      <c r="AF558" t="s">
        <v>76</v>
      </c>
      <c r="AG558" t="s">
        <v>77</v>
      </c>
      <c r="AH558" t="s">
        <v>5050</v>
      </c>
      <c r="AI558" t="s">
        <v>5051</v>
      </c>
      <c r="AJ558" t="s">
        <v>3404</v>
      </c>
      <c r="AK558" t="s">
        <v>81</v>
      </c>
      <c r="AL558" t="s">
        <v>82</v>
      </c>
      <c r="AM558" t="s">
        <v>83</v>
      </c>
      <c r="AN558">
        <v>2015</v>
      </c>
      <c r="AO558">
        <v>107371</v>
      </c>
      <c r="AP558">
        <v>5014940</v>
      </c>
      <c r="AQ558">
        <v>172</v>
      </c>
      <c r="AR558" t="s">
        <v>84</v>
      </c>
      <c r="AS558">
        <v>562</v>
      </c>
      <c r="AT558" t="s">
        <v>85</v>
      </c>
      <c r="AU558" t="s">
        <v>86</v>
      </c>
      <c r="AV558">
        <v>562</v>
      </c>
      <c r="AW558" t="s">
        <v>5052</v>
      </c>
      <c r="AX558" t="s">
        <v>88</v>
      </c>
      <c r="AZ558" t="s">
        <v>5053</v>
      </c>
      <c r="BA558">
        <v>15</v>
      </c>
    </row>
    <row r="559" spans="1:54" x14ac:dyDescent="0.2">
      <c r="A559" t="s">
        <v>5114</v>
      </c>
      <c r="B559" t="s">
        <v>5115</v>
      </c>
      <c r="C559" t="s">
        <v>5116</v>
      </c>
      <c r="D559" t="s">
        <v>5117</v>
      </c>
      <c r="E559" t="s">
        <v>5117</v>
      </c>
      <c r="G559" t="s">
        <v>56</v>
      </c>
      <c r="H559" t="s">
        <v>93</v>
      </c>
      <c r="I559" t="s">
        <v>2384</v>
      </c>
      <c r="J559" t="s">
        <v>2384</v>
      </c>
      <c r="K559" t="s">
        <v>7165</v>
      </c>
      <c r="L559" t="s">
        <v>7165</v>
      </c>
      <c r="M559" s="1" t="s">
        <v>5118</v>
      </c>
      <c r="N559" t="s">
        <v>5119</v>
      </c>
      <c r="O559" s="1" t="s">
        <v>144</v>
      </c>
      <c r="P559" s="1" t="s">
        <v>4318</v>
      </c>
      <c r="Q559" s="11" t="s">
        <v>7347</v>
      </c>
      <c r="R559" s="1">
        <v>6118</v>
      </c>
      <c r="S559" s="1">
        <v>115002</v>
      </c>
      <c r="T559" s="1" t="s">
        <v>5120</v>
      </c>
      <c r="U559" s="1">
        <v>6981595</v>
      </c>
      <c r="V559" t="s">
        <v>5121</v>
      </c>
      <c r="W559" t="s">
        <v>5122</v>
      </c>
      <c r="X559" t="s">
        <v>68</v>
      </c>
      <c r="Y559" t="s">
        <v>5123</v>
      </c>
      <c r="Z559" t="s">
        <v>5124</v>
      </c>
      <c r="AA559" t="s">
        <v>5125</v>
      </c>
      <c r="AB559" t="s">
        <v>5126</v>
      </c>
      <c r="AC559" t="s">
        <v>73</v>
      </c>
      <c r="AD559" t="s">
        <v>5127</v>
      </c>
      <c r="AE559" t="s">
        <v>5128</v>
      </c>
      <c r="AF559" t="s">
        <v>76</v>
      </c>
      <c r="AG559" t="s">
        <v>77</v>
      </c>
      <c r="AH559" t="s">
        <v>5129</v>
      </c>
      <c r="AI559" t="s">
        <v>5130</v>
      </c>
      <c r="AJ559" t="s">
        <v>5131</v>
      </c>
      <c r="AK559" t="s">
        <v>81</v>
      </c>
      <c r="AL559" t="s">
        <v>82</v>
      </c>
      <c r="AM559" t="s">
        <v>83</v>
      </c>
      <c r="AN559">
        <v>2015</v>
      </c>
      <c r="AO559">
        <v>82284</v>
      </c>
      <c r="AP559">
        <v>5198867</v>
      </c>
      <c r="AQ559">
        <v>163</v>
      </c>
      <c r="AR559" t="s">
        <v>84</v>
      </c>
      <c r="AS559">
        <v>562</v>
      </c>
      <c r="AT559" t="s">
        <v>85</v>
      </c>
      <c r="AU559" t="s">
        <v>86</v>
      </c>
      <c r="AV559">
        <v>562</v>
      </c>
      <c r="AW559" t="s">
        <v>5132</v>
      </c>
      <c r="AX559" t="s">
        <v>88</v>
      </c>
    </row>
    <row r="560" spans="1:54" ht="15" customHeight="1" x14ac:dyDescent="0.2">
      <c r="A560" t="s">
        <v>6943</v>
      </c>
      <c r="B560" t="s">
        <v>6943</v>
      </c>
      <c r="D560" t="s">
        <v>6944</v>
      </c>
      <c r="H560" t="s">
        <v>58</v>
      </c>
      <c r="I560" t="s">
        <v>602</v>
      </c>
      <c r="K560" t="s">
        <v>7162</v>
      </c>
      <c r="L560" t="s">
        <v>7162</v>
      </c>
      <c r="M560" s="11" t="s">
        <v>6945</v>
      </c>
      <c r="N560" s="11"/>
      <c r="O560" s="11" t="s">
        <v>3530</v>
      </c>
      <c r="P560" s="11" t="s">
        <v>6946</v>
      </c>
      <c r="V560" t="s">
        <v>6947</v>
      </c>
      <c r="W560" t="s">
        <v>6948</v>
      </c>
      <c r="X560" t="s">
        <v>6949</v>
      </c>
      <c r="Y560" t="s">
        <v>6950</v>
      </c>
      <c r="Z560" t="s">
        <v>6951</v>
      </c>
    </row>
    <row r="561" spans="1:26" ht="15" customHeight="1" x14ac:dyDescent="0.2">
      <c r="A561" t="s">
        <v>6952</v>
      </c>
      <c r="B561" t="s">
        <v>6952</v>
      </c>
      <c r="D561" t="s">
        <v>6953</v>
      </c>
      <c r="H561" t="s">
        <v>58</v>
      </c>
      <c r="I561" t="s">
        <v>602</v>
      </c>
      <c r="K561" t="s">
        <v>7162</v>
      </c>
      <c r="L561" t="s">
        <v>7162</v>
      </c>
      <c r="M561" s="11" t="s">
        <v>4511</v>
      </c>
      <c r="N561" s="11"/>
      <c r="O561" s="11" t="s">
        <v>6954</v>
      </c>
      <c r="P561" s="11" t="s">
        <v>6946</v>
      </c>
      <c r="V561" t="s">
        <v>6955</v>
      </c>
      <c r="W561" t="s">
        <v>6956</v>
      </c>
      <c r="X561" t="s">
        <v>6949</v>
      </c>
      <c r="Y561" t="s">
        <v>6957</v>
      </c>
      <c r="Z561" t="s">
        <v>6958</v>
      </c>
    </row>
    <row r="562" spans="1:26" ht="15" customHeight="1" x14ac:dyDescent="0.2">
      <c r="A562" t="s">
        <v>6959</v>
      </c>
      <c r="B562" t="s">
        <v>6959</v>
      </c>
      <c r="D562" t="s">
        <v>6960</v>
      </c>
      <c r="H562" t="s">
        <v>58</v>
      </c>
      <c r="I562" t="s">
        <v>602</v>
      </c>
      <c r="K562" t="s">
        <v>7162</v>
      </c>
      <c r="L562" t="s">
        <v>7162</v>
      </c>
      <c r="M562" s="11" t="s">
        <v>4538</v>
      </c>
      <c r="N562" s="11"/>
      <c r="O562" s="11" t="s">
        <v>6961</v>
      </c>
      <c r="P562" s="11" t="s">
        <v>6946</v>
      </c>
      <c r="V562" t="s">
        <v>6962</v>
      </c>
      <c r="W562" t="s">
        <v>6948</v>
      </c>
      <c r="X562" t="s">
        <v>6963</v>
      </c>
      <c r="Y562" t="s">
        <v>6964</v>
      </c>
    </row>
    <row r="563" spans="1:26" ht="15" customHeight="1" x14ac:dyDescent="0.2">
      <c r="A563" t="s">
        <v>6965</v>
      </c>
      <c r="B563" t="s">
        <v>6965</v>
      </c>
      <c r="D563" t="s">
        <v>6966</v>
      </c>
      <c r="H563" t="s">
        <v>58</v>
      </c>
      <c r="I563" t="s">
        <v>602</v>
      </c>
      <c r="K563" t="s">
        <v>7162</v>
      </c>
      <c r="L563" t="s">
        <v>7162</v>
      </c>
      <c r="M563" s="11" t="s">
        <v>4538</v>
      </c>
      <c r="N563" s="11"/>
      <c r="O563" s="11" t="s">
        <v>4741</v>
      </c>
      <c r="P563" s="11" t="s">
        <v>6946</v>
      </c>
      <c r="V563" t="s">
        <v>6967</v>
      </c>
      <c r="W563" t="s">
        <v>6968</v>
      </c>
      <c r="X563" t="s">
        <v>6949</v>
      </c>
      <c r="Y563" t="s">
        <v>6969</v>
      </c>
      <c r="Z563" t="s">
        <v>6970</v>
      </c>
    </row>
    <row r="564" spans="1:26" ht="15" customHeight="1" x14ac:dyDescent="0.2">
      <c r="A564" t="s">
        <v>6971</v>
      </c>
      <c r="B564" t="s">
        <v>6971</v>
      </c>
      <c r="D564" t="s">
        <v>6972</v>
      </c>
      <c r="H564" t="s">
        <v>58</v>
      </c>
      <c r="I564" t="s">
        <v>602</v>
      </c>
      <c r="K564" t="s">
        <v>7162</v>
      </c>
      <c r="L564" t="s">
        <v>7162</v>
      </c>
      <c r="M564" s="11" t="s">
        <v>603</v>
      </c>
      <c r="N564" s="11"/>
      <c r="O564" s="11" t="s">
        <v>650</v>
      </c>
      <c r="P564" s="11" t="s">
        <v>6974</v>
      </c>
      <c r="V564" t="s">
        <v>6975</v>
      </c>
      <c r="W564" t="s">
        <v>6976</v>
      </c>
      <c r="X564" t="s">
        <v>6963</v>
      </c>
      <c r="Y564" t="s">
        <v>6977</v>
      </c>
    </row>
    <row r="565" spans="1:26" ht="15" customHeight="1" x14ac:dyDescent="0.2">
      <c r="A565" t="s">
        <v>6978</v>
      </c>
      <c r="B565" t="s">
        <v>6978</v>
      </c>
      <c r="D565" t="s">
        <v>6979</v>
      </c>
      <c r="H565" t="s">
        <v>58</v>
      </c>
      <c r="I565" t="s">
        <v>602</v>
      </c>
      <c r="K565" t="s">
        <v>7162</v>
      </c>
      <c r="L565" t="s">
        <v>7162</v>
      </c>
      <c r="M565" s="11" t="s">
        <v>603</v>
      </c>
      <c r="N565" s="11"/>
      <c r="O565" s="11" t="s">
        <v>674</v>
      </c>
      <c r="P565" s="11" t="s">
        <v>6980</v>
      </c>
      <c r="V565" t="e">
        <v>#N/A</v>
      </c>
      <c r="W565" t="s">
        <v>6948</v>
      </c>
      <c r="X565" t="s">
        <v>6949</v>
      </c>
      <c r="Y565" t="e">
        <v>#N/A</v>
      </c>
      <c r="Z565" t="e">
        <v>#N/A</v>
      </c>
    </row>
    <row r="566" spans="1:26" ht="15" customHeight="1" x14ac:dyDescent="0.2">
      <c r="A566" t="s">
        <v>6981</v>
      </c>
      <c r="B566" t="s">
        <v>6981</v>
      </c>
      <c r="D566" t="s">
        <v>6982</v>
      </c>
      <c r="H566" t="s">
        <v>58</v>
      </c>
      <c r="I566" t="s">
        <v>602</v>
      </c>
      <c r="K566" t="s">
        <v>7162</v>
      </c>
      <c r="L566" t="s">
        <v>7162</v>
      </c>
      <c r="M566" s="11" t="s">
        <v>603</v>
      </c>
      <c r="N566" s="11"/>
      <c r="O566" s="11" t="s">
        <v>650</v>
      </c>
      <c r="P566" s="11" t="s">
        <v>6984</v>
      </c>
      <c r="V566" t="e">
        <v>#N/A</v>
      </c>
      <c r="W566" t="s">
        <v>6948</v>
      </c>
      <c r="X566" t="s">
        <v>6949</v>
      </c>
      <c r="Y566" t="e">
        <v>#N/A</v>
      </c>
      <c r="Z566" t="e">
        <v>#N/A</v>
      </c>
    </row>
    <row r="567" spans="1:26" ht="15" customHeight="1" x14ac:dyDescent="0.2">
      <c r="A567" t="s">
        <v>6985</v>
      </c>
      <c r="B567" t="s">
        <v>6985</v>
      </c>
      <c r="D567" t="s">
        <v>6986</v>
      </c>
      <c r="H567" t="s">
        <v>58</v>
      </c>
      <c r="I567" t="s">
        <v>602</v>
      </c>
      <c r="K567" t="s">
        <v>7162</v>
      </c>
      <c r="L567" t="s">
        <v>7162</v>
      </c>
      <c r="M567" s="11" t="s">
        <v>603</v>
      </c>
      <c r="N567" s="11"/>
      <c r="O567" s="11" t="s">
        <v>6987</v>
      </c>
      <c r="P567" s="11" t="s">
        <v>6988</v>
      </c>
      <c r="V567" t="s">
        <v>6989</v>
      </c>
      <c r="W567" t="s">
        <v>6948</v>
      </c>
      <c r="X567" t="s">
        <v>6990</v>
      </c>
      <c r="Z567" t="s">
        <v>6991</v>
      </c>
    </row>
    <row r="568" spans="1:26" ht="15" customHeight="1" x14ac:dyDescent="0.2">
      <c r="A568" t="s">
        <v>6992</v>
      </c>
      <c r="B568" t="s">
        <v>6992</v>
      </c>
      <c r="D568" t="s">
        <v>6993</v>
      </c>
      <c r="H568" t="s">
        <v>58</v>
      </c>
      <c r="I568" t="s">
        <v>602</v>
      </c>
      <c r="K568" t="s">
        <v>7162</v>
      </c>
      <c r="L568" t="s">
        <v>7162</v>
      </c>
      <c r="M568" s="11" t="s">
        <v>4538</v>
      </c>
      <c r="N568" s="11"/>
      <c r="O568" s="11" t="s">
        <v>6961</v>
      </c>
      <c r="P568" s="11" t="s">
        <v>6946</v>
      </c>
      <c r="V568" t="s">
        <v>6995</v>
      </c>
      <c r="W568" t="s">
        <v>6996</v>
      </c>
      <c r="X568" t="s">
        <v>6949</v>
      </c>
      <c r="Y568" t="s">
        <v>6997</v>
      </c>
      <c r="Z568" t="s">
        <v>6996</v>
      </c>
    </row>
    <row r="569" spans="1:26" ht="15" customHeight="1" x14ac:dyDescent="0.2">
      <c r="A569" t="s">
        <v>6998</v>
      </c>
      <c r="B569" t="s">
        <v>6998</v>
      </c>
      <c r="D569" t="s">
        <v>6999</v>
      </c>
      <c r="H569" t="s">
        <v>58</v>
      </c>
      <c r="I569" t="s">
        <v>602</v>
      </c>
      <c r="K569" t="s">
        <v>7162</v>
      </c>
      <c r="L569" t="s">
        <v>7162</v>
      </c>
      <c r="M569" s="11" t="s">
        <v>7001</v>
      </c>
      <c r="N569" s="11"/>
      <c r="O569" s="11" t="s">
        <v>7002</v>
      </c>
      <c r="P569" s="11" t="s">
        <v>6984</v>
      </c>
      <c r="V569" t="s">
        <v>7003</v>
      </c>
      <c r="W569" t="s">
        <v>6948</v>
      </c>
      <c r="X569" t="s">
        <v>6949</v>
      </c>
      <c r="Y569" t="s">
        <v>7004</v>
      </c>
      <c r="Z569" t="s">
        <v>7005</v>
      </c>
    </row>
    <row r="570" spans="1:26" ht="15" customHeight="1" x14ac:dyDescent="0.2">
      <c r="A570" t="s">
        <v>7006</v>
      </c>
      <c r="B570" t="s">
        <v>7006</v>
      </c>
      <c r="D570" t="s">
        <v>7007</v>
      </c>
      <c r="H570" t="s">
        <v>58</v>
      </c>
      <c r="I570" t="s">
        <v>602</v>
      </c>
      <c r="K570" t="s">
        <v>7162</v>
      </c>
      <c r="L570" t="s">
        <v>7162</v>
      </c>
      <c r="M570" s="11" t="s">
        <v>4538</v>
      </c>
      <c r="N570" s="11"/>
      <c r="O570" s="11" t="s">
        <v>6961</v>
      </c>
      <c r="P570" s="11" t="s">
        <v>6946</v>
      </c>
      <c r="V570" t="s">
        <v>7008</v>
      </c>
      <c r="W570" t="s">
        <v>7009</v>
      </c>
      <c r="X570" t="s">
        <v>6949</v>
      </c>
      <c r="Y570" t="s">
        <v>7009</v>
      </c>
      <c r="Z570" t="s">
        <v>7010</v>
      </c>
    </row>
    <row r="571" spans="1:26" ht="15" customHeight="1" x14ac:dyDescent="0.2">
      <c r="A571" t="s">
        <v>7011</v>
      </c>
      <c r="B571" t="s">
        <v>7011</v>
      </c>
      <c r="D571" t="s">
        <v>7012</v>
      </c>
      <c r="H571" t="s">
        <v>58</v>
      </c>
      <c r="I571" t="s">
        <v>602</v>
      </c>
      <c r="K571" t="s">
        <v>7162</v>
      </c>
      <c r="L571" t="s">
        <v>7162</v>
      </c>
      <c r="M571" s="11" t="s">
        <v>7013</v>
      </c>
      <c r="N571" s="11"/>
      <c r="O571" s="11" t="s">
        <v>3530</v>
      </c>
      <c r="P571" s="11" t="s">
        <v>6946</v>
      </c>
      <c r="Q571"/>
      <c r="V571" t="e">
        <v>#N/A</v>
      </c>
      <c r="W571" t="s">
        <v>6948</v>
      </c>
      <c r="X571" t="s">
        <v>6949</v>
      </c>
      <c r="Y571" t="e">
        <v>#N/A</v>
      </c>
      <c r="Z571" t="e">
        <v>#N/A</v>
      </c>
    </row>
    <row r="572" spans="1:26" ht="15" customHeight="1" x14ac:dyDescent="0.2">
      <c r="A572" t="s">
        <v>7014</v>
      </c>
      <c r="B572" t="s">
        <v>7014</v>
      </c>
      <c r="D572" t="s">
        <v>7015</v>
      </c>
      <c r="H572" t="s">
        <v>58</v>
      </c>
      <c r="I572" t="s">
        <v>602</v>
      </c>
      <c r="K572" t="s">
        <v>7162</v>
      </c>
      <c r="L572" t="s">
        <v>7162</v>
      </c>
      <c r="M572" s="11" t="s">
        <v>7017</v>
      </c>
      <c r="N572" s="11"/>
      <c r="O572" s="11" t="s">
        <v>7018</v>
      </c>
      <c r="P572" s="11" t="s">
        <v>6946</v>
      </c>
      <c r="Q572"/>
      <c r="V572" t="s">
        <v>7019</v>
      </c>
      <c r="W572" t="s">
        <v>6948</v>
      </c>
      <c r="X572" t="s">
        <v>6963</v>
      </c>
      <c r="Y572" t="s">
        <v>7021</v>
      </c>
    </row>
    <row r="573" spans="1:26" ht="15" customHeight="1" x14ac:dyDescent="0.2">
      <c r="A573" t="s">
        <v>7022</v>
      </c>
      <c r="B573" t="s">
        <v>7022</v>
      </c>
      <c r="D573" t="s">
        <v>7023</v>
      </c>
      <c r="H573" t="s">
        <v>58</v>
      </c>
      <c r="I573" t="s">
        <v>602</v>
      </c>
      <c r="K573" t="s">
        <v>7162</v>
      </c>
      <c r="L573" t="s">
        <v>7162</v>
      </c>
      <c r="M573" s="11" t="s">
        <v>7024</v>
      </c>
      <c r="N573" s="11"/>
      <c r="O573" s="11" t="s">
        <v>63</v>
      </c>
      <c r="P573" s="11" t="s">
        <v>7025</v>
      </c>
      <c r="Q573"/>
      <c r="V573" t="s">
        <v>7026</v>
      </c>
      <c r="W573" t="s">
        <v>7027</v>
      </c>
      <c r="X573" t="s">
        <v>6949</v>
      </c>
      <c r="Y573" t="s">
        <v>7027</v>
      </c>
      <c r="Z573" t="s">
        <v>7028</v>
      </c>
    </row>
    <row r="574" spans="1:26" ht="15" customHeight="1" x14ac:dyDescent="0.2">
      <c r="A574" t="s">
        <v>7029</v>
      </c>
      <c r="B574" t="s">
        <v>7029</v>
      </c>
      <c r="D574" t="s">
        <v>7030</v>
      </c>
      <c r="H574" t="s">
        <v>58</v>
      </c>
      <c r="I574" t="s">
        <v>602</v>
      </c>
      <c r="K574" t="s">
        <v>7162</v>
      </c>
      <c r="L574" t="s">
        <v>7162</v>
      </c>
      <c r="M574" s="11" t="s">
        <v>4492</v>
      </c>
      <c r="N574" s="11"/>
      <c r="O574" s="11" t="s">
        <v>7031</v>
      </c>
      <c r="P574" s="11" t="s">
        <v>6946</v>
      </c>
      <c r="Q574"/>
      <c r="V574" t="s">
        <v>7032</v>
      </c>
      <c r="W574" t="s">
        <v>6948</v>
      </c>
      <c r="X574" t="s">
        <v>6963</v>
      </c>
      <c r="Y574" t="s">
        <v>7033</v>
      </c>
    </row>
    <row r="575" spans="1:26" ht="15" customHeight="1" x14ac:dyDescent="0.2">
      <c r="A575" t="s">
        <v>7034</v>
      </c>
      <c r="B575" t="s">
        <v>7034</v>
      </c>
      <c r="D575" t="s">
        <v>7035</v>
      </c>
      <c r="H575" t="s">
        <v>58</v>
      </c>
      <c r="I575" t="s">
        <v>602</v>
      </c>
      <c r="K575" t="s">
        <v>7162</v>
      </c>
      <c r="L575" t="s">
        <v>7162</v>
      </c>
      <c r="M575" s="11" t="s">
        <v>61</v>
      </c>
      <c r="N575" s="11"/>
      <c r="O575" s="11" t="s">
        <v>63</v>
      </c>
      <c r="P575" s="11" t="s">
        <v>7025</v>
      </c>
      <c r="Q575"/>
      <c r="V575" t="s">
        <v>7036</v>
      </c>
      <c r="W575" t="s">
        <v>7037</v>
      </c>
      <c r="X575" t="s">
        <v>6963</v>
      </c>
      <c r="Y575" t="s">
        <v>7038</v>
      </c>
    </row>
    <row r="576" spans="1:26" ht="15" customHeight="1" x14ac:dyDescent="0.2">
      <c r="A576" t="s">
        <v>7039</v>
      </c>
      <c r="B576" t="s">
        <v>7039</v>
      </c>
      <c r="D576" t="s">
        <v>7040</v>
      </c>
      <c r="H576" t="s">
        <v>58</v>
      </c>
      <c r="I576" t="s">
        <v>602</v>
      </c>
      <c r="K576" t="s">
        <v>7162</v>
      </c>
      <c r="L576" t="s">
        <v>7162</v>
      </c>
      <c r="M576" s="11" t="s">
        <v>7001</v>
      </c>
      <c r="N576" s="11"/>
      <c r="O576" s="11" t="s">
        <v>7002</v>
      </c>
      <c r="P576" s="11" t="s">
        <v>6984</v>
      </c>
      <c r="Q576"/>
      <c r="V576" t="s">
        <v>7041</v>
      </c>
      <c r="W576" t="s">
        <v>6948</v>
      </c>
      <c r="X576" t="s">
        <v>6949</v>
      </c>
      <c r="Y576" t="s">
        <v>7043</v>
      </c>
      <c r="Z576" t="s">
        <v>7042</v>
      </c>
    </row>
    <row r="577" spans="1:26" ht="15" customHeight="1" x14ac:dyDescent="0.2">
      <c r="A577" t="s">
        <v>7044</v>
      </c>
      <c r="B577" t="s">
        <v>7044</v>
      </c>
      <c r="D577" t="s">
        <v>7045</v>
      </c>
      <c r="H577" t="s">
        <v>58</v>
      </c>
      <c r="I577" t="s">
        <v>602</v>
      </c>
      <c r="K577" t="s">
        <v>7162</v>
      </c>
      <c r="L577" t="s">
        <v>7162</v>
      </c>
      <c r="M577" s="11" t="s">
        <v>7047</v>
      </c>
      <c r="N577" s="11"/>
      <c r="O577" s="11" t="s">
        <v>7048</v>
      </c>
      <c r="P577" s="11" t="s">
        <v>6946</v>
      </c>
      <c r="Q577"/>
      <c r="V577" t="s">
        <v>7049</v>
      </c>
      <c r="W577" t="s">
        <v>6948</v>
      </c>
      <c r="X577" t="s">
        <v>6963</v>
      </c>
      <c r="Y577" t="s">
        <v>7050</v>
      </c>
    </row>
    <row r="578" spans="1:26" ht="15" customHeight="1" x14ac:dyDescent="0.2">
      <c r="A578" t="s">
        <v>7051</v>
      </c>
      <c r="B578" t="s">
        <v>7051</v>
      </c>
      <c r="D578" t="s">
        <v>7052</v>
      </c>
      <c r="H578" t="s">
        <v>58</v>
      </c>
      <c r="I578" t="s">
        <v>602</v>
      </c>
      <c r="K578" t="s">
        <v>7162</v>
      </c>
      <c r="L578" t="s">
        <v>7162</v>
      </c>
      <c r="M578" s="11" t="s">
        <v>603</v>
      </c>
      <c r="N578" s="11"/>
      <c r="O578" s="11" t="s">
        <v>650</v>
      </c>
      <c r="P578" s="11" t="s">
        <v>6984</v>
      </c>
      <c r="Q578"/>
      <c r="V578" t="s">
        <v>7053</v>
      </c>
      <c r="W578" t="s">
        <v>7054</v>
      </c>
      <c r="X578" t="s">
        <v>6963</v>
      </c>
      <c r="Y578" t="s">
        <v>7055</v>
      </c>
    </row>
    <row r="579" spans="1:26" ht="15" customHeight="1" x14ac:dyDescent="0.2">
      <c r="A579" t="s">
        <v>7056</v>
      </c>
      <c r="B579" t="s">
        <v>7056</v>
      </c>
      <c r="C579" t="s">
        <v>7057</v>
      </c>
      <c r="D579" t="s">
        <v>7058</v>
      </c>
      <c r="H579" t="s">
        <v>58</v>
      </c>
      <c r="I579" t="s">
        <v>602</v>
      </c>
      <c r="K579" t="s">
        <v>7162</v>
      </c>
      <c r="L579" t="s">
        <v>7162</v>
      </c>
      <c r="M579" s="11" t="s">
        <v>4565</v>
      </c>
      <c r="N579" s="11"/>
      <c r="O579" s="11" t="s">
        <v>7059</v>
      </c>
      <c r="P579" s="11" t="s">
        <v>7060</v>
      </c>
      <c r="Q579"/>
      <c r="V579" t="s">
        <v>7061</v>
      </c>
      <c r="W579" t="s">
        <v>7062</v>
      </c>
      <c r="X579" t="s">
        <v>6949</v>
      </c>
      <c r="Y579" t="s">
        <v>7063</v>
      </c>
      <c r="Z579" t="s">
        <v>7062</v>
      </c>
    </row>
    <row r="580" spans="1:26" ht="15" customHeight="1" x14ac:dyDescent="0.2">
      <c r="A580" t="s">
        <v>7064</v>
      </c>
      <c r="B580" t="s">
        <v>7064</v>
      </c>
      <c r="D580" t="s">
        <v>7065</v>
      </c>
      <c r="H580" t="s">
        <v>58</v>
      </c>
      <c r="I580" t="s">
        <v>602</v>
      </c>
      <c r="K580" t="s">
        <v>7162</v>
      </c>
      <c r="L580" t="s">
        <v>7162</v>
      </c>
      <c r="M580" s="11" t="s">
        <v>7067</v>
      </c>
      <c r="N580" s="11"/>
      <c r="O580" s="11" t="s">
        <v>4567</v>
      </c>
      <c r="P580" s="11" t="s">
        <v>7068</v>
      </c>
      <c r="Q580"/>
      <c r="V580" t="s">
        <v>7069</v>
      </c>
      <c r="W580" t="s">
        <v>7070</v>
      </c>
      <c r="X580" t="s">
        <v>6949</v>
      </c>
      <c r="Y580" t="s">
        <v>7071</v>
      </c>
      <c r="Z580" t="s">
        <v>7070</v>
      </c>
    </row>
    <row r="581" spans="1:26" ht="15" customHeight="1" x14ac:dyDescent="0.2">
      <c r="A581" t="s">
        <v>7072</v>
      </c>
      <c r="B581" t="s">
        <v>7072</v>
      </c>
      <c r="D581" t="s">
        <v>7073</v>
      </c>
      <c r="H581" t="s">
        <v>58</v>
      </c>
      <c r="I581" t="s">
        <v>602</v>
      </c>
      <c r="K581" t="s">
        <v>7162</v>
      </c>
      <c r="L581" t="s">
        <v>7162</v>
      </c>
      <c r="M581" s="11" t="s">
        <v>6945</v>
      </c>
      <c r="N581" s="11"/>
      <c r="O581" s="11" t="s">
        <v>6954</v>
      </c>
      <c r="P581" s="11" t="s">
        <v>6946</v>
      </c>
      <c r="Q581"/>
      <c r="V581" t="s">
        <v>7075</v>
      </c>
      <c r="W581" t="s">
        <v>6948</v>
      </c>
      <c r="X581" t="s">
        <v>6949</v>
      </c>
      <c r="Y581" t="s">
        <v>7077</v>
      </c>
      <c r="Z581" t="s">
        <v>7076</v>
      </c>
    </row>
    <row r="582" spans="1:26" ht="15" customHeight="1" x14ac:dyDescent="0.2">
      <c r="A582" t="s">
        <v>7078</v>
      </c>
      <c r="B582" t="s">
        <v>7078</v>
      </c>
      <c r="D582" t="s">
        <v>7079</v>
      </c>
      <c r="H582" t="s">
        <v>93</v>
      </c>
      <c r="I582" t="s">
        <v>602</v>
      </c>
      <c r="K582" t="s">
        <v>7162</v>
      </c>
      <c r="L582" t="s">
        <v>7162</v>
      </c>
      <c r="M582" s="11" t="s">
        <v>208</v>
      </c>
      <c r="N582" s="11"/>
      <c r="O582" s="11" t="s">
        <v>166</v>
      </c>
      <c r="P582" s="11" t="s">
        <v>7080</v>
      </c>
      <c r="Q582"/>
      <c r="V582" t="s">
        <v>7081</v>
      </c>
      <c r="W582" t="s">
        <v>7082</v>
      </c>
      <c r="X582" t="s">
        <v>6949</v>
      </c>
      <c r="Y582" t="s">
        <v>7083</v>
      </c>
      <c r="Z582" t="s">
        <v>7082</v>
      </c>
    </row>
    <row r="583" spans="1:26" ht="15" customHeight="1" x14ac:dyDescent="0.2">
      <c r="A583" t="s">
        <v>7084</v>
      </c>
      <c r="B583" t="s">
        <v>7084</v>
      </c>
      <c r="D583" t="s">
        <v>7085</v>
      </c>
      <c r="H583" t="s">
        <v>93</v>
      </c>
      <c r="I583" t="s">
        <v>602</v>
      </c>
      <c r="K583" t="s">
        <v>7162</v>
      </c>
      <c r="L583" t="s">
        <v>7162</v>
      </c>
      <c r="M583" s="11" t="s">
        <v>4872</v>
      </c>
      <c r="N583" s="11"/>
      <c r="O583" s="11" t="s">
        <v>144</v>
      </c>
      <c r="P583" s="11" t="s">
        <v>7086</v>
      </c>
      <c r="Q583"/>
      <c r="V583" t="s">
        <v>7087</v>
      </c>
      <c r="W583" t="s">
        <v>7088</v>
      </c>
      <c r="X583" t="s">
        <v>6949</v>
      </c>
      <c r="Y583" t="s">
        <v>7089</v>
      </c>
      <c r="Z583" t="s">
        <v>7088</v>
      </c>
    </row>
    <row r="584" spans="1:26" ht="15" customHeight="1" x14ac:dyDescent="0.2">
      <c r="A584" t="s">
        <v>7090</v>
      </c>
      <c r="B584" t="s">
        <v>7090</v>
      </c>
      <c r="D584" t="s">
        <v>7091</v>
      </c>
      <c r="H584" t="s">
        <v>93</v>
      </c>
      <c r="I584" t="s">
        <v>602</v>
      </c>
      <c r="K584" t="s">
        <v>7162</v>
      </c>
      <c r="L584" t="s">
        <v>7162</v>
      </c>
      <c r="M584" s="11" t="s">
        <v>7092</v>
      </c>
      <c r="N584" s="11"/>
      <c r="O584" s="11" t="s">
        <v>3090</v>
      </c>
      <c r="P584" s="11" t="s">
        <v>7093</v>
      </c>
      <c r="Q584"/>
      <c r="V584" t="s">
        <v>7094</v>
      </c>
      <c r="W584" t="s">
        <v>7095</v>
      </c>
      <c r="X584" t="s">
        <v>6949</v>
      </c>
      <c r="Y584" t="s">
        <v>7096</v>
      </c>
      <c r="Z584" t="s">
        <v>7095</v>
      </c>
    </row>
    <row r="585" spans="1:26" ht="15" customHeight="1" x14ac:dyDescent="0.2">
      <c r="A585" t="s">
        <v>7097</v>
      </c>
      <c r="B585" s="28" t="s">
        <v>7098</v>
      </c>
      <c r="C585" s="14" t="s">
        <v>7099</v>
      </c>
      <c r="D585" t="s">
        <v>7100</v>
      </c>
      <c r="H585" t="s">
        <v>93</v>
      </c>
      <c r="I585" t="s">
        <v>7101</v>
      </c>
      <c r="J585" t="s">
        <v>7101</v>
      </c>
      <c r="K585" t="s">
        <v>7168</v>
      </c>
      <c r="L585" t="s">
        <v>7168</v>
      </c>
      <c r="M585" s="11" t="s">
        <v>7102</v>
      </c>
      <c r="N585" s="11"/>
      <c r="O585" s="11" t="s">
        <v>144</v>
      </c>
      <c r="P585" s="11" t="s">
        <v>7103</v>
      </c>
      <c r="Q585" s="11" t="e">
        <v>#N/A</v>
      </c>
      <c r="V585" t="s">
        <v>7104</v>
      </c>
      <c r="W585" t="s">
        <v>7105</v>
      </c>
      <c r="X585" t="s">
        <v>68</v>
      </c>
      <c r="Y585" t="s">
        <v>7107</v>
      </c>
    </row>
    <row r="586" spans="1:26" ht="15" customHeight="1" x14ac:dyDescent="0.2">
      <c r="A586" t="s">
        <v>7108</v>
      </c>
      <c r="B586" t="s">
        <v>7108</v>
      </c>
      <c r="D586" t="s">
        <v>7109</v>
      </c>
      <c r="H586" t="s">
        <v>93</v>
      </c>
      <c r="I586" t="s">
        <v>602</v>
      </c>
      <c r="K586" t="s">
        <v>7162</v>
      </c>
      <c r="L586" t="s">
        <v>7162</v>
      </c>
      <c r="M586" s="11" t="s">
        <v>7110</v>
      </c>
      <c r="N586" s="11"/>
      <c r="O586" s="11" t="s">
        <v>7111</v>
      </c>
      <c r="P586" s="11" t="s">
        <v>7068</v>
      </c>
      <c r="Q586"/>
      <c r="V586" t="s">
        <v>7112</v>
      </c>
      <c r="W586" t="s">
        <v>7113</v>
      </c>
      <c r="X586" t="s">
        <v>6949</v>
      </c>
      <c r="Y586" t="e">
        <v>#N/A</v>
      </c>
      <c r="Z586" t="e">
        <v>#N/A</v>
      </c>
    </row>
    <row r="587" spans="1:26" ht="15" customHeight="1" x14ac:dyDescent="0.2">
      <c r="A587" t="s">
        <v>7114</v>
      </c>
      <c r="B587" t="s">
        <v>7114</v>
      </c>
      <c r="D587" t="s">
        <v>7115</v>
      </c>
      <c r="H587" t="s">
        <v>93</v>
      </c>
      <c r="I587" t="s">
        <v>602</v>
      </c>
      <c r="K587" t="s">
        <v>7162</v>
      </c>
      <c r="L587" t="s">
        <v>7162</v>
      </c>
      <c r="M587" s="11" t="s">
        <v>4754</v>
      </c>
      <c r="N587" s="11"/>
      <c r="O587" s="11" t="s">
        <v>4567</v>
      </c>
      <c r="P587" s="11" t="s">
        <v>7068</v>
      </c>
      <c r="Q587"/>
      <c r="V587" t="s">
        <v>7116</v>
      </c>
      <c r="W587" t="s">
        <v>7117</v>
      </c>
      <c r="X587" t="s">
        <v>6949</v>
      </c>
      <c r="Y587" t="s">
        <v>7118</v>
      </c>
      <c r="Z587" t="s">
        <v>7117</v>
      </c>
    </row>
  </sheetData>
  <conditionalFormatting sqref="V1:V1048576">
    <cfRule type="duplicateValues" dxfId="0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6B9D-58E4-424B-9162-741C271F1DDF}">
  <dimension ref="A1:AA85"/>
  <sheetViews>
    <sheetView workbookViewId="0">
      <selection activeCell="N37" sqref="N37"/>
    </sheetView>
  </sheetViews>
  <sheetFormatPr baseColWidth="10" defaultColWidth="8.83203125" defaultRowHeight="15" x14ac:dyDescent="0.2"/>
  <cols>
    <col min="1" max="1" width="26.83203125" bestFit="1" customWidth="1"/>
    <col min="2" max="2" width="16.33203125" bestFit="1" customWidth="1"/>
    <col min="3" max="3" width="12.5" bestFit="1" customWidth="1"/>
    <col min="4" max="4" width="5.5" bestFit="1" customWidth="1"/>
    <col min="5" max="5" width="5.6640625" bestFit="1" customWidth="1"/>
    <col min="6" max="6" width="11.33203125" bestFit="1" customWidth="1"/>
    <col min="7" max="7" width="6.1640625" bestFit="1" customWidth="1"/>
    <col min="8" max="8" width="10.1640625" bestFit="1" customWidth="1"/>
    <col min="9" max="9" width="7.33203125" bestFit="1" customWidth="1"/>
    <col min="10" max="11" width="11.33203125" bestFit="1" customWidth="1"/>
  </cols>
  <sheetData>
    <row r="1" spans="1:27" x14ac:dyDescent="0.2">
      <c r="R1" t="s">
        <v>7493</v>
      </c>
      <c r="S1" t="s">
        <v>7167</v>
      </c>
      <c r="T1" s="21" t="s">
        <v>7170</v>
      </c>
      <c r="U1" t="s">
        <v>60</v>
      </c>
      <c r="V1" t="s">
        <v>7165</v>
      </c>
      <c r="W1" t="s">
        <v>7172</v>
      </c>
      <c r="X1" t="s">
        <v>7169</v>
      </c>
      <c r="Y1" t="s">
        <v>7162</v>
      </c>
      <c r="Z1" t="s">
        <v>7168</v>
      </c>
      <c r="AA1" t="s">
        <v>7180</v>
      </c>
    </row>
    <row r="2" spans="1:27" x14ac:dyDescent="0.2">
      <c r="R2" t="s">
        <v>7401</v>
      </c>
      <c r="S2">
        <f>SUMIF($A$5:$A$83,CONCATENATE("*",R2,"*"),$B$5:$B$83)</f>
        <v>0</v>
      </c>
      <c r="T2">
        <f>SUMIF($A$5:$A$83,CONCATENATE("*",R2,"*"),$C$5:$C$83)</f>
        <v>0</v>
      </c>
      <c r="U2">
        <f>SUMIF($A$5:$A$83,CONCATENATE("*",R2,"*"),$D$5:$D$83)</f>
        <v>0</v>
      </c>
      <c r="V2">
        <f>SUMIF($A$5:$A$83,CONCATENATE("*",R2,"*"),$E$5:$E$83)</f>
        <v>1</v>
      </c>
      <c r="X2">
        <f>SUMIF($A$5:$A$83,CONCATENATE("*",R2,"*"),$F$5:$F$83)</f>
        <v>0</v>
      </c>
      <c r="Y2">
        <f>SUMIF($A$5:$A$83,CONCATENATE("*",R2,"*"),$G$5:$G$83)</f>
        <v>0</v>
      </c>
      <c r="Z2">
        <f>SUMIF($A$5:$A$83,CONCATENATE("*",R2,"*"),$H$5:$H$83)</f>
        <v>0</v>
      </c>
      <c r="AA2">
        <f>SUMIF($A$5:$A$83,CONCATENATE("*",R2,"*"),$J$5:$J$83)</f>
        <v>1</v>
      </c>
    </row>
    <row r="3" spans="1:27" x14ac:dyDescent="0.2">
      <c r="A3" s="15" t="s">
        <v>7475</v>
      </c>
      <c r="B3" s="15" t="s">
        <v>7177</v>
      </c>
      <c r="R3" t="s">
        <v>7476</v>
      </c>
      <c r="S3">
        <f t="shared" ref="S3:S55" si="0">SUMIF($A$5:$A$83,CONCATENATE("*",R3,"*"),$B$5:$B$83)</f>
        <v>0</v>
      </c>
      <c r="T3">
        <f t="shared" ref="T3:T55" si="1">SUMIF($A$5:$A$83,CONCATENATE("*",R3,"*"),$C$5:$C$83)</f>
        <v>0</v>
      </c>
      <c r="U3">
        <f t="shared" ref="U3:U55" si="2">SUMIF($A$5:$A$83,CONCATENATE("*",R3,"*"),$D$5:$D$83)</f>
        <v>0</v>
      </c>
      <c r="V3">
        <f t="shared" ref="V3:V55" si="3">SUMIF($A$5:$A$83,CONCATENATE("*",R3,"*"),$E$5:$E$83)</f>
        <v>0</v>
      </c>
      <c r="X3">
        <f t="shared" ref="X3:X55" si="4">SUMIF($A$5:$A$83,CONCATENATE("*",R3,"*"),$F$5:$F$83)</f>
        <v>4</v>
      </c>
      <c r="Y3">
        <f t="shared" ref="Y3:Y55" si="5">SUMIF($A$5:$A$83,CONCATENATE("*",R3,"*"),$G$5:$G$83)</f>
        <v>0</v>
      </c>
      <c r="Z3">
        <f t="shared" ref="Z3:Z55" si="6">SUMIF($A$5:$A$83,CONCATENATE("*",R3,"*"),$H$5:$H$83)</f>
        <v>0</v>
      </c>
      <c r="AA3">
        <f t="shared" ref="AA3:AA55" si="7">SUMIF($A$5:$A$83,CONCATENATE("*",R3,"*"),$J$5:$J$83)</f>
        <v>4</v>
      </c>
    </row>
    <row r="4" spans="1:27" x14ac:dyDescent="0.2">
      <c r="A4" s="15" t="s">
        <v>7173</v>
      </c>
      <c r="B4" t="s">
        <v>7167</v>
      </c>
      <c r="C4" t="s">
        <v>7170</v>
      </c>
      <c r="D4" t="s">
        <v>60</v>
      </c>
      <c r="E4" t="s">
        <v>7165</v>
      </c>
      <c r="F4" t="s">
        <v>7169</v>
      </c>
      <c r="G4" t="s">
        <v>7162</v>
      </c>
      <c r="H4" t="s">
        <v>7168</v>
      </c>
      <c r="I4" t="s">
        <v>7174</v>
      </c>
      <c r="J4" t="s">
        <v>7175</v>
      </c>
      <c r="R4" t="s">
        <v>7482</v>
      </c>
      <c r="S4">
        <f t="shared" si="0"/>
        <v>0</v>
      </c>
      <c r="T4">
        <f t="shared" si="1"/>
        <v>0</v>
      </c>
      <c r="U4">
        <f t="shared" si="2"/>
        <v>0</v>
      </c>
      <c r="V4">
        <f t="shared" si="3"/>
        <v>28</v>
      </c>
      <c r="X4">
        <f t="shared" si="4"/>
        <v>0</v>
      </c>
      <c r="Y4">
        <f t="shared" si="5"/>
        <v>0</v>
      </c>
      <c r="Z4">
        <f t="shared" si="6"/>
        <v>0</v>
      </c>
      <c r="AA4">
        <f t="shared" si="7"/>
        <v>28</v>
      </c>
    </row>
    <row r="5" spans="1:27" x14ac:dyDescent="0.2">
      <c r="A5" s="16" t="s">
        <v>169</v>
      </c>
      <c r="E5">
        <v>4</v>
      </c>
      <c r="J5">
        <v>4</v>
      </c>
      <c r="R5" t="s">
        <v>7451</v>
      </c>
      <c r="S5">
        <f t="shared" si="0"/>
        <v>0</v>
      </c>
      <c r="T5">
        <f t="shared" si="1"/>
        <v>0</v>
      </c>
      <c r="U5">
        <f t="shared" si="2"/>
        <v>0</v>
      </c>
      <c r="V5">
        <f t="shared" si="3"/>
        <v>1</v>
      </c>
      <c r="X5">
        <f t="shared" si="4"/>
        <v>0</v>
      </c>
      <c r="Y5">
        <f t="shared" si="5"/>
        <v>0</v>
      </c>
      <c r="Z5">
        <f t="shared" si="6"/>
        <v>0</v>
      </c>
      <c r="AA5">
        <f t="shared" si="7"/>
        <v>1</v>
      </c>
    </row>
    <row r="6" spans="1:27" x14ac:dyDescent="0.2">
      <c r="A6" s="16" t="s">
        <v>7401</v>
      </c>
      <c r="E6">
        <v>1</v>
      </c>
      <c r="J6">
        <v>1</v>
      </c>
      <c r="R6" t="s">
        <v>7477</v>
      </c>
      <c r="S6">
        <f t="shared" si="0"/>
        <v>0</v>
      </c>
      <c r="T6">
        <f t="shared" si="1"/>
        <v>0</v>
      </c>
      <c r="U6">
        <f t="shared" si="2"/>
        <v>0</v>
      </c>
      <c r="V6">
        <f t="shared" si="3"/>
        <v>2</v>
      </c>
      <c r="X6">
        <f t="shared" si="4"/>
        <v>0</v>
      </c>
      <c r="Y6">
        <f t="shared" si="5"/>
        <v>0</v>
      </c>
      <c r="Z6">
        <f t="shared" si="6"/>
        <v>0</v>
      </c>
      <c r="AA6">
        <f t="shared" si="7"/>
        <v>2</v>
      </c>
    </row>
    <row r="7" spans="1:27" x14ac:dyDescent="0.2">
      <c r="A7" s="16" t="s">
        <v>7415</v>
      </c>
      <c r="F7">
        <v>1</v>
      </c>
      <c r="J7">
        <v>1</v>
      </c>
      <c r="R7" t="s">
        <v>7385</v>
      </c>
      <c r="S7">
        <f t="shared" si="0"/>
        <v>8</v>
      </c>
      <c r="T7">
        <f t="shared" si="1"/>
        <v>3</v>
      </c>
      <c r="U7">
        <f t="shared" si="2"/>
        <v>5</v>
      </c>
      <c r="V7">
        <f t="shared" si="3"/>
        <v>172</v>
      </c>
      <c r="X7">
        <f t="shared" si="4"/>
        <v>0</v>
      </c>
      <c r="Y7">
        <f t="shared" si="5"/>
        <v>1</v>
      </c>
      <c r="Z7">
        <f t="shared" si="6"/>
        <v>2</v>
      </c>
      <c r="AA7">
        <f t="shared" si="7"/>
        <v>191</v>
      </c>
    </row>
    <row r="8" spans="1:27" x14ac:dyDescent="0.2">
      <c r="A8" s="16" t="s">
        <v>7451</v>
      </c>
      <c r="E8">
        <v>1</v>
      </c>
      <c r="J8">
        <v>1</v>
      </c>
      <c r="R8" t="s">
        <v>7378</v>
      </c>
      <c r="S8">
        <f t="shared" si="0"/>
        <v>0</v>
      </c>
      <c r="T8">
        <f t="shared" si="1"/>
        <v>0</v>
      </c>
      <c r="U8">
        <f t="shared" si="2"/>
        <v>1</v>
      </c>
      <c r="V8">
        <f t="shared" si="3"/>
        <v>38</v>
      </c>
      <c r="X8">
        <f t="shared" si="4"/>
        <v>0</v>
      </c>
      <c r="Y8">
        <f t="shared" si="5"/>
        <v>0</v>
      </c>
      <c r="Z8">
        <f t="shared" si="6"/>
        <v>0</v>
      </c>
      <c r="AA8">
        <f t="shared" si="7"/>
        <v>39</v>
      </c>
    </row>
    <row r="9" spans="1:27" x14ac:dyDescent="0.2">
      <c r="A9" s="16" t="s">
        <v>7414</v>
      </c>
      <c r="E9">
        <v>1</v>
      </c>
      <c r="J9">
        <v>1</v>
      </c>
      <c r="R9" t="s">
        <v>7483</v>
      </c>
      <c r="S9">
        <f t="shared" si="0"/>
        <v>0</v>
      </c>
      <c r="T9">
        <f t="shared" si="1"/>
        <v>0</v>
      </c>
      <c r="U9">
        <f t="shared" si="2"/>
        <v>0</v>
      </c>
      <c r="V9">
        <f t="shared" si="3"/>
        <v>3</v>
      </c>
      <c r="X9">
        <f t="shared" si="4"/>
        <v>0</v>
      </c>
      <c r="Y9">
        <f t="shared" si="5"/>
        <v>0</v>
      </c>
      <c r="Z9">
        <f t="shared" si="6"/>
        <v>0</v>
      </c>
      <c r="AA9">
        <f t="shared" si="7"/>
        <v>3</v>
      </c>
    </row>
    <row r="10" spans="1:27" x14ac:dyDescent="0.2">
      <c r="A10" s="16" t="s">
        <v>7385</v>
      </c>
      <c r="D10">
        <v>4</v>
      </c>
      <c r="E10">
        <v>31</v>
      </c>
      <c r="J10">
        <v>35</v>
      </c>
      <c r="R10" t="s">
        <v>7485</v>
      </c>
      <c r="S10">
        <f t="shared" si="0"/>
        <v>0</v>
      </c>
      <c r="T10">
        <f t="shared" si="1"/>
        <v>0</v>
      </c>
      <c r="U10">
        <f t="shared" si="2"/>
        <v>0</v>
      </c>
      <c r="V10">
        <f t="shared" si="3"/>
        <v>1</v>
      </c>
      <c r="X10">
        <f t="shared" si="4"/>
        <v>0</v>
      </c>
      <c r="Y10">
        <f t="shared" si="5"/>
        <v>0</v>
      </c>
      <c r="Z10">
        <f t="shared" si="6"/>
        <v>0</v>
      </c>
      <c r="AA10">
        <f t="shared" si="7"/>
        <v>1</v>
      </c>
    </row>
    <row r="11" spans="1:27" x14ac:dyDescent="0.2">
      <c r="A11" s="16" t="s">
        <v>7387</v>
      </c>
      <c r="B11">
        <v>7</v>
      </c>
      <c r="E11">
        <v>59</v>
      </c>
      <c r="H11">
        <v>1</v>
      </c>
      <c r="J11">
        <v>67</v>
      </c>
      <c r="R11" t="s">
        <v>7486</v>
      </c>
      <c r="S11">
        <f t="shared" si="0"/>
        <v>0</v>
      </c>
      <c r="T11">
        <f t="shared" si="1"/>
        <v>0</v>
      </c>
      <c r="U11">
        <f t="shared" si="2"/>
        <v>0</v>
      </c>
      <c r="V11">
        <f t="shared" si="3"/>
        <v>1</v>
      </c>
      <c r="X11">
        <f t="shared" si="4"/>
        <v>0</v>
      </c>
      <c r="Y11">
        <f t="shared" si="5"/>
        <v>0</v>
      </c>
      <c r="Z11">
        <f t="shared" si="6"/>
        <v>0</v>
      </c>
      <c r="AA11">
        <f t="shared" si="7"/>
        <v>1</v>
      </c>
    </row>
    <row r="12" spans="1:27" x14ac:dyDescent="0.2">
      <c r="A12" s="16" t="s">
        <v>7416</v>
      </c>
      <c r="E12">
        <v>7</v>
      </c>
      <c r="J12">
        <v>7</v>
      </c>
      <c r="R12" t="s">
        <v>7409</v>
      </c>
      <c r="S12">
        <f t="shared" si="0"/>
        <v>0</v>
      </c>
      <c r="T12">
        <f t="shared" si="1"/>
        <v>0</v>
      </c>
      <c r="U12">
        <f t="shared" si="2"/>
        <v>0</v>
      </c>
      <c r="V12">
        <f t="shared" si="3"/>
        <v>8</v>
      </c>
      <c r="X12">
        <f t="shared" si="4"/>
        <v>0</v>
      </c>
      <c r="Y12">
        <f t="shared" si="5"/>
        <v>0</v>
      </c>
      <c r="Z12">
        <f t="shared" si="6"/>
        <v>0</v>
      </c>
      <c r="AA12">
        <f t="shared" si="7"/>
        <v>8</v>
      </c>
    </row>
    <row r="13" spans="1:27" x14ac:dyDescent="0.2">
      <c r="A13" s="16" t="s">
        <v>7378</v>
      </c>
      <c r="D13">
        <v>1</v>
      </c>
      <c r="E13">
        <v>24</v>
      </c>
      <c r="J13">
        <v>25</v>
      </c>
      <c r="R13" t="s">
        <v>7379</v>
      </c>
      <c r="S13">
        <f t="shared" si="0"/>
        <v>0</v>
      </c>
      <c r="T13">
        <f t="shared" si="1"/>
        <v>0</v>
      </c>
      <c r="U13">
        <f t="shared" si="2"/>
        <v>0</v>
      </c>
      <c r="V13">
        <f t="shared" si="3"/>
        <v>1</v>
      </c>
      <c r="X13">
        <f t="shared" si="4"/>
        <v>0</v>
      </c>
      <c r="Y13">
        <f t="shared" si="5"/>
        <v>0</v>
      </c>
      <c r="Z13">
        <f t="shared" si="6"/>
        <v>0</v>
      </c>
      <c r="AA13">
        <f t="shared" si="7"/>
        <v>1</v>
      </c>
    </row>
    <row r="14" spans="1:27" x14ac:dyDescent="0.2">
      <c r="A14" s="16" t="s">
        <v>7409</v>
      </c>
      <c r="E14">
        <v>2</v>
      </c>
      <c r="J14">
        <v>2</v>
      </c>
      <c r="R14" t="s">
        <v>7487</v>
      </c>
      <c r="S14">
        <f t="shared" si="0"/>
        <v>0</v>
      </c>
      <c r="T14">
        <f t="shared" si="1"/>
        <v>0</v>
      </c>
      <c r="U14">
        <f t="shared" si="2"/>
        <v>0</v>
      </c>
      <c r="V14">
        <f t="shared" si="3"/>
        <v>1</v>
      </c>
      <c r="X14">
        <f t="shared" si="4"/>
        <v>0</v>
      </c>
      <c r="Y14">
        <f t="shared" si="5"/>
        <v>0</v>
      </c>
      <c r="Z14">
        <f t="shared" si="6"/>
        <v>0</v>
      </c>
      <c r="AA14">
        <f t="shared" si="7"/>
        <v>1</v>
      </c>
    </row>
    <row r="15" spans="1:27" x14ac:dyDescent="0.2">
      <c r="A15" s="16" t="s">
        <v>7379</v>
      </c>
      <c r="E15">
        <v>1</v>
      </c>
      <c r="J15">
        <v>1</v>
      </c>
      <c r="R15" t="s">
        <v>7428</v>
      </c>
      <c r="S15">
        <f t="shared" si="0"/>
        <v>0</v>
      </c>
      <c r="T15">
        <f t="shared" si="1"/>
        <v>0</v>
      </c>
      <c r="U15">
        <f t="shared" si="2"/>
        <v>0</v>
      </c>
      <c r="V15">
        <f t="shared" si="3"/>
        <v>27</v>
      </c>
      <c r="X15">
        <f t="shared" si="4"/>
        <v>0</v>
      </c>
      <c r="Y15">
        <f t="shared" si="5"/>
        <v>0</v>
      </c>
      <c r="Z15">
        <f t="shared" si="6"/>
        <v>0</v>
      </c>
      <c r="AA15">
        <f t="shared" si="7"/>
        <v>27</v>
      </c>
    </row>
    <row r="16" spans="1:27" x14ac:dyDescent="0.2">
      <c r="A16" s="16" t="s">
        <v>7428</v>
      </c>
      <c r="E16">
        <v>8</v>
      </c>
      <c r="J16">
        <v>8</v>
      </c>
      <c r="R16" t="s">
        <v>7449</v>
      </c>
      <c r="S16">
        <f t="shared" si="0"/>
        <v>0</v>
      </c>
      <c r="T16">
        <f t="shared" si="1"/>
        <v>0</v>
      </c>
      <c r="U16">
        <f t="shared" si="2"/>
        <v>0</v>
      </c>
      <c r="V16">
        <f t="shared" si="3"/>
        <v>0</v>
      </c>
      <c r="X16">
        <f t="shared" si="4"/>
        <v>1</v>
      </c>
      <c r="Y16">
        <f t="shared" si="5"/>
        <v>0</v>
      </c>
      <c r="Z16">
        <f t="shared" si="6"/>
        <v>0</v>
      </c>
      <c r="AA16">
        <f t="shared" si="7"/>
        <v>1</v>
      </c>
    </row>
    <row r="17" spans="1:27" x14ac:dyDescent="0.2">
      <c r="A17" s="16" t="s">
        <v>7406</v>
      </c>
      <c r="E17">
        <v>1</v>
      </c>
      <c r="J17">
        <v>1</v>
      </c>
      <c r="R17" t="s">
        <v>7383</v>
      </c>
      <c r="S17">
        <f t="shared" si="0"/>
        <v>10</v>
      </c>
      <c r="T17">
        <f t="shared" si="1"/>
        <v>2</v>
      </c>
      <c r="U17">
        <f t="shared" si="2"/>
        <v>10</v>
      </c>
      <c r="V17">
        <f t="shared" si="3"/>
        <v>172</v>
      </c>
      <c r="X17">
        <f t="shared" si="4"/>
        <v>8</v>
      </c>
      <c r="Y17">
        <f t="shared" si="5"/>
        <v>1</v>
      </c>
      <c r="Z17">
        <f t="shared" si="6"/>
        <v>2</v>
      </c>
      <c r="AA17">
        <f t="shared" si="7"/>
        <v>205</v>
      </c>
    </row>
    <row r="18" spans="1:27" x14ac:dyDescent="0.2">
      <c r="A18" s="16" t="s">
        <v>7449</v>
      </c>
      <c r="F18">
        <v>1</v>
      </c>
      <c r="J18">
        <v>1</v>
      </c>
      <c r="R18" t="s">
        <v>7439</v>
      </c>
      <c r="S18">
        <f t="shared" si="0"/>
        <v>0</v>
      </c>
      <c r="T18">
        <f t="shared" si="1"/>
        <v>0</v>
      </c>
      <c r="U18">
        <f t="shared" si="2"/>
        <v>0</v>
      </c>
      <c r="V18">
        <f t="shared" si="3"/>
        <v>1</v>
      </c>
      <c r="X18">
        <f t="shared" si="4"/>
        <v>0</v>
      </c>
      <c r="Y18">
        <f t="shared" si="5"/>
        <v>0</v>
      </c>
      <c r="Z18">
        <f t="shared" si="6"/>
        <v>0</v>
      </c>
      <c r="AA18">
        <f t="shared" si="7"/>
        <v>1</v>
      </c>
    </row>
    <row r="19" spans="1:27" x14ac:dyDescent="0.2">
      <c r="A19" s="16" t="s">
        <v>7383</v>
      </c>
      <c r="B19">
        <v>2</v>
      </c>
      <c r="D19">
        <v>10</v>
      </c>
      <c r="E19">
        <v>42</v>
      </c>
      <c r="F19">
        <v>4</v>
      </c>
      <c r="J19">
        <v>58</v>
      </c>
      <c r="R19" t="s">
        <v>7480</v>
      </c>
      <c r="S19">
        <f t="shared" si="0"/>
        <v>0</v>
      </c>
      <c r="T19">
        <f t="shared" si="1"/>
        <v>0</v>
      </c>
      <c r="U19">
        <f t="shared" si="2"/>
        <v>0</v>
      </c>
      <c r="V19">
        <f t="shared" si="3"/>
        <v>1</v>
      </c>
      <c r="X19">
        <f t="shared" si="4"/>
        <v>0</v>
      </c>
      <c r="Y19">
        <f t="shared" si="5"/>
        <v>0</v>
      </c>
      <c r="Z19">
        <f t="shared" si="6"/>
        <v>0</v>
      </c>
      <c r="AA19">
        <f t="shared" si="7"/>
        <v>1</v>
      </c>
    </row>
    <row r="20" spans="1:27" x14ac:dyDescent="0.2">
      <c r="A20" s="16" t="s">
        <v>7390</v>
      </c>
      <c r="B20">
        <v>1</v>
      </c>
      <c r="C20">
        <v>2</v>
      </c>
      <c r="E20">
        <v>61</v>
      </c>
      <c r="G20">
        <v>1</v>
      </c>
      <c r="H20">
        <v>1</v>
      </c>
      <c r="J20">
        <v>66</v>
      </c>
      <c r="R20" t="s">
        <v>7481</v>
      </c>
      <c r="S20">
        <f t="shared" si="0"/>
        <v>0</v>
      </c>
      <c r="T20">
        <f t="shared" si="1"/>
        <v>0</v>
      </c>
      <c r="U20">
        <f t="shared" si="2"/>
        <v>0</v>
      </c>
      <c r="V20">
        <f t="shared" si="3"/>
        <v>2</v>
      </c>
      <c r="X20">
        <f t="shared" si="4"/>
        <v>0</v>
      </c>
      <c r="Y20">
        <f t="shared" si="5"/>
        <v>0</v>
      </c>
      <c r="Z20">
        <f t="shared" si="6"/>
        <v>0</v>
      </c>
      <c r="AA20">
        <f t="shared" si="7"/>
        <v>2</v>
      </c>
    </row>
    <row r="21" spans="1:27" x14ac:dyDescent="0.2">
      <c r="A21" s="16" t="s">
        <v>7439</v>
      </c>
      <c r="E21">
        <v>1</v>
      </c>
      <c r="J21">
        <v>1</v>
      </c>
      <c r="R21" t="s">
        <v>7434</v>
      </c>
      <c r="S21">
        <f t="shared" si="0"/>
        <v>0</v>
      </c>
      <c r="T21">
        <f t="shared" si="1"/>
        <v>0</v>
      </c>
      <c r="U21">
        <f t="shared" si="2"/>
        <v>0</v>
      </c>
      <c r="V21">
        <f t="shared" si="3"/>
        <v>5</v>
      </c>
      <c r="X21">
        <f t="shared" si="4"/>
        <v>4</v>
      </c>
      <c r="Y21">
        <f t="shared" si="5"/>
        <v>0</v>
      </c>
      <c r="Z21">
        <f t="shared" si="6"/>
        <v>0</v>
      </c>
      <c r="AA21">
        <f t="shared" si="7"/>
        <v>9</v>
      </c>
    </row>
    <row r="22" spans="1:27" x14ac:dyDescent="0.2">
      <c r="A22" s="16" t="s">
        <v>7394</v>
      </c>
      <c r="E22">
        <v>1</v>
      </c>
      <c r="J22">
        <v>1</v>
      </c>
      <c r="R22" t="s">
        <v>7442</v>
      </c>
      <c r="S22">
        <f t="shared" si="0"/>
        <v>0</v>
      </c>
      <c r="T22">
        <f t="shared" si="1"/>
        <v>0</v>
      </c>
      <c r="U22">
        <f t="shared" si="2"/>
        <v>0</v>
      </c>
      <c r="V22">
        <f t="shared" si="3"/>
        <v>1</v>
      </c>
      <c r="X22">
        <f t="shared" si="4"/>
        <v>0</v>
      </c>
      <c r="Y22">
        <f t="shared" si="5"/>
        <v>0</v>
      </c>
      <c r="Z22">
        <f t="shared" si="6"/>
        <v>0</v>
      </c>
      <c r="AA22">
        <f t="shared" si="7"/>
        <v>1</v>
      </c>
    </row>
    <row r="23" spans="1:27" x14ac:dyDescent="0.2">
      <c r="A23" s="16" t="s">
        <v>7436</v>
      </c>
      <c r="E23">
        <v>2</v>
      </c>
      <c r="J23">
        <v>2</v>
      </c>
      <c r="R23" t="s">
        <v>7396</v>
      </c>
      <c r="S23">
        <f t="shared" si="0"/>
        <v>0</v>
      </c>
      <c r="T23">
        <f t="shared" si="1"/>
        <v>0</v>
      </c>
      <c r="U23">
        <f t="shared" si="2"/>
        <v>12</v>
      </c>
      <c r="V23">
        <f t="shared" si="3"/>
        <v>1</v>
      </c>
      <c r="X23">
        <f t="shared" si="4"/>
        <v>6</v>
      </c>
      <c r="Y23">
        <f t="shared" si="5"/>
        <v>0</v>
      </c>
      <c r="Z23">
        <f t="shared" si="6"/>
        <v>0</v>
      </c>
      <c r="AA23">
        <f t="shared" si="7"/>
        <v>19</v>
      </c>
    </row>
    <row r="24" spans="1:27" x14ac:dyDescent="0.2">
      <c r="A24" s="16" t="s">
        <v>7434</v>
      </c>
      <c r="E24">
        <v>2</v>
      </c>
      <c r="J24">
        <v>2</v>
      </c>
      <c r="R24" t="s">
        <v>7437</v>
      </c>
      <c r="S24">
        <f t="shared" si="0"/>
        <v>0</v>
      </c>
      <c r="T24">
        <f t="shared" si="1"/>
        <v>0</v>
      </c>
      <c r="U24">
        <f t="shared" si="2"/>
        <v>0</v>
      </c>
      <c r="V24">
        <f t="shared" si="3"/>
        <v>0</v>
      </c>
      <c r="X24">
        <f t="shared" si="4"/>
        <v>0</v>
      </c>
      <c r="Y24">
        <f t="shared" si="5"/>
        <v>0</v>
      </c>
      <c r="Z24">
        <f t="shared" si="6"/>
        <v>2</v>
      </c>
      <c r="AA24">
        <f t="shared" si="7"/>
        <v>2</v>
      </c>
    </row>
    <row r="25" spans="1:27" x14ac:dyDescent="0.2">
      <c r="A25" s="16" t="s">
        <v>7405</v>
      </c>
      <c r="F25">
        <v>3</v>
      </c>
      <c r="J25">
        <v>3</v>
      </c>
      <c r="R25" t="s">
        <v>7478</v>
      </c>
      <c r="S25">
        <f t="shared" si="0"/>
        <v>0</v>
      </c>
      <c r="T25">
        <f t="shared" si="1"/>
        <v>0</v>
      </c>
      <c r="U25">
        <f t="shared" si="2"/>
        <v>1</v>
      </c>
      <c r="V25">
        <f t="shared" si="3"/>
        <v>3</v>
      </c>
      <c r="X25">
        <f t="shared" si="4"/>
        <v>0</v>
      </c>
      <c r="Y25">
        <f t="shared" si="5"/>
        <v>0</v>
      </c>
      <c r="Z25">
        <f t="shared" si="6"/>
        <v>0</v>
      </c>
      <c r="AA25">
        <f t="shared" si="7"/>
        <v>4</v>
      </c>
    </row>
    <row r="26" spans="1:27" x14ac:dyDescent="0.2">
      <c r="A26" s="16" t="s">
        <v>7446</v>
      </c>
      <c r="E26">
        <v>1</v>
      </c>
      <c r="J26">
        <v>1</v>
      </c>
      <c r="R26" t="s">
        <v>7484</v>
      </c>
      <c r="S26">
        <f t="shared" si="0"/>
        <v>0</v>
      </c>
      <c r="T26">
        <f t="shared" si="1"/>
        <v>0</v>
      </c>
      <c r="U26">
        <f t="shared" si="2"/>
        <v>0</v>
      </c>
      <c r="V26">
        <f t="shared" si="3"/>
        <v>4</v>
      </c>
      <c r="X26">
        <f t="shared" si="4"/>
        <v>0</v>
      </c>
      <c r="Y26">
        <f t="shared" si="5"/>
        <v>0</v>
      </c>
      <c r="Z26">
        <f t="shared" si="6"/>
        <v>0</v>
      </c>
      <c r="AA26">
        <f t="shared" si="7"/>
        <v>4</v>
      </c>
    </row>
    <row r="27" spans="1:27" x14ac:dyDescent="0.2">
      <c r="A27" s="16" t="s">
        <v>7450</v>
      </c>
      <c r="E27">
        <v>1</v>
      </c>
      <c r="J27">
        <v>1</v>
      </c>
      <c r="R27" t="s">
        <v>7440</v>
      </c>
      <c r="S27">
        <f t="shared" si="0"/>
        <v>0</v>
      </c>
      <c r="T27">
        <f t="shared" si="1"/>
        <v>0</v>
      </c>
      <c r="U27">
        <f t="shared" si="2"/>
        <v>0</v>
      </c>
      <c r="V27">
        <f t="shared" si="3"/>
        <v>5</v>
      </c>
      <c r="X27">
        <f t="shared" si="4"/>
        <v>0</v>
      </c>
      <c r="Y27">
        <f t="shared" si="5"/>
        <v>0</v>
      </c>
      <c r="Z27">
        <f t="shared" si="6"/>
        <v>0</v>
      </c>
      <c r="AA27">
        <f t="shared" si="7"/>
        <v>5</v>
      </c>
    </row>
    <row r="28" spans="1:27" x14ac:dyDescent="0.2">
      <c r="A28" s="16" t="s">
        <v>7427</v>
      </c>
      <c r="E28">
        <v>1</v>
      </c>
      <c r="J28">
        <v>1</v>
      </c>
      <c r="R28" t="s">
        <v>7426</v>
      </c>
      <c r="S28">
        <f t="shared" si="0"/>
        <v>0</v>
      </c>
      <c r="T28">
        <f t="shared" si="1"/>
        <v>0</v>
      </c>
      <c r="U28">
        <f t="shared" si="2"/>
        <v>0</v>
      </c>
      <c r="V28">
        <f t="shared" si="3"/>
        <v>15</v>
      </c>
      <c r="X28">
        <f t="shared" si="4"/>
        <v>0</v>
      </c>
      <c r="Y28">
        <f t="shared" si="5"/>
        <v>0</v>
      </c>
      <c r="Z28">
        <f t="shared" si="6"/>
        <v>0</v>
      </c>
      <c r="AA28">
        <f t="shared" si="7"/>
        <v>15</v>
      </c>
    </row>
    <row r="29" spans="1:27" x14ac:dyDescent="0.2">
      <c r="A29" s="16" t="s">
        <v>7442</v>
      </c>
      <c r="E29">
        <v>1</v>
      </c>
      <c r="J29">
        <v>1</v>
      </c>
      <c r="R29" t="s">
        <v>7479</v>
      </c>
      <c r="S29">
        <f t="shared" si="0"/>
        <v>0</v>
      </c>
      <c r="T29">
        <f t="shared" si="1"/>
        <v>0</v>
      </c>
      <c r="U29">
        <f t="shared" si="2"/>
        <v>0</v>
      </c>
      <c r="V29">
        <f t="shared" si="3"/>
        <v>30</v>
      </c>
      <c r="X29">
        <f t="shared" si="4"/>
        <v>0</v>
      </c>
      <c r="Y29">
        <f t="shared" si="5"/>
        <v>0</v>
      </c>
      <c r="Z29">
        <f t="shared" si="6"/>
        <v>0</v>
      </c>
      <c r="AA29">
        <f t="shared" si="7"/>
        <v>30</v>
      </c>
    </row>
    <row r="30" spans="1:27" x14ac:dyDescent="0.2">
      <c r="A30" s="16" t="s">
        <v>7396</v>
      </c>
      <c r="D30">
        <v>12</v>
      </c>
      <c r="F30">
        <v>6</v>
      </c>
      <c r="J30">
        <v>18</v>
      </c>
      <c r="R30" t="s">
        <v>7404</v>
      </c>
      <c r="S30">
        <f t="shared" si="0"/>
        <v>0</v>
      </c>
      <c r="T30">
        <f t="shared" si="1"/>
        <v>0</v>
      </c>
      <c r="U30">
        <f t="shared" si="2"/>
        <v>0</v>
      </c>
      <c r="V30">
        <f t="shared" si="3"/>
        <v>24</v>
      </c>
      <c r="X30">
        <f t="shared" si="4"/>
        <v>0</v>
      </c>
      <c r="Y30">
        <f t="shared" si="5"/>
        <v>0</v>
      </c>
      <c r="Z30">
        <f t="shared" si="6"/>
        <v>0</v>
      </c>
      <c r="AA30">
        <f t="shared" si="7"/>
        <v>24</v>
      </c>
    </row>
    <row r="31" spans="1:27" x14ac:dyDescent="0.2">
      <c r="A31" s="16" t="s">
        <v>7437</v>
      </c>
      <c r="H31">
        <v>2</v>
      </c>
      <c r="J31">
        <v>2</v>
      </c>
      <c r="R31" t="s">
        <v>7488</v>
      </c>
      <c r="S31">
        <f t="shared" si="0"/>
        <v>0</v>
      </c>
      <c r="T31">
        <f t="shared" si="1"/>
        <v>0</v>
      </c>
      <c r="U31">
        <f t="shared" si="2"/>
        <v>0</v>
      </c>
      <c r="V31">
        <f t="shared" si="3"/>
        <v>1</v>
      </c>
      <c r="X31">
        <f t="shared" si="4"/>
        <v>0</v>
      </c>
      <c r="Y31">
        <f t="shared" si="5"/>
        <v>0</v>
      </c>
      <c r="Z31">
        <f t="shared" si="6"/>
        <v>0</v>
      </c>
      <c r="AA31">
        <f t="shared" si="7"/>
        <v>1</v>
      </c>
    </row>
    <row r="32" spans="1:27" x14ac:dyDescent="0.2">
      <c r="A32" s="16" t="s">
        <v>7435</v>
      </c>
      <c r="E32">
        <v>1</v>
      </c>
      <c r="J32">
        <v>1</v>
      </c>
      <c r="R32" t="s">
        <v>7489</v>
      </c>
      <c r="S32">
        <f t="shared" si="0"/>
        <v>0</v>
      </c>
      <c r="T32">
        <f t="shared" si="1"/>
        <v>0</v>
      </c>
      <c r="U32">
        <f t="shared" si="2"/>
        <v>0</v>
      </c>
      <c r="V32">
        <f t="shared" si="3"/>
        <v>1</v>
      </c>
      <c r="X32">
        <f t="shared" si="4"/>
        <v>0</v>
      </c>
      <c r="Y32">
        <f t="shared" si="5"/>
        <v>0</v>
      </c>
      <c r="Z32">
        <f t="shared" si="6"/>
        <v>0</v>
      </c>
      <c r="AA32">
        <f t="shared" si="7"/>
        <v>1</v>
      </c>
    </row>
    <row r="33" spans="1:27" x14ac:dyDescent="0.2">
      <c r="A33" s="16" t="s">
        <v>7438</v>
      </c>
      <c r="D33">
        <v>1</v>
      </c>
      <c r="E33">
        <v>1</v>
      </c>
      <c r="J33">
        <v>2</v>
      </c>
      <c r="R33" t="s">
        <v>7490</v>
      </c>
      <c r="S33">
        <f t="shared" si="0"/>
        <v>0</v>
      </c>
      <c r="T33">
        <f t="shared" si="1"/>
        <v>0</v>
      </c>
      <c r="U33">
        <f t="shared" si="2"/>
        <v>0</v>
      </c>
      <c r="V33">
        <f t="shared" si="3"/>
        <v>2</v>
      </c>
      <c r="X33">
        <f t="shared" si="4"/>
        <v>0</v>
      </c>
      <c r="Y33">
        <f t="shared" si="5"/>
        <v>0</v>
      </c>
      <c r="Z33">
        <f t="shared" si="6"/>
        <v>0</v>
      </c>
      <c r="AA33">
        <f t="shared" si="7"/>
        <v>2</v>
      </c>
    </row>
    <row r="34" spans="1:27" x14ac:dyDescent="0.2">
      <c r="A34" s="16" t="s">
        <v>7403</v>
      </c>
      <c r="E34">
        <v>2</v>
      </c>
      <c r="J34">
        <v>2</v>
      </c>
      <c r="R34" t="s">
        <v>7377</v>
      </c>
      <c r="S34">
        <f t="shared" si="0"/>
        <v>0</v>
      </c>
      <c r="T34">
        <f t="shared" si="1"/>
        <v>0</v>
      </c>
      <c r="U34">
        <f t="shared" si="2"/>
        <v>0</v>
      </c>
      <c r="V34">
        <f t="shared" si="3"/>
        <v>4</v>
      </c>
      <c r="X34">
        <f t="shared" si="4"/>
        <v>0</v>
      </c>
      <c r="Y34">
        <f t="shared" si="5"/>
        <v>0</v>
      </c>
      <c r="Z34">
        <f t="shared" si="6"/>
        <v>0</v>
      </c>
      <c r="AA34">
        <f t="shared" si="7"/>
        <v>4</v>
      </c>
    </row>
    <row r="35" spans="1:27" x14ac:dyDescent="0.2">
      <c r="A35" s="16" t="s">
        <v>7444</v>
      </c>
      <c r="E35">
        <v>2</v>
      </c>
      <c r="J35">
        <v>2</v>
      </c>
      <c r="R35" t="s">
        <v>7491</v>
      </c>
      <c r="S35">
        <f t="shared" si="0"/>
        <v>0</v>
      </c>
      <c r="T35">
        <f t="shared" si="1"/>
        <v>0</v>
      </c>
      <c r="U35">
        <f t="shared" si="2"/>
        <v>0</v>
      </c>
      <c r="V35">
        <f t="shared" si="3"/>
        <v>1</v>
      </c>
      <c r="X35">
        <f t="shared" si="4"/>
        <v>0</v>
      </c>
      <c r="Y35">
        <f t="shared" si="5"/>
        <v>0</v>
      </c>
      <c r="Z35">
        <f t="shared" si="6"/>
        <v>0</v>
      </c>
      <c r="AA35">
        <f t="shared" si="7"/>
        <v>1</v>
      </c>
    </row>
    <row r="36" spans="1:27" x14ac:dyDescent="0.2">
      <c r="A36" s="16" t="s">
        <v>7440</v>
      </c>
      <c r="E36">
        <v>5</v>
      </c>
      <c r="J36">
        <v>5</v>
      </c>
      <c r="R36" t="s">
        <v>7419</v>
      </c>
      <c r="S36">
        <f t="shared" si="0"/>
        <v>0</v>
      </c>
      <c r="T36">
        <f t="shared" si="1"/>
        <v>3</v>
      </c>
      <c r="U36">
        <f t="shared" si="2"/>
        <v>0</v>
      </c>
      <c r="V36">
        <f t="shared" si="3"/>
        <v>3</v>
      </c>
      <c r="X36">
        <f t="shared" si="4"/>
        <v>2</v>
      </c>
      <c r="Y36">
        <f t="shared" si="5"/>
        <v>0</v>
      </c>
      <c r="Z36">
        <f t="shared" si="6"/>
        <v>0</v>
      </c>
      <c r="AA36">
        <f t="shared" si="7"/>
        <v>8</v>
      </c>
    </row>
    <row r="37" spans="1:27" x14ac:dyDescent="0.2">
      <c r="A37" s="16" t="s">
        <v>7426</v>
      </c>
      <c r="E37">
        <v>2</v>
      </c>
      <c r="J37">
        <v>2</v>
      </c>
      <c r="R37" t="s">
        <v>7445</v>
      </c>
      <c r="S37">
        <f t="shared" si="0"/>
        <v>0</v>
      </c>
      <c r="T37">
        <f t="shared" si="1"/>
        <v>1</v>
      </c>
      <c r="U37">
        <f t="shared" si="2"/>
        <v>0</v>
      </c>
      <c r="V37">
        <f t="shared" si="3"/>
        <v>0</v>
      </c>
      <c r="X37">
        <f t="shared" si="4"/>
        <v>0</v>
      </c>
      <c r="Y37">
        <f t="shared" si="5"/>
        <v>0</v>
      </c>
      <c r="Z37">
        <f t="shared" si="6"/>
        <v>0</v>
      </c>
      <c r="AA37">
        <f t="shared" si="7"/>
        <v>1</v>
      </c>
    </row>
    <row r="38" spans="1:27" x14ac:dyDescent="0.2">
      <c r="A38" s="16" t="s">
        <v>7421</v>
      </c>
      <c r="E38">
        <v>1</v>
      </c>
      <c r="J38">
        <v>1</v>
      </c>
      <c r="R38" t="s">
        <v>7388</v>
      </c>
      <c r="S38">
        <f t="shared" si="0"/>
        <v>0</v>
      </c>
      <c r="T38">
        <f t="shared" si="1"/>
        <v>0</v>
      </c>
      <c r="U38">
        <f t="shared" si="2"/>
        <v>1</v>
      </c>
      <c r="V38">
        <f t="shared" si="3"/>
        <v>2</v>
      </c>
      <c r="X38">
        <f t="shared" si="4"/>
        <v>0</v>
      </c>
      <c r="Y38">
        <f t="shared" si="5"/>
        <v>0</v>
      </c>
      <c r="Z38">
        <f t="shared" si="6"/>
        <v>0</v>
      </c>
      <c r="AA38">
        <f t="shared" si="7"/>
        <v>3</v>
      </c>
    </row>
    <row r="39" spans="1:27" x14ac:dyDescent="0.2">
      <c r="A39" s="16" t="s">
        <v>7397</v>
      </c>
      <c r="E39">
        <v>3</v>
      </c>
      <c r="J39">
        <v>3</v>
      </c>
      <c r="R39" t="s">
        <v>7398</v>
      </c>
      <c r="S39">
        <f t="shared" si="0"/>
        <v>0</v>
      </c>
      <c r="T39">
        <f t="shared" si="1"/>
        <v>3</v>
      </c>
      <c r="U39">
        <f t="shared" si="2"/>
        <v>0</v>
      </c>
      <c r="V39">
        <f t="shared" si="3"/>
        <v>37</v>
      </c>
      <c r="X39">
        <f t="shared" si="4"/>
        <v>0</v>
      </c>
      <c r="Y39">
        <f t="shared" si="5"/>
        <v>0</v>
      </c>
      <c r="Z39">
        <f t="shared" si="6"/>
        <v>0</v>
      </c>
      <c r="AA39">
        <f t="shared" si="7"/>
        <v>40</v>
      </c>
    </row>
    <row r="40" spans="1:27" x14ac:dyDescent="0.2">
      <c r="A40" s="16" t="s">
        <v>7399</v>
      </c>
      <c r="E40">
        <v>1</v>
      </c>
      <c r="J40">
        <v>1</v>
      </c>
      <c r="R40" t="s">
        <v>7392</v>
      </c>
      <c r="S40">
        <f t="shared" si="0"/>
        <v>0</v>
      </c>
      <c r="T40">
        <f t="shared" si="1"/>
        <v>0</v>
      </c>
      <c r="U40">
        <f t="shared" si="2"/>
        <v>0</v>
      </c>
      <c r="V40">
        <f t="shared" si="3"/>
        <v>10</v>
      </c>
      <c r="X40">
        <f t="shared" si="4"/>
        <v>1</v>
      </c>
      <c r="Y40">
        <f t="shared" si="5"/>
        <v>0</v>
      </c>
      <c r="Z40">
        <f t="shared" si="6"/>
        <v>0</v>
      </c>
      <c r="AA40">
        <f t="shared" si="7"/>
        <v>11</v>
      </c>
    </row>
    <row r="41" spans="1:27" x14ac:dyDescent="0.2">
      <c r="A41" s="16" t="s">
        <v>7389</v>
      </c>
      <c r="E41">
        <v>3</v>
      </c>
      <c r="J41">
        <v>3</v>
      </c>
      <c r="R41" t="s">
        <v>7424</v>
      </c>
      <c r="S41">
        <f t="shared" si="0"/>
        <v>0</v>
      </c>
      <c r="T41">
        <f t="shared" si="1"/>
        <v>0</v>
      </c>
      <c r="U41">
        <f t="shared" si="2"/>
        <v>0</v>
      </c>
      <c r="V41">
        <f t="shared" si="3"/>
        <v>9</v>
      </c>
      <c r="X41">
        <f t="shared" si="4"/>
        <v>0</v>
      </c>
      <c r="Y41">
        <f t="shared" si="5"/>
        <v>0</v>
      </c>
      <c r="Z41">
        <f t="shared" si="6"/>
        <v>0</v>
      </c>
      <c r="AA41">
        <f t="shared" si="7"/>
        <v>9</v>
      </c>
    </row>
    <row r="42" spans="1:27" x14ac:dyDescent="0.2">
      <c r="A42" s="16" t="s">
        <v>7423</v>
      </c>
      <c r="E42">
        <v>4</v>
      </c>
      <c r="J42">
        <v>4</v>
      </c>
      <c r="R42" t="s">
        <v>7391</v>
      </c>
      <c r="S42">
        <f t="shared" si="0"/>
        <v>0</v>
      </c>
      <c r="T42">
        <f t="shared" si="1"/>
        <v>0</v>
      </c>
      <c r="U42">
        <f t="shared" si="2"/>
        <v>0</v>
      </c>
      <c r="V42">
        <f t="shared" si="3"/>
        <v>3</v>
      </c>
      <c r="X42">
        <f t="shared" si="4"/>
        <v>0</v>
      </c>
      <c r="Y42">
        <f t="shared" si="5"/>
        <v>0</v>
      </c>
      <c r="Z42">
        <f t="shared" si="6"/>
        <v>0</v>
      </c>
      <c r="AA42">
        <f t="shared" si="7"/>
        <v>3</v>
      </c>
    </row>
    <row r="43" spans="1:27" x14ac:dyDescent="0.2">
      <c r="A43" s="16" t="s">
        <v>7384</v>
      </c>
      <c r="E43">
        <v>2</v>
      </c>
      <c r="J43">
        <v>2</v>
      </c>
      <c r="R43" t="s">
        <v>7448</v>
      </c>
      <c r="S43">
        <f t="shared" si="0"/>
        <v>0</v>
      </c>
      <c r="T43">
        <f t="shared" si="1"/>
        <v>0</v>
      </c>
      <c r="U43">
        <f t="shared" si="2"/>
        <v>0</v>
      </c>
      <c r="V43">
        <f t="shared" si="3"/>
        <v>2</v>
      </c>
      <c r="X43">
        <f t="shared" si="4"/>
        <v>0</v>
      </c>
      <c r="Y43">
        <f t="shared" si="5"/>
        <v>0</v>
      </c>
      <c r="Z43">
        <f t="shared" si="6"/>
        <v>0</v>
      </c>
      <c r="AA43">
        <f t="shared" si="7"/>
        <v>2</v>
      </c>
    </row>
    <row r="44" spans="1:27" x14ac:dyDescent="0.2">
      <c r="A44" s="16" t="s">
        <v>7408</v>
      </c>
      <c r="E44">
        <v>8</v>
      </c>
      <c r="J44">
        <v>8</v>
      </c>
      <c r="R44" t="s">
        <v>7411</v>
      </c>
      <c r="S44">
        <f t="shared" si="0"/>
        <v>3</v>
      </c>
      <c r="T44">
        <f t="shared" si="1"/>
        <v>0</v>
      </c>
      <c r="U44">
        <f t="shared" si="2"/>
        <v>0</v>
      </c>
      <c r="V44">
        <f t="shared" si="3"/>
        <v>0</v>
      </c>
      <c r="X44">
        <f t="shared" si="4"/>
        <v>0</v>
      </c>
      <c r="Y44">
        <f t="shared" si="5"/>
        <v>0</v>
      </c>
      <c r="Z44">
        <f t="shared" si="6"/>
        <v>0</v>
      </c>
      <c r="AA44">
        <f t="shared" si="7"/>
        <v>3</v>
      </c>
    </row>
    <row r="45" spans="1:27" x14ac:dyDescent="0.2">
      <c r="A45" s="16" t="s">
        <v>7386</v>
      </c>
      <c r="E45">
        <v>2</v>
      </c>
      <c r="J45">
        <v>2</v>
      </c>
      <c r="R45" t="s">
        <v>7422</v>
      </c>
      <c r="S45">
        <f t="shared" si="0"/>
        <v>0</v>
      </c>
      <c r="T45">
        <f t="shared" si="1"/>
        <v>0</v>
      </c>
      <c r="U45">
        <f t="shared" si="2"/>
        <v>0</v>
      </c>
      <c r="V45">
        <f t="shared" si="3"/>
        <v>4</v>
      </c>
      <c r="X45">
        <f t="shared" si="4"/>
        <v>0</v>
      </c>
      <c r="Y45">
        <f t="shared" si="5"/>
        <v>0</v>
      </c>
      <c r="Z45">
        <f t="shared" si="6"/>
        <v>0</v>
      </c>
      <c r="AA45">
        <f t="shared" si="7"/>
        <v>4</v>
      </c>
    </row>
    <row r="46" spans="1:27" x14ac:dyDescent="0.2">
      <c r="A46" s="16" t="s">
        <v>7400</v>
      </c>
      <c r="E46">
        <v>1</v>
      </c>
      <c r="J46">
        <v>1</v>
      </c>
      <c r="R46" t="s">
        <v>7418</v>
      </c>
      <c r="S46">
        <f t="shared" si="0"/>
        <v>0</v>
      </c>
      <c r="T46">
        <f t="shared" si="1"/>
        <v>0</v>
      </c>
      <c r="U46">
        <f t="shared" si="2"/>
        <v>0</v>
      </c>
      <c r="V46">
        <f t="shared" si="3"/>
        <v>3</v>
      </c>
      <c r="X46">
        <f t="shared" si="4"/>
        <v>0</v>
      </c>
      <c r="Y46">
        <f t="shared" si="5"/>
        <v>0</v>
      </c>
      <c r="Z46">
        <f t="shared" si="6"/>
        <v>0</v>
      </c>
      <c r="AA46">
        <f t="shared" si="7"/>
        <v>3</v>
      </c>
    </row>
    <row r="47" spans="1:27" x14ac:dyDescent="0.2">
      <c r="A47" s="16" t="s">
        <v>7441</v>
      </c>
      <c r="E47">
        <v>2</v>
      </c>
      <c r="J47">
        <v>2</v>
      </c>
      <c r="R47" t="s">
        <v>7425</v>
      </c>
      <c r="S47">
        <f t="shared" si="0"/>
        <v>0</v>
      </c>
      <c r="T47">
        <f t="shared" si="1"/>
        <v>0</v>
      </c>
      <c r="U47">
        <f t="shared" si="2"/>
        <v>0</v>
      </c>
      <c r="V47">
        <f t="shared" si="3"/>
        <v>1</v>
      </c>
      <c r="X47">
        <f t="shared" si="4"/>
        <v>0</v>
      </c>
      <c r="Y47">
        <f t="shared" si="5"/>
        <v>0</v>
      </c>
      <c r="Z47">
        <f t="shared" si="6"/>
        <v>0</v>
      </c>
      <c r="AA47">
        <f t="shared" si="7"/>
        <v>1</v>
      </c>
    </row>
    <row r="48" spans="1:27" x14ac:dyDescent="0.2">
      <c r="A48" s="16" t="s">
        <v>7417</v>
      </c>
      <c r="E48">
        <v>1</v>
      </c>
      <c r="J48">
        <v>1</v>
      </c>
      <c r="R48" t="s">
        <v>7402</v>
      </c>
      <c r="S48">
        <f t="shared" si="0"/>
        <v>0</v>
      </c>
      <c r="T48">
        <f t="shared" si="1"/>
        <v>0</v>
      </c>
      <c r="U48">
        <f t="shared" si="2"/>
        <v>0</v>
      </c>
      <c r="V48">
        <f t="shared" si="3"/>
        <v>6</v>
      </c>
      <c r="X48">
        <f t="shared" si="4"/>
        <v>0</v>
      </c>
      <c r="Y48">
        <f t="shared" si="5"/>
        <v>0</v>
      </c>
      <c r="Z48">
        <f t="shared" si="6"/>
        <v>0</v>
      </c>
      <c r="AA48">
        <f t="shared" si="7"/>
        <v>6</v>
      </c>
    </row>
    <row r="49" spans="1:27" x14ac:dyDescent="0.2">
      <c r="A49" s="16" t="s">
        <v>7380</v>
      </c>
      <c r="E49">
        <v>12</v>
      </c>
      <c r="J49">
        <v>12</v>
      </c>
      <c r="R49" t="s">
        <v>7431</v>
      </c>
      <c r="S49">
        <f t="shared" si="0"/>
        <v>0</v>
      </c>
      <c r="T49">
        <f t="shared" si="1"/>
        <v>0</v>
      </c>
      <c r="U49">
        <f t="shared" si="2"/>
        <v>0</v>
      </c>
      <c r="V49">
        <f t="shared" si="3"/>
        <v>1</v>
      </c>
      <c r="X49">
        <f t="shared" si="4"/>
        <v>0</v>
      </c>
      <c r="Y49">
        <f t="shared" si="5"/>
        <v>0</v>
      </c>
      <c r="Z49">
        <f t="shared" si="6"/>
        <v>0</v>
      </c>
      <c r="AA49">
        <f t="shared" si="7"/>
        <v>1</v>
      </c>
    </row>
    <row r="50" spans="1:27" x14ac:dyDescent="0.2">
      <c r="A50" s="16" t="s">
        <v>7404</v>
      </c>
      <c r="E50">
        <v>2</v>
      </c>
      <c r="J50">
        <v>2</v>
      </c>
      <c r="R50" t="s">
        <v>7407</v>
      </c>
      <c r="S50">
        <f t="shared" si="0"/>
        <v>0</v>
      </c>
      <c r="T50">
        <f t="shared" si="1"/>
        <v>0</v>
      </c>
      <c r="U50">
        <f t="shared" si="2"/>
        <v>0</v>
      </c>
      <c r="V50">
        <f t="shared" si="3"/>
        <v>1</v>
      </c>
      <c r="X50">
        <f t="shared" si="4"/>
        <v>0</v>
      </c>
      <c r="Y50">
        <f t="shared" si="5"/>
        <v>0</v>
      </c>
      <c r="Z50">
        <f t="shared" si="6"/>
        <v>0</v>
      </c>
      <c r="AA50">
        <f t="shared" si="7"/>
        <v>1</v>
      </c>
    </row>
    <row r="51" spans="1:27" x14ac:dyDescent="0.2">
      <c r="A51" s="16" t="s">
        <v>7382</v>
      </c>
      <c r="E51">
        <v>20</v>
      </c>
      <c r="J51">
        <v>20</v>
      </c>
      <c r="R51" t="s">
        <v>7429</v>
      </c>
      <c r="S51">
        <f t="shared" si="0"/>
        <v>0</v>
      </c>
      <c r="T51">
        <f t="shared" si="1"/>
        <v>0</v>
      </c>
      <c r="U51">
        <f t="shared" si="2"/>
        <v>0</v>
      </c>
      <c r="V51">
        <f t="shared" si="3"/>
        <v>1</v>
      </c>
      <c r="X51">
        <f t="shared" si="4"/>
        <v>0</v>
      </c>
      <c r="Y51">
        <f t="shared" si="5"/>
        <v>0</v>
      </c>
      <c r="Z51">
        <f t="shared" si="6"/>
        <v>0</v>
      </c>
      <c r="AA51">
        <f t="shared" si="7"/>
        <v>1</v>
      </c>
    </row>
    <row r="52" spans="1:27" x14ac:dyDescent="0.2">
      <c r="A52" s="16" t="s">
        <v>7410</v>
      </c>
      <c r="E52">
        <v>1</v>
      </c>
      <c r="J52">
        <v>1</v>
      </c>
      <c r="R52" t="s">
        <v>7455</v>
      </c>
      <c r="S52">
        <f t="shared" si="0"/>
        <v>0</v>
      </c>
      <c r="T52">
        <f t="shared" si="1"/>
        <v>0</v>
      </c>
      <c r="U52">
        <f t="shared" si="2"/>
        <v>0</v>
      </c>
      <c r="V52">
        <f t="shared" si="3"/>
        <v>0</v>
      </c>
      <c r="X52">
        <f t="shared" si="4"/>
        <v>0</v>
      </c>
      <c r="Y52">
        <f t="shared" si="5"/>
        <v>0</v>
      </c>
      <c r="Z52">
        <f t="shared" si="6"/>
        <v>1</v>
      </c>
      <c r="AA52">
        <f t="shared" si="7"/>
        <v>1</v>
      </c>
    </row>
    <row r="53" spans="1:27" x14ac:dyDescent="0.2">
      <c r="A53" s="16" t="s">
        <v>7433</v>
      </c>
      <c r="E53">
        <v>1</v>
      </c>
      <c r="J53">
        <v>1</v>
      </c>
      <c r="R53" t="s">
        <v>7412</v>
      </c>
      <c r="S53">
        <f t="shared" si="0"/>
        <v>0</v>
      </c>
      <c r="T53">
        <f t="shared" si="1"/>
        <v>0</v>
      </c>
      <c r="U53">
        <f t="shared" si="2"/>
        <v>0</v>
      </c>
      <c r="V53">
        <f t="shared" si="3"/>
        <v>12</v>
      </c>
      <c r="X53">
        <f t="shared" si="4"/>
        <v>0</v>
      </c>
      <c r="Y53">
        <f t="shared" si="5"/>
        <v>0</v>
      </c>
      <c r="Z53">
        <f t="shared" si="6"/>
        <v>0</v>
      </c>
      <c r="AA53">
        <f t="shared" si="7"/>
        <v>12</v>
      </c>
    </row>
    <row r="54" spans="1:27" x14ac:dyDescent="0.2">
      <c r="A54" s="16" t="s">
        <v>7452</v>
      </c>
      <c r="E54">
        <v>1</v>
      </c>
      <c r="J54">
        <v>1</v>
      </c>
      <c r="R54" t="s">
        <v>7458</v>
      </c>
      <c r="S54">
        <f t="shared" si="0"/>
        <v>0</v>
      </c>
      <c r="T54">
        <f t="shared" si="1"/>
        <v>0</v>
      </c>
      <c r="U54">
        <f t="shared" si="2"/>
        <v>0</v>
      </c>
      <c r="V54">
        <f t="shared" si="3"/>
        <v>0</v>
      </c>
      <c r="X54">
        <f t="shared" si="4"/>
        <v>0</v>
      </c>
      <c r="Y54">
        <f t="shared" si="5"/>
        <v>0</v>
      </c>
      <c r="Z54">
        <f t="shared" si="6"/>
        <v>1</v>
      </c>
      <c r="AA54">
        <f t="shared" si="7"/>
        <v>1</v>
      </c>
    </row>
    <row r="55" spans="1:27" x14ac:dyDescent="0.2">
      <c r="A55" s="16" t="s">
        <v>7432</v>
      </c>
      <c r="E55">
        <v>1</v>
      </c>
      <c r="J55">
        <v>1</v>
      </c>
      <c r="R55" t="s">
        <v>7492</v>
      </c>
      <c r="S55">
        <f t="shared" si="0"/>
        <v>0</v>
      </c>
      <c r="T55">
        <f t="shared" si="1"/>
        <v>0</v>
      </c>
      <c r="U55">
        <f t="shared" si="2"/>
        <v>0</v>
      </c>
      <c r="V55">
        <f t="shared" si="3"/>
        <v>1</v>
      </c>
      <c r="X55">
        <f t="shared" si="4"/>
        <v>0</v>
      </c>
      <c r="Y55">
        <f t="shared" si="5"/>
        <v>0</v>
      </c>
      <c r="Z55">
        <f t="shared" si="6"/>
        <v>0</v>
      </c>
      <c r="AA55">
        <f t="shared" si="7"/>
        <v>1</v>
      </c>
    </row>
    <row r="56" spans="1:27" x14ac:dyDescent="0.2">
      <c r="A56" s="16" t="s">
        <v>7393</v>
      </c>
      <c r="E56">
        <v>2</v>
      </c>
      <c r="J56">
        <v>2</v>
      </c>
    </row>
    <row r="57" spans="1:27" x14ac:dyDescent="0.2">
      <c r="A57" s="16" t="s">
        <v>7377</v>
      </c>
      <c r="E57">
        <v>2</v>
      </c>
      <c r="J57">
        <v>2</v>
      </c>
    </row>
    <row r="58" spans="1:27" x14ac:dyDescent="0.2">
      <c r="A58" s="16" t="s">
        <v>7443</v>
      </c>
      <c r="E58">
        <v>1</v>
      </c>
      <c r="J58">
        <v>1</v>
      </c>
    </row>
    <row r="59" spans="1:27" x14ac:dyDescent="0.2">
      <c r="A59" s="16" t="s">
        <v>7430</v>
      </c>
      <c r="E59">
        <v>1</v>
      </c>
      <c r="J59">
        <v>1</v>
      </c>
    </row>
    <row r="60" spans="1:27" x14ac:dyDescent="0.2">
      <c r="A60" s="16" t="s">
        <v>7419</v>
      </c>
      <c r="C60">
        <v>2</v>
      </c>
      <c r="E60">
        <v>3</v>
      </c>
      <c r="F60">
        <v>2</v>
      </c>
      <c r="J60">
        <v>7</v>
      </c>
    </row>
    <row r="61" spans="1:27" x14ac:dyDescent="0.2">
      <c r="A61" s="16" t="s">
        <v>7420</v>
      </c>
      <c r="C61">
        <v>1</v>
      </c>
      <c r="J61">
        <v>1</v>
      </c>
    </row>
    <row r="62" spans="1:27" x14ac:dyDescent="0.2">
      <c r="A62" s="16" t="s">
        <v>7445</v>
      </c>
      <c r="C62">
        <v>1</v>
      </c>
      <c r="J62">
        <v>1</v>
      </c>
    </row>
    <row r="63" spans="1:27" x14ac:dyDescent="0.2">
      <c r="A63" s="16" t="s">
        <v>7388</v>
      </c>
      <c r="D63">
        <v>1</v>
      </c>
      <c r="E63">
        <v>1</v>
      </c>
      <c r="J63">
        <v>2</v>
      </c>
    </row>
    <row r="64" spans="1:27" x14ac:dyDescent="0.2">
      <c r="A64" s="16" t="s">
        <v>7381</v>
      </c>
      <c r="E64">
        <v>1</v>
      </c>
      <c r="J64">
        <v>1</v>
      </c>
    </row>
    <row r="65" spans="1:10" x14ac:dyDescent="0.2">
      <c r="A65" s="16" t="s">
        <v>7398</v>
      </c>
      <c r="C65">
        <v>3</v>
      </c>
      <c r="E65">
        <v>24</v>
      </c>
      <c r="J65">
        <v>27</v>
      </c>
    </row>
    <row r="66" spans="1:10" x14ac:dyDescent="0.2">
      <c r="A66" s="16" t="s">
        <v>7395</v>
      </c>
      <c r="E66">
        <v>6</v>
      </c>
      <c r="J66">
        <v>6</v>
      </c>
    </row>
    <row r="67" spans="1:10" x14ac:dyDescent="0.2">
      <c r="A67" s="16" t="s">
        <v>7392</v>
      </c>
      <c r="E67">
        <v>10</v>
      </c>
      <c r="F67">
        <v>1</v>
      </c>
      <c r="J67">
        <v>11</v>
      </c>
    </row>
    <row r="68" spans="1:10" x14ac:dyDescent="0.2">
      <c r="A68" s="16" t="s">
        <v>7424</v>
      </c>
      <c r="E68">
        <v>6</v>
      </c>
      <c r="J68">
        <v>6</v>
      </c>
    </row>
    <row r="69" spans="1:10" x14ac:dyDescent="0.2">
      <c r="A69" s="16" t="s">
        <v>7391</v>
      </c>
      <c r="E69">
        <v>3</v>
      </c>
      <c r="J69">
        <v>3</v>
      </c>
    </row>
    <row r="70" spans="1:10" x14ac:dyDescent="0.2">
      <c r="A70" s="16" t="s">
        <v>7448</v>
      </c>
      <c r="E70">
        <v>2</v>
      </c>
      <c r="J70">
        <v>2</v>
      </c>
    </row>
    <row r="71" spans="1:10" x14ac:dyDescent="0.2">
      <c r="A71" s="16" t="s">
        <v>7411</v>
      </c>
      <c r="B71">
        <v>3</v>
      </c>
      <c r="J71">
        <v>3</v>
      </c>
    </row>
    <row r="72" spans="1:10" x14ac:dyDescent="0.2">
      <c r="A72" s="16" t="s">
        <v>7422</v>
      </c>
      <c r="E72">
        <v>1</v>
      </c>
      <c r="J72">
        <v>1</v>
      </c>
    </row>
    <row r="73" spans="1:10" x14ac:dyDescent="0.2">
      <c r="A73" s="16" t="s">
        <v>7418</v>
      </c>
      <c r="E73">
        <v>1</v>
      </c>
      <c r="J73">
        <v>1</v>
      </c>
    </row>
    <row r="74" spans="1:10" x14ac:dyDescent="0.2">
      <c r="A74" s="16" t="s">
        <v>7413</v>
      </c>
      <c r="E74">
        <v>2</v>
      </c>
      <c r="J74">
        <v>2</v>
      </c>
    </row>
    <row r="75" spans="1:10" x14ac:dyDescent="0.2">
      <c r="A75" s="16" t="s">
        <v>7425</v>
      </c>
      <c r="E75">
        <v>1</v>
      </c>
      <c r="J75">
        <v>1</v>
      </c>
    </row>
    <row r="76" spans="1:10" x14ac:dyDescent="0.2">
      <c r="A76" s="16" t="s">
        <v>7402</v>
      </c>
      <c r="E76">
        <v>6</v>
      </c>
      <c r="J76">
        <v>6</v>
      </c>
    </row>
    <row r="77" spans="1:10" x14ac:dyDescent="0.2">
      <c r="A77" s="16" t="s">
        <v>7431</v>
      </c>
      <c r="E77">
        <v>1</v>
      </c>
      <c r="J77">
        <v>1</v>
      </c>
    </row>
    <row r="78" spans="1:10" x14ac:dyDescent="0.2">
      <c r="A78" s="16" t="s">
        <v>7407</v>
      </c>
      <c r="E78">
        <v>1</v>
      </c>
      <c r="J78">
        <v>1</v>
      </c>
    </row>
    <row r="79" spans="1:10" x14ac:dyDescent="0.2">
      <c r="A79" s="16" t="s">
        <v>7429</v>
      </c>
      <c r="E79">
        <v>1</v>
      </c>
      <c r="J79">
        <v>1</v>
      </c>
    </row>
    <row r="80" spans="1:10" x14ac:dyDescent="0.2">
      <c r="A80" s="16" t="s">
        <v>7455</v>
      </c>
      <c r="H80">
        <v>1</v>
      </c>
      <c r="J80">
        <v>1</v>
      </c>
    </row>
    <row r="81" spans="1:10" x14ac:dyDescent="0.2">
      <c r="A81" s="16" t="s">
        <v>7412</v>
      </c>
      <c r="E81">
        <v>12</v>
      </c>
      <c r="J81">
        <v>12</v>
      </c>
    </row>
    <row r="82" spans="1:10" x14ac:dyDescent="0.2">
      <c r="A82" s="16" t="s">
        <v>7458</v>
      </c>
      <c r="H82">
        <v>1</v>
      </c>
      <c r="J82">
        <v>1</v>
      </c>
    </row>
    <row r="83" spans="1:10" x14ac:dyDescent="0.2">
      <c r="A83" s="16" t="s">
        <v>7447</v>
      </c>
      <c r="E83">
        <v>1</v>
      </c>
      <c r="J83">
        <v>1</v>
      </c>
    </row>
    <row r="84" spans="1:10" x14ac:dyDescent="0.2">
      <c r="A84" s="16" t="s">
        <v>7174</v>
      </c>
    </row>
    <row r="85" spans="1:10" x14ac:dyDescent="0.2">
      <c r="A85" s="16" t="s">
        <v>7175</v>
      </c>
      <c r="B85">
        <v>13</v>
      </c>
      <c r="C85">
        <v>9</v>
      </c>
      <c r="D85">
        <v>29</v>
      </c>
      <c r="E85">
        <v>421</v>
      </c>
      <c r="F85">
        <v>18</v>
      </c>
      <c r="G85">
        <v>1</v>
      </c>
      <c r="H85">
        <v>6</v>
      </c>
      <c r="J85">
        <v>497</v>
      </c>
    </row>
  </sheetData>
  <sortState xmlns:xlrd2="http://schemas.microsoft.com/office/spreadsheetml/2017/richdata2" ref="R2:R55">
    <sortCondition ref="R2:R5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594A-25A1-43F0-B5E9-5806EC947A8F}">
  <dimension ref="A1:I19"/>
  <sheetViews>
    <sheetView workbookViewId="0">
      <selection activeCell="M10" sqref="M10"/>
    </sheetView>
  </sheetViews>
  <sheetFormatPr baseColWidth="10" defaultColWidth="8.83203125" defaultRowHeight="15" x14ac:dyDescent="0.2"/>
  <cols>
    <col min="2" max="2" width="13.33203125" customWidth="1"/>
  </cols>
  <sheetData>
    <row r="1" spans="1:9" x14ac:dyDescent="0.2">
      <c r="A1" t="s">
        <v>7528</v>
      </c>
      <c r="B1" t="s">
        <v>7494</v>
      </c>
      <c r="C1" t="s">
        <v>7167</v>
      </c>
      <c r="D1" t="s">
        <v>7170</v>
      </c>
      <c r="E1" t="s">
        <v>60</v>
      </c>
      <c r="F1" t="s">
        <v>7165</v>
      </c>
      <c r="G1" t="s">
        <v>7169</v>
      </c>
      <c r="H1" t="s">
        <v>7162</v>
      </c>
      <c r="I1" t="s">
        <v>7168</v>
      </c>
    </row>
    <row r="2" spans="1:9" x14ac:dyDescent="0.2">
      <c r="A2" t="s">
        <v>7482</v>
      </c>
      <c r="B2">
        <v>28</v>
      </c>
      <c r="C2">
        <v>0</v>
      </c>
      <c r="D2">
        <v>0</v>
      </c>
      <c r="E2">
        <v>0</v>
      </c>
      <c r="F2">
        <v>28</v>
      </c>
      <c r="G2">
        <v>0</v>
      </c>
      <c r="H2">
        <v>0</v>
      </c>
      <c r="I2">
        <v>0</v>
      </c>
    </row>
    <row r="3" spans="1:9" x14ac:dyDescent="0.2">
      <c r="A3" t="s">
        <v>7385</v>
      </c>
      <c r="B3">
        <v>191</v>
      </c>
      <c r="C3">
        <v>8</v>
      </c>
      <c r="D3">
        <v>3</v>
      </c>
      <c r="E3">
        <v>5</v>
      </c>
      <c r="F3">
        <v>172</v>
      </c>
      <c r="G3">
        <v>0</v>
      </c>
      <c r="H3">
        <v>1</v>
      </c>
      <c r="I3">
        <v>2</v>
      </c>
    </row>
    <row r="4" spans="1:9" x14ac:dyDescent="0.2">
      <c r="A4" t="s">
        <v>7378</v>
      </c>
      <c r="B4">
        <v>39</v>
      </c>
      <c r="C4">
        <v>0</v>
      </c>
      <c r="D4">
        <v>0</v>
      </c>
      <c r="E4">
        <v>1</v>
      </c>
      <c r="F4">
        <v>38</v>
      </c>
      <c r="G4">
        <v>0</v>
      </c>
      <c r="H4">
        <v>0</v>
      </c>
      <c r="I4">
        <v>0</v>
      </c>
    </row>
    <row r="5" spans="1:9" x14ac:dyDescent="0.2">
      <c r="A5" t="s">
        <v>7409</v>
      </c>
      <c r="B5">
        <v>8</v>
      </c>
      <c r="C5">
        <v>0</v>
      </c>
      <c r="D5">
        <v>0</v>
      </c>
      <c r="E5">
        <v>0</v>
      </c>
      <c r="F5">
        <v>8</v>
      </c>
      <c r="G5">
        <v>0</v>
      </c>
      <c r="H5">
        <v>0</v>
      </c>
      <c r="I5">
        <v>0</v>
      </c>
    </row>
    <row r="6" spans="1:9" x14ac:dyDescent="0.2">
      <c r="A6" t="s">
        <v>7428</v>
      </c>
      <c r="B6">
        <v>27</v>
      </c>
      <c r="C6">
        <v>0</v>
      </c>
      <c r="D6">
        <v>0</v>
      </c>
      <c r="E6">
        <v>0</v>
      </c>
      <c r="F6">
        <v>27</v>
      </c>
      <c r="G6">
        <v>0</v>
      </c>
      <c r="H6">
        <v>0</v>
      </c>
      <c r="I6">
        <v>0</v>
      </c>
    </row>
    <row r="7" spans="1:9" x14ac:dyDescent="0.2">
      <c r="A7" t="s">
        <v>7383</v>
      </c>
      <c r="B7">
        <v>205</v>
      </c>
      <c r="C7">
        <v>10</v>
      </c>
      <c r="D7">
        <v>2</v>
      </c>
      <c r="E7">
        <v>10</v>
      </c>
      <c r="F7">
        <v>172</v>
      </c>
      <c r="G7">
        <v>8</v>
      </c>
      <c r="H7">
        <v>1</v>
      </c>
      <c r="I7">
        <v>2</v>
      </c>
    </row>
    <row r="8" spans="1:9" x14ac:dyDescent="0.2">
      <c r="A8" t="s">
        <v>7434</v>
      </c>
      <c r="B8">
        <v>9</v>
      </c>
      <c r="C8">
        <v>0</v>
      </c>
      <c r="D8">
        <v>0</v>
      </c>
      <c r="E8">
        <v>0</v>
      </c>
      <c r="F8">
        <v>5</v>
      </c>
      <c r="G8">
        <v>4</v>
      </c>
      <c r="H8">
        <v>0</v>
      </c>
      <c r="I8">
        <v>0</v>
      </c>
    </row>
    <row r="9" spans="1:9" x14ac:dyDescent="0.2">
      <c r="A9" t="s">
        <v>7396</v>
      </c>
      <c r="B9">
        <v>19</v>
      </c>
      <c r="C9">
        <v>0</v>
      </c>
      <c r="D9">
        <v>0</v>
      </c>
      <c r="E9">
        <v>12</v>
      </c>
      <c r="F9">
        <v>1</v>
      </c>
      <c r="G9">
        <v>6</v>
      </c>
      <c r="H9">
        <v>0</v>
      </c>
      <c r="I9">
        <v>0</v>
      </c>
    </row>
    <row r="10" spans="1:9" x14ac:dyDescent="0.2">
      <c r="A10" t="s">
        <v>7440</v>
      </c>
      <c r="B10">
        <v>5</v>
      </c>
      <c r="C10">
        <v>0</v>
      </c>
      <c r="D10">
        <v>0</v>
      </c>
      <c r="E10">
        <v>0</v>
      </c>
      <c r="F10">
        <v>5</v>
      </c>
      <c r="G10">
        <v>0</v>
      </c>
      <c r="H10">
        <v>0</v>
      </c>
      <c r="I10">
        <v>0</v>
      </c>
    </row>
    <row r="11" spans="1:9" x14ac:dyDescent="0.2">
      <c r="A11" t="s">
        <v>7426</v>
      </c>
      <c r="B11">
        <v>15</v>
      </c>
      <c r="C11">
        <v>0</v>
      </c>
      <c r="D11">
        <v>0</v>
      </c>
      <c r="E11">
        <v>0</v>
      </c>
      <c r="F11">
        <v>15</v>
      </c>
      <c r="G11">
        <v>0</v>
      </c>
      <c r="H11">
        <v>0</v>
      </c>
      <c r="I11">
        <v>0</v>
      </c>
    </row>
    <row r="12" spans="1:9" x14ac:dyDescent="0.2">
      <c r="A12" t="s">
        <v>7479</v>
      </c>
      <c r="B12">
        <v>30</v>
      </c>
      <c r="C12">
        <v>0</v>
      </c>
      <c r="D12">
        <v>0</v>
      </c>
      <c r="E12">
        <v>0</v>
      </c>
      <c r="F12">
        <v>30</v>
      </c>
      <c r="G12">
        <v>0</v>
      </c>
      <c r="H12">
        <v>0</v>
      </c>
      <c r="I12">
        <v>0</v>
      </c>
    </row>
    <row r="13" spans="1:9" x14ac:dyDescent="0.2">
      <c r="A13" t="s">
        <v>7404</v>
      </c>
      <c r="B13">
        <v>24</v>
      </c>
      <c r="C13">
        <v>0</v>
      </c>
      <c r="D13">
        <v>0</v>
      </c>
      <c r="E13">
        <v>0</v>
      </c>
      <c r="F13">
        <v>24</v>
      </c>
      <c r="G13">
        <v>0</v>
      </c>
      <c r="H13">
        <v>0</v>
      </c>
      <c r="I13">
        <v>0</v>
      </c>
    </row>
    <row r="14" spans="1:9" x14ac:dyDescent="0.2">
      <c r="A14" t="s">
        <v>7419</v>
      </c>
      <c r="B14">
        <v>8</v>
      </c>
      <c r="C14">
        <v>0</v>
      </c>
      <c r="D14">
        <v>3</v>
      </c>
      <c r="E14">
        <v>0</v>
      </c>
      <c r="F14">
        <v>3</v>
      </c>
      <c r="G14">
        <v>2</v>
      </c>
      <c r="H14">
        <v>0</v>
      </c>
      <c r="I14">
        <v>0</v>
      </c>
    </row>
    <row r="15" spans="1:9" x14ac:dyDescent="0.2">
      <c r="A15" t="s">
        <v>7398</v>
      </c>
      <c r="B15">
        <v>40</v>
      </c>
      <c r="C15">
        <v>0</v>
      </c>
      <c r="D15">
        <v>3</v>
      </c>
      <c r="E15">
        <v>0</v>
      </c>
      <c r="F15">
        <v>37</v>
      </c>
      <c r="G15">
        <v>0</v>
      </c>
      <c r="H15">
        <v>0</v>
      </c>
      <c r="I15">
        <v>0</v>
      </c>
    </row>
    <row r="16" spans="1:9" x14ac:dyDescent="0.2">
      <c r="A16" t="s">
        <v>7392</v>
      </c>
      <c r="B16">
        <v>11</v>
      </c>
      <c r="C16">
        <v>0</v>
      </c>
      <c r="D16">
        <v>0</v>
      </c>
      <c r="E16">
        <v>0</v>
      </c>
      <c r="F16">
        <v>10</v>
      </c>
      <c r="G16">
        <v>1</v>
      </c>
      <c r="H16">
        <v>0</v>
      </c>
      <c r="I16">
        <v>0</v>
      </c>
    </row>
    <row r="17" spans="1:9" x14ac:dyDescent="0.2">
      <c r="A17" t="s">
        <v>7424</v>
      </c>
      <c r="B17">
        <v>9</v>
      </c>
      <c r="C17">
        <v>0</v>
      </c>
      <c r="D17">
        <v>0</v>
      </c>
      <c r="E17">
        <v>0</v>
      </c>
      <c r="F17">
        <v>9</v>
      </c>
      <c r="G17">
        <v>0</v>
      </c>
      <c r="H17">
        <v>0</v>
      </c>
      <c r="I17">
        <v>0</v>
      </c>
    </row>
    <row r="18" spans="1:9" x14ac:dyDescent="0.2">
      <c r="A18" t="s">
        <v>7402</v>
      </c>
      <c r="B18">
        <v>6</v>
      </c>
      <c r="C18">
        <v>0</v>
      </c>
      <c r="D18">
        <v>0</v>
      </c>
      <c r="E18">
        <v>0</v>
      </c>
      <c r="F18">
        <v>6</v>
      </c>
      <c r="G18">
        <v>0</v>
      </c>
      <c r="H18">
        <v>0</v>
      </c>
      <c r="I18">
        <v>0</v>
      </c>
    </row>
    <row r="19" spans="1:9" x14ac:dyDescent="0.2">
      <c r="A19" t="s">
        <v>7412</v>
      </c>
      <c r="B19">
        <v>12</v>
      </c>
      <c r="C19">
        <v>0</v>
      </c>
      <c r="D19">
        <v>0</v>
      </c>
      <c r="E19">
        <v>0</v>
      </c>
      <c r="F19">
        <v>12</v>
      </c>
      <c r="G19">
        <v>0</v>
      </c>
      <c r="H19">
        <v>0</v>
      </c>
      <c r="I19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EE36-7143-4319-A6D3-F4D07404DEB5}">
  <dimension ref="A1:I55"/>
  <sheetViews>
    <sheetView zoomScale="85" zoomScaleNormal="85" workbookViewId="0">
      <selection activeCell="L17" sqref="L17"/>
    </sheetView>
  </sheetViews>
  <sheetFormatPr baseColWidth="10" defaultColWidth="8.83203125" defaultRowHeight="15" x14ac:dyDescent="0.2"/>
  <cols>
    <col min="2" max="2" width="13" customWidth="1"/>
  </cols>
  <sheetData>
    <row r="1" spans="1:9" x14ac:dyDescent="0.2">
      <c r="A1" t="s">
        <v>7528</v>
      </c>
      <c r="B1" t="s">
        <v>7529</v>
      </c>
      <c r="C1" t="s">
        <v>7167</v>
      </c>
      <c r="D1" s="21" t="s">
        <v>7170</v>
      </c>
      <c r="E1" t="s">
        <v>60</v>
      </c>
      <c r="F1" t="s">
        <v>7165</v>
      </c>
      <c r="G1" t="s">
        <v>7169</v>
      </c>
      <c r="H1" t="s">
        <v>7162</v>
      </c>
      <c r="I1" t="s">
        <v>7168</v>
      </c>
    </row>
    <row r="2" spans="1:9" x14ac:dyDescent="0.2">
      <c r="A2" t="s">
        <v>7401</v>
      </c>
      <c r="B2">
        <v>1</v>
      </c>
      <c r="F2">
        <v>1</v>
      </c>
    </row>
    <row r="3" spans="1:9" x14ac:dyDescent="0.2">
      <c r="A3" t="s">
        <v>7476</v>
      </c>
      <c r="B3">
        <v>4</v>
      </c>
      <c r="G3">
        <v>4</v>
      </c>
    </row>
    <row r="4" spans="1:9" x14ac:dyDescent="0.2">
      <c r="A4" t="s">
        <v>7482</v>
      </c>
      <c r="B4">
        <v>28</v>
      </c>
      <c r="F4">
        <v>28</v>
      </c>
    </row>
    <row r="5" spans="1:9" x14ac:dyDescent="0.2">
      <c r="A5" t="s">
        <v>7451</v>
      </c>
      <c r="B5">
        <v>1</v>
      </c>
      <c r="F5">
        <v>1</v>
      </c>
    </row>
    <row r="6" spans="1:9" x14ac:dyDescent="0.2">
      <c r="A6" t="s">
        <v>7477</v>
      </c>
      <c r="B6">
        <v>2</v>
      </c>
      <c r="F6">
        <v>2</v>
      </c>
    </row>
    <row r="7" spans="1:9" x14ac:dyDescent="0.2">
      <c r="A7" t="s">
        <v>7385</v>
      </c>
      <c r="B7">
        <v>191</v>
      </c>
      <c r="C7">
        <v>8</v>
      </c>
      <c r="D7">
        <v>3</v>
      </c>
      <c r="E7">
        <v>5</v>
      </c>
      <c r="F7">
        <v>172</v>
      </c>
      <c r="H7">
        <v>1</v>
      </c>
      <c r="I7">
        <v>2</v>
      </c>
    </row>
    <row r="8" spans="1:9" x14ac:dyDescent="0.2">
      <c r="A8" t="s">
        <v>7378</v>
      </c>
      <c r="B8">
        <v>39</v>
      </c>
      <c r="E8">
        <v>1</v>
      </c>
      <c r="F8">
        <v>38</v>
      </c>
    </row>
    <row r="9" spans="1:9" x14ac:dyDescent="0.2">
      <c r="A9" t="s">
        <v>7483</v>
      </c>
      <c r="B9">
        <v>3</v>
      </c>
      <c r="F9">
        <v>3</v>
      </c>
    </row>
    <row r="10" spans="1:9" x14ac:dyDescent="0.2">
      <c r="A10" t="s">
        <v>7485</v>
      </c>
      <c r="B10">
        <v>1</v>
      </c>
      <c r="F10">
        <v>1</v>
      </c>
    </row>
    <row r="11" spans="1:9" x14ac:dyDescent="0.2">
      <c r="A11" t="s">
        <v>7486</v>
      </c>
      <c r="B11">
        <v>1</v>
      </c>
      <c r="F11">
        <v>1</v>
      </c>
    </row>
    <row r="12" spans="1:9" x14ac:dyDescent="0.2">
      <c r="A12" t="s">
        <v>7409</v>
      </c>
      <c r="B12">
        <v>8</v>
      </c>
      <c r="F12">
        <v>8</v>
      </c>
    </row>
    <row r="13" spans="1:9" x14ac:dyDescent="0.2">
      <c r="A13" t="s">
        <v>7379</v>
      </c>
      <c r="B13">
        <v>1</v>
      </c>
      <c r="F13">
        <v>1</v>
      </c>
    </row>
    <row r="14" spans="1:9" x14ac:dyDescent="0.2">
      <c r="A14" t="s">
        <v>7487</v>
      </c>
      <c r="B14">
        <v>1</v>
      </c>
      <c r="F14">
        <v>1</v>
      </c>
    </row>
    <row r="15" spans="1:9" x14ac:dyDescent="0.2">
      <c r="A15" t="s">
        <v>7428</v>
      </c>
      <c r="B15">
        <v>27</v>
      </c>
      <c r="F15">
        <v>27</v>
      </c>
    </row>
    <row r="16" spans="1:9" x14ac:dyDescent="0.2">
      <c r="A16" t="s">
        <v>7449</v>
      </c>
      <c r="B16">
        <v>1</v>
      </c>
      <c r="G16">
        <v>1</v>
      </c>
    </row>
    <row r="17" spans="1:9" x14ac:dyDescent="0.2">
      <c r="A17" t="s">
        <v>7383</v>
      </c>
      <c r="B17">
        <v>205</v>
      </c>
      <c r="C17">
        <v>10</v>
      </c>
      <c r="D17">
        <v>2</v>
      </c>
      <c r="E17">
        <v>10</v>
      </c>
      <c r="F17">
        <v>172</v>
      </c>
      <c r="G17">
        <v>8</v>
      </c>
      <c r="H17">
        <v>1</v>
      </c>
      <c r="I17">
        <v>2</v>
      </c>
    </row>
    <row r="18" spans="1:9" x14ac:dyDescent="0.2">
      <c r="A18" t="s">
        <v>7439</v>
      </c>
      <c r="B18">
        <v>1</v>
      </c>
      <c r="F18">
        <v>1</v>
      </c>
    </row>
    <row r="19" spans="1:9" x14ac:dyDescent="0.2">
      <c r="A19" t="s">
        <v>7480</v>
      </c>
      <c r="B19">
        <v>1</v>
      </c>
      <c r="F19">
        <v>1</v>
      </c>
    </row>
    <row r="20" spans="1:9" x14ac:dyDescent="0.2">
      <c r="A20" t="s">
        <v>7481</v>
      </c>
      <c r="B20">
        <v>2</v>
      </c>
      <c r="F20">
        <v>2</v>
      </c>
    </row>
    <row r="21" spans="1:9" x14ac:dyDescent="0.2">
      <c r="A21" t="s">
        <v>7434</v>
      </c>
      <c r="B21">
        <v>9</v>
      </c>
      <c r="F21">
        <v>5</v>
      </c>
      <c r="G21">
        <v>4</v>
      </c>
    </row>
    <row r="22" spans="1:9" x14ac:dyDescent="0.2">
      <c r="A22" t="s">
        <v>7442</v>
      </c>
      <c r="B22">
        <v>1</v>
      </c>
      <c r="F22">
        <v>1</v>
      </c>
    </row>
    <row r="23" spans="1:9" x14ac:dyDescent="0.2">
      <c r="A23" t="s">
        <v>7396</v>
      </c>
      <c r="B23">
        <v>19</v>
      </c>
      <c r="E23">
        <v>12</v>
      </c>
      <c r="F23">
        <v>1</v>
      </c>
      <c r="G23">
        <v>6</v>
      </c>
    </row>
    <row r="24" spans="1:9" x14ac:dyDescent="0.2">
      <c r="A24" t="s">
        <v>7437</v>
      </c>
      <c r="B24">
        <v>2</v>
      </c>
      <c r="I24">
        <v>2</v>
      </c>
    </row>
    <row r="25" spans="1:9" x14ac:dyDescent="0.2">
      <c r="A25" t="s">
        <v>7478</v>
      </c>
      <c r="B25">
        <v>4</v>
      </c>
      <c r="E25">
        <v>1</v>
      </c>
      <c r="F25">
        <v>3</v>
      </c>
    </row>
    <row r="26" spans="1:9" x14ac:dyDescent="0.2">
      <c r="A26" t="s">
        <v>7484</v>
      </c>
      <c r="B26">
        <v>4</v>
      </c>
      <c r="F26">
        <v>4</v>
      </c>
    </row>
    <row r="27" spans="1:9" x14ac:dyDescent="0.2">
      <c r="A27" t="s">
        <v>7440</v>
      </c>
      <c r="B27">
        <v>5</v>
      </c>
      <c r="F27">
        <v>5</v>
      </c>
    </row>
    <row r="28" spans="1:9" x14ac:dyDescent="0.2">
      <c r="A28" t="s">
        <v>7426</v>
      </c>
      <c r="B28">
        <v>15</v>
      </c>
      <c r="F28">
        <v>15</v>
      </c>
    </row>
    <row r="29" spans="1:9" x14ac:dyDescent="0.2">
      <c r="A29" t="s">
        <v>7479</v>
      </c>
      <c r="B29">
        <v>30</v>
      </c>
      <c r="F29">
        <v>30</v>
      </c>
    </row>
    <row r="30" spans="1:9" x14ac:dyDescent="0.2">
      <c r="A30" t="s">
        <v>7404</v>
      </c>
      <c r="B30">
        <v>24</v>
      </c>
      <c r="F30">
        <v>24</v>
      </c>
    </row>
    <row r="31" spans="1:9" x14ac:dyDescent="0.2">
      <c r="A31" t="s">
        <v>7488</v>
      </c>
      <c r="B31">
        <v>1</v>
      </c>
      <c r="F31">
        <v>1</v>
      </c>
    </row>
    <row r="32" spans="1:9" x14ac:dyDescent="0.2">
      <c r="A32" t="s">
        <v>7489</v>
      </c>
      <c r="B32">
        <v>1</v>
      </c>
      <c r="F32">
        <v>1</v>
      </c>
    </row>
    <row r="33" spans="1:7" x14ac:dyDescent="0.2">
      <c r="A33" t="s">
        <v>7490</v>
      </c>
      <c r="B33">
        <v>2</v>
      </c>
      <c r="F33">
        <v>2</v>
      </c>
    </row>
    <row r="34" spans="1:7" x14ac:dyDescent="0.2">
      <c r="A34" t="s">
        <v>7377</v>
      </c>
      <c r="B34">
        <v>4</v>
      </c>
      <c r="F34">
        <v>4</v>
      </c>
    </row>
    <row r="35" spans="1:7" x14ac:dyDescent="0.2">
      <c r="A35" t="s">
        <v>7491</v>
      </c>
      <c r="B35">
        <v>1</v>
      </c>
      <c r="F35">
        <v>1</v>
      </c>
    </row>
    <row r="36" spans="1:7" x14ac:dyDescent="0.2">
      <c r="A36" t="s">
        <v>7419</v>
      </c>
      <c r="B36">
        <v>8</v>
      </c>
      <c r="D36">
        <v>3</v>
      </c>
      <c r="F36">
        <v>3</v>
      </c>
      <c r="G36">
        <v>2</v>
      </c>
    </row>
    <row r="37" spans="1:7" x14ac:dyDescent="0.2">
      <c r="A37" t="s">
        <v>7445</v>
      </c>
      <c r="B37">
        <v>1</v>
      </c>
      <c r="D37">
        <v>1</v>
      </c>
    </row>
    <row r="38" spans="1:7" x14ac:dyDescent="0.2">
      <c r="A38" t="s">
        <v>7388</v>
      </c>
      <c r="B38">
        <v>3</v>
      </c>
      <c r="E38">
        <v>1</v>
      </c>
      <c r="F38">
        <v>2</v>
      </c>
    </row>
    <row r="39" spans="1:7" x14ac:dyDescent="0.2">
      <c r="A39" t="s">
        <v>7398</v>
      </c>
      <c r="B39">
        <v>40</v>
      </c>
      <c r="D39">
        <v>3</v>
      </c>
      <c r="F39">
        <v>37</v>
      </c>
    </row>
    <row r="40" spans="1:7" x14ac:dyDescent="0.2">
      <c r="A40" t="s">
        <v>7392</v>
      </c>
      <c r="B40">
        <v>11</v>
      </c>
      <c r="F40">
        <v>10</v>
      </c>
      <c r="G40">
        <v>1</v>
      </c>
    </row>
    <row r="41" spans="1:7" x14ac:dyDescent="0.2">
      <c r="A41" t="s">
        <v>7424</v>
      </c>
      <c r="B41">
        <v>9</v>
      </c>
      <c r="F41">
        <v>9</v>
      </c>
    </row>
    <row r="42" spans="1:7" x14ac:dyDescent="0.2">
      <c r="A42" t="s">
        <v>7391</v>
      </c>
      <c r="B42">
        <v>3</v>
      </c>
      <c r="F42">
        <v>3</v>
      </c>
    </row>
    <row r="43" spans="1:7" x14ac:dyDescent="0.2">
      <c r="A43" t="s">
        <v>7448</v>
      </c>
      <c r="B43">
        <v>2</v>
      </c>
      <c r="F43">
        <v>2</v>
      </c>
    </row>
    <row r="44" spans="1:7" x14ac:dyDescent="0.2">
      <c r="A44" t="s">
        <v>7411</v>
      </c>
      <c r="B44">
        <v>3</v>
      </c>
      <c r="C44">
        <v>3</v>
      </c>
    </row>
    <row r="45" spans="1:7" x14ac:dyDescent="0.2">
      <c r="A45" t="s">
        <v>7422</v>
      </c>
      <c r="B45">
        <v>4</v>
      </c>
      <c r="F45">
        <v>4</v>
      </c>
    </row>
    <row r="46" spans="1:7" x14ac:dyDescent="0.2">
      <c r="A46" t="s">
        <v>7418</v>
      </c>
      <c r="B46">
        <v>3</v>
      </c>
      <c r="F46">
        <v>3</v>
      </c>
    </row>
    <row r="47" spans="1:7" x14ac:dyDescent="0.2">
      <c r="A47" t="s">
        <v>7425</v>
      </c>
      <c r="B47">
        <v>1</v>
      </c>
      <c r="F47">
        <v>1</v>
      </c>
    </row>
    <row r="48" spans="1:7" x14ac:dyDescent="0.2">
      <c r="A48" t="s">
        <v>7402</v>
      </c>
      <c r="B48">
        <v>6</v>
      </c>
      <c r="F48">
        <v>6</v>
      </c>
    </row>
    <row r="49" spans="1:9" x14ac:dyDescent="0.2">
      <c r="A49" t="s">
        <v>7431</v>
      </c>
      <c r="B49">
        <v>1</v>
      </c>
      <c r="F49">
        <v>1</v>
      </c>
    </row>
    <row r="50" spans="1:9" x14ac:dyDescent="0.2">
      <c r="A50" t="s">
        <v>7407</v>
      </c>
      <c r="B50">
        <v>1</v>
      </c>
      <c r="F50">
        <v>1</v>
      </c>
    </row>
    <row r="51" spans="1:9" x14ac:dyDescent="0.2">
      <c r="A51" t="s">
        <v>7429</v>
      </c>
      <c r="B51">
        <v>1</v>
      </c>
      <c r="F51">
        <v>1</v>
      </c>
    </row>
    <row r="52" spans="1:9" x14ac:dyDescent="0.2">
      <c r="A52" t="s">
        <v>7455</v>
      </c>
      <c r="B52">
        <v>1</v>
      </c>
      <c r="I52">
        <v>1</v>
      </c>
    </row>
    <row r="53" spans="1:9" x14ac:dyDescent="0.2">
      <c r="A53" t="s">
        <v>7412</v>
      </c>
      <c r="B53">
        <v>12</v>
      </c>
      <c r="F53">
        <v>12</v>
      </c>
    </row>
    <row r="54" spans="1:9" x14ac:dyDescent="0.2">
      <c r="A54" t="s">
        <v>7458</v>
      </c>
      <c r="B54">
        <v>1</v>
      </c>
      <c r="I54">
        <v>1</v>
      </c>
    </row>
    <row r="55" spans="1:9" x14ac:dyDescent="0.2">
      <c r="A55" t="s">
        <v>7492</v>
      </c>
      <c r="B55">
        <v>1</v>
      </c>
      <c r="F5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FAB3-A560-4525-AA77-39C4FE40F206}">
  <dimension ref="A3:V55"/>
  <sheetViews>
    <sheetView topLeftCell="A15" workbookViewId="0">
      <selection activeCell="N34" sqref="N34"/>
    </sheetView>
  </sheetViews>
  <sheetFormatPr baseColWidth="10" defaultColWidth="8.83203125" defaultRowHeight="15" x14ac:dyDescent="0.2"/>
  <cols>
    <col min="1" max="1" width="16.1640625" bestFit="1" customWidth="1"/>
    <col min="2" max="2" width="16.33203125" bestFit="1" customWidth="1"/>
    <col min="3" max="3" width="12.5" bestFit="1" customWidth="1"/>
    <col min="4" max="4" width="5.5" bestFit="1" customWidth="1"/>
    <col min="5" max="5" width="5.6640625" bestFit="1" customWidth="1"/>
    <col min="6" max="6" width="11.33203125" bestFit="1" customWidth="1"/>
    <col min="7" max="7" width="6.1640625" bestFit="1" customWidth="1"/>
    <col min="8" max="8" width="10.1640625" bestFit="1" customWidth="1"/>
    <col min="9" max="9" width="7.33203125" bestFit="1" customWidth="1"/>
    <col min="10" max="10" width="11.33203125" bestFit="1" customWidth="1"/>
  </cols>
  <sheetData>
    <row r="3" spans="1:22" x14ac:dyDescent="0.2">
      <c r="A3" s="15" t="s">
        <v>7475</v>
      </c>
      <c r="B3" s="15" t="s">
        <v>7177</v>
      </c>
    </row>
    <row r="4" spans="1:22" ht="16" thickBot="1" x14ac:dyDescent="0.25">
      <c r="A4" s="15" t="s">
        <v>7173</v>
      </c>
      <c r="B4" t="s">
        <v>7167</v>
      </c>
      <c r="C4" t="s">
        <v>7170</v>
      </c>
      <c r="D4" t="s">
        <v>60</v>
      </c>
      <c r="E4" t="s">
        <v>7165</v>
      </c>
      <c r="F4" t="s">
        <v>7169</v>
      </c>
      <c r="G4" t="s">
        <v>7162</v>
      </c>
      <c r="H4" t="s">
        <v>7168</v>
      </c>
      <c r="I4" t="s">
        <v>7174</v>
      </c>
      <c r="J4" t="s">
        <v>7175</v>
      </c>
      <c r="N4" t="s">
        <v>7142</v>
      </c>
      <c r="O4" t="s">
        <v>7167</v>
      </c>
      <c r="P4" t="s">
        <v>7170</v>
      </c>
      <c r="Q4" t="s">
        <v>60</v>
      </c>
      <c r="R4" t="s">
        <v>7165</v>
      </c>
      <c r="S4" t="s">
        <v>7169</v>
      </c>
      <c r="T4" t="s">
        <v>7162</v>
      </c>
      <c r="U4" t="s">
        <v>7168</v>
      </c>
      <c r="V4" t="s">
        <v>7351</v>
      </c>
    </row>
    <row r="5" spans="1:22" x14ac:dyDescent="0.2">
      <c r="A5" s="16" t="s">
        <v>7154</v>
      </c>
      <c r="D5">
        <v>4</v>
      </c>
      <c r="E5">
        <v>2</v>
      </c>
      <c r="J5">
        <v>6</v>
      </c>
      <c r="N5" s="36" t="s">
        <v>7179</v>
      </c>
      <c r="O5">
        <f>SUMIF($A$5:$A$53,CONCATENATE("*",N5,"*"),$B$5:$B$53)</f>
        <v>10</v>
      </c>
      <c r="P5">
        <f>SUMIF($A$5:$A$53,CONCATENATE("*",N5,"*"),$C$5:$C$53)</f>
        <v>9</v>
      </c>
      <c r="Q5">
        <f>SUMIF($A$5:$A$53,CONCATENATE("*",N5,"*"),$D$5:$D$53)</f>
        <v>0</v>
      </c>
      <c r="R5">
        <f>SUMIF($A$5:$A$53,CONCATENATE("*",N5,"*"),$E$5:$E$53)</f>
        <v>199</v>
      </c>
      <c r="S5">
        <f>SUMIF($A$5:$A$53,CONCATENATE("*",N5,"*"),$F$5:$F$53)</f>
        <v>1</v>
      </c>
      <c r="T5">
        <f>SUMIF($A$5:$A$53,CONCATENATE("*",N5,"*"),$G$5:$G$53)</f>
        <v>1</v>
      </c>
      <c r="U5">
        <f>SUMIF($A$5:$A$53,CONCATENATE("*",N5,"*"),$H$5:$H$53)</f>
        <v>2</v>
      </c>
      <c r="V5">
        <f>SUMIF($A$5:$A$53,CONCATENATE("*",N5,"*"),$J$5:$J$53)</f>
        <v>222</v>
      </c>
    </row>
    <row r="6" spans="1:22" x14ac:dyDescent="0.2">
      <c r="A6" s="16" t="s">
        <v>7232</v>
      </c>
      <c r="E6">
        <v>6</v>
      </c>
      <c r="J6">
        <v>6</v>
      </c>
      <c r="N6" s="37" t="s">
        <v>7152</v>
      </c>
      <c r="O6">
        <f t="shared" ref="O6:O16" si="0">SUMIF($A$5:$A$53,CONCATENATE("*",N6,"*"),$B$5:$B$53)</f>
        <v>0</v>
      </c>
      <c r="P6">
        <f t="shared" ref="P6:P16" si="1">SUMIF($A$5:$A$53,CONCATENATE("*",N6,"*"),$C$5:$C$53)</f>
        <v>0</v>
      </c>
      <c r="Q6">
        <f t="shared" ref="Q6:Q16" si="2">SUMIF($A$5:$A$53,CONCATENATE("*",N6,"*"),$D$5:$D$53)</f>
        <v>0</v>
      </c>
      <c r="R6">
        <f t="shared" ref="R6:R16" si="3">SUMIF($A$5:$A$53,CONCATENATE("*",N6,"*"),$E$5:$E$53)</f>
        <v>1</v>
      </c>
      <c r="S6">
        <f t="shared" ref="S6:S16" si="4">SUMIF($A$5:$A$53,CONCATENATE("*",N6,"*"),$F$5:$F$53)</f>
        <v>0</v>
      </c>
      <c r="T6">
        <f t="shared" ref="T6:T16" si="5">SUMIF($A$5:$A$53,CONCATENATE("*",N6,"*"),$G$5:$G$53)</f>
        <v>0</v>
      </c>
      <c r="U6">
        <f t="shared" ref="U6:U16" si="6">SUMIF($A$5:$A$53,CONCATENATE("*",N6,"*"),$H$5:$H$53)</f>
        <v>0</v>
      </c>
      <c r="V6">
        <f t="shared" ref="V6:V16" si="7">SUMIF($A$5:$A$53,CONCATENATE("*",N6,"*"),$J$5:$J$53)</f>
        <v>1</v>
      </c>
    </row>
    <row r="7" spans="1:22" x14ac:dyDescent="0.2">
      <c r="A7" s="16" t="s">
        <v>7233</v>
      </c>
      <c r="E7">
        <v>2</v>
      </c>
      <c r="J7">
        <v>2</v>
      </c>
      <c r="N7" s="37" t="s">
        <v>7154</v>
      </c>
      <c r="O7">
        <f t="shared" si="0"/>
        <v>0</v>
      </c>
      <c r="P7">
        <f t="shared" si="1"/>
        <v>0</v>
      </c>
      <c r="Q7">
        <f t="shared" si="2"/>
        <v>4</v>
      </c>
      <c r="R7">
        <f t="shared" si="3"/>
        <v>2</v>
      </c>
      <c r="S7">
        <f t="shared" si="4"/>
        <v>0</v>
      </c>
      <c r="T7">
        <f t="shared" si="5"/>
        <v>0</v>
      </c>
      <c r="U7">
        <f t="shared" si="6"/>
        <v>0</v>
      </c>
      <c r="V7">
        <f t="shared" si="7"/>
        <v>6</v>
      </c>
    </row>
    <row r="8" spans="1:22" x14ac:dyDescent="0.2">
      <c r="A8" s="16" t="s">
        <v>7234</v>
      </c>
      <c r="E8">
        <v>3</v>
      </c>
      <c r="J8">
        <v>3</v>
      </c>
      <c r="N8" s="37" t="s">
        <v>7156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  <c r="V8">
        <f t="shared" si="7"/>
        <v>0</v>
      </c>
    </row>
    <row r="9" spans="1:22" x14ac:dyDescent="0.2">
      <c r="A9" s="16" t="s">
        <v>7235</v>
      </c>
      <c r="E9">
        <v>10</v>
      </c>
      <c r="J9">
        <v>10</v>
      </c>
      <c r="N9" s="37" t="s">
        <v>7158</v>
      </c>
      <c r="O9">
        <f t="shared" si="0"/>
        <v>0</v>
      </c>
      <c r="P9">
        <f t="shared" si="1"/>
        <v>0</v>
      </c>
      <c r="Q9">
        <f t="shared" si="2"/>
        <v>10</v>
      </c>
      <c r="R9">
        <f t="shared" si="3"/>
        <v>3</v>
      </c>
      <c r="S9">
        <f t="shared" si="4"/>
        <v>0</v>
      </c>
      <c r="T9">
        <f t="shared" si="5"/>
        <v>0</v>
      </c>
      <c r="U9">
        <f t="shared" si="6"/>
        <v>0</v>
      </c>
      <c r="V9">
        <f t="shared" si="7"/>
        <v>13</v>
      </c>
    </row>
    <row r="10" spans="1:22" x14ac:dyDescent="0.2">
      <c r="A10" s="16" t="s">
        <v>7236</v>
      </c>
      <c r="E10">
        <v>1</v>
      </c>
      <c r="J10">
        <v>1</v>
      </c>
      <c r="N10" s="37" t="s">
        <v>7160</v>
      </c>
      <c r="O10">
        <f t="shared" si="0"/>
        <v>0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  <c r="U10">
        <f t="shared" si="6"/>
        <v>0</v>
      </c>
      <c r="V10">
        <f t="shared" si="7"/>
        <v>0</v>
      </c>
    </row>
    <row r="11" spans="1:22" x14ac:dyDescent="0.2">
      <c r="A11" s="16" t="s">
        <v>7237</v>
      </c>
      <c r="E11">
        <v>2</v>
      </c>
      <c r="J11">
        <v>2</v>
      </c>
      <c r="N11" s="38" t="s">
        <v>7286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41</v>
      </c>
      <c r="S11">
        <f t="shared" si="4"/>
        <v>0</v>
      </c>
      <c r="T11">
        <f t="shared" si="5"/>
        <v>0</v>
      </c>
      <c r="U11">
        <f t="shared" si="6"/>
        <v>0</v>
      </c>
      <c r="V11">
        <f t="shared" si="7"/>
        <v>41</v>
      </c>
    </row>
    <row r="12" spans="1:22" x14ac:dyDescent="0.2">
      <c r="A12" s="16" t="s">
        <v>7238</v>
      </c>
      <c r="E12">
        <v>1</v>
      </c>
      <c r="J12">
        <v>1</v>
      </c>
      <c r="N12" s="38" t="s">
        <v>7244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24</v>
      </c>
      <c r="S12">
        <f t="shared" si="4"/>
        <v>0</v>
      </c>
      <c r="T12">
        <f t="shared" si="5"/>
        <v>0</v>
      </c>
      <c r="U12">
        <f t="shared" si="6"/>
        <v>0</v>
      </c>
      <c r="V12">
        <f t="shared" si="7"/>
        <v>24</v>
      </c>
    </row>
    <row r="13" spans="1:22" x14ac:dyDescent="0.2">
      <c r="A13" s="16" t="s">
        <v>7158</v>
      </c>
      <c r="D13">
        <v>10</v>
      </c>
      <c r="E13">
        <v>3</v>
      </c>
      <c r="J13">
        <v>13</v>
      </c>
      <c r="N13" s="38" t="s">
        <v>7281</v>
      </c>
      <c r="O13">
        <f t="shared" si="0"/>
        <v>0</v>
      </c>
      <c r="P13">
        <f t="shared" si="1"/>
        <v>0</v>
      </c>
      <c r="Q13">
        <f t="shared" si="2"/>
        <v>10</v>
      </c>
      <c r="R13">
        <f t="shared" si="3"/>
        <v>13</v>
      </c>
      <c r="S13">
        <f t="shared" si="4"/>
        <v>1</v>
      </c>
      <c r="T13">
        <f t="shared" si="5"/>
        <v>0</v>
      </c>
      <c r="U13">
        <f t="shared" si="6"/>
        <v>0</v>
      </c>
      <c r="V13">
        <f t="shared" si="7"/>
        <v>24</v>
      </c>
    </row>
    <row r="14" spans="1:22" x14ac:dyDescent="0.2">
      <c r="A14" s="16" t="s">
        <v>7241</v>
      </c>
      <c r="E14">
        <v>1</v>
      </c>
      <c r="J14">
        <v>1</v>
      </c>
      <c r="N14" s="38" t="s">
        <v>7235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10</v>
      </c>
      <c r="S14">
        <f t="shared" si="4"/>
        <v>0</v>
      </c>
      <c r="T14">
        <f t="shared" si="5"/>
        <v>0</v>
      </c>
      <c r="U14">
        <f t="shared" si="6"/>
        <v>0</v>
      </c>
      <c r="V14">
        <f t="shared" si="7"/>
        <v>10</v>
      </c>
    </row>
    <row r="15" spans="1:22" x14ac:dyDescent="0.2">
      <c r="A15" s="16" t="s">
        <v>7240</v>
      </c>
      <c r="E15">
        <v>1</v>
      </c>
      <c r="J15">
        <v>1</v>
      </c>
      <c r="N15" s="38" t="s">
        <v>7248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8</v>
      </c>
      <c r="S15">
        <f t="shared" si="4"/>
        <v>0</v>
      </c>
      <c r="T15">
        <f t="shared" si="5"/>
        <v>0</v>
      </c>
      <c r="U15">
        <f t="shared" si="6"/>
        <v>2</v>
      </c>
      <c r="V15">
        <f t="shared" si="7"/>
        <v>10</v>
      </c>
    </row>
    <row r="16" spans="1:22" x14ac:dyDescent="0.2">
      <c r="A16" s="16" t="s">
        <v>7244</v>
      </c>
      <c r="E16">
        <v>24</v>
      </c>
      <c r="J16">
        <v>24</v>
      </c>
      <c r="N16" s="38" t="s">
        <v>7259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9</v>
      </c>
      <c r="S16">
        <f t="shared" si="4"/>
        <v>1</v>
      </c>
      <c r="T16">
        <f t="shared" si="5"/>
        <v>0</v>
      </c>
      <c r="U16">
        <f t="shared" si="6"/>
        <v>0</v>
      </c>
      <c r="V16">
        <f t="shared" si="7"/>
        <v>10</v>
      </c>
    </row>
    <row r="17" spans="1:22" ht="18" thickBot="1" x14ac:dyDescent="0.25">
      <c r="A17" s="16" t="s">
        <v>7245</v>
      </c>
      <c r="E17">
        <v>4</v>
      </c>
      <c r="F17">
        <v>1</v>
      </c>
      <c r="J17">
        <v>5</v>
      </c>
      <c r="N17" s="39" t="s">
        <v>7524</v>
      </c>
      <c r="O17">
        <f>13-SUM(O5:O16)</f>
        <v>3</v>
      </c>
      <c r="P17">
        <f>9-SUM(P5:P16)</f>
        <v>0</v>
      </c>
      <c r="Q17">
        <f>29-SUM(Q5:Q16)</f>
        <v>5</v>
      </c>
      <c r="R17">
        <f>421-SUM(R5:R16)</f>
        <v>111</v>
      </c>
      <c r="S17">
        <f>18-SUM(S5:S16)</f>
        <v>15</v>
      </c>
      <c r="T17">
        <v>0</v>
      </c>
      <c r="U17">
        <f>6-SUM(U5:U16)</f>
        <v>2</v>
      </c>
      <c r="V17">
        <f>497-SUM(V5:V16)</f>
        <v>136</v>
      </c>
    </row>
    <row r="18" spans="1:22" x14ac:dyDescent="0.2">
      <c r="A18" s="16" t="s">
        <v>7247</v>
      </c>
      <c r="F18">
        <v>1</v>
      </c>
      <c r="J18">
        <v>1</v>
      </c>
      <c r="V18">
        <f>SUM(V5:V17)</f>
        <v>497</v>
      </c>
    </row>
    <row r="19" spans="1:22" x14ac:dyDescent="0.2">
      <c r="A19" s="16" t="s">
        <v>7248</v>
      </c>
      <c r="E19">
        <v>8</v>
      </c>
      <c r="H19">
        <v>2</v>
      </c>
      <c r="J19">
        <v>10</v>
      </c>
    </row>
    <row r="20" spans="1:22" x14ac:dyDescent="0.2">
      <c r="A20" s="16" t="s">
        <v>7249</v>
      </c>
      <c r="E20">
        <v>1</v>
      </c>
      <c r="J20">
        <v>1</v>
      </c>
    </row>
    <row r="21" spans="1:22" x14ac:dyDescent="0.2">
      <c r="A21" s="16" t="s">
        <v>7250</v>
      </c>
      <c r="E21">
        <v>1</v>
      </c>
      <c r="J21">
        <v>1</v>
      </c>
      <c r="N21" t="s">
        <v>7142</v>
      </c>
      <c r="O21" t="s">
        <v>7167</v>
      </c>
      <c r="P21" t="s">
        <v>7170</v>
      </c>
      <c r="Q21" t="s">
        <v>60</v>
      </c>
      <c r="R21" t="s">
        <v>7165</v>
      </c>
      <c r="S21" t="s">
        <v>7169</v>
      </c>
      <c r="T21" t="s">
        <v>7162</v>
      </c>
      <c r="U21" t="s">
        <v>7168</v>
      </c>
      <c r="V21" t="s">
        <v>7351</v>
      </c>
    </row>
    <row r="22" spans="1:22" x14ac:dyDescent="0.2">
      <c r="A22" s="16" t="s">
        <v>7179</v>
      </c>
      <c r="B22">
        <v>10</v>
      </c>
      <c r="C22">
        <v>9</v>
      </c>
      <c r="E22">
        <v>199</v>
      </c>
      <c r="F22">
        <v>1</v>
      </c>
      <c r="G22">
        <v>1</v>
      </c>
      <c r="H22">
        <v>2</v>
      </c>
      <c r="J22">
        <v>222</v>
      </c>
      <c r="N22" t="s">
        <v>7179</v>
      </c>
      <c r="O22">
        <v>10</v>
      </c>
      <c r="P22">
        <v>9</v>
      </c>
      <c r="Q22" t="s">
        <v>57</v>
      </c>
      <c r="R22">
        <v>199</v>
      </c>
      <c r="S22">
        <v>1</v>
      </c>
      <c r="T22">
        <v>1</v>
      </c>
      <c r="U22">
        <v>2</v>
      </c>
      <c r="V22">
        <v>222</v>
      </c>
    </row>
    <row r="23" spans="1:22" x14ac:dyDescent="0.2">
      <c r="A23" s="16" t="s">
        <v>7252</v>
      </c>
      <c r="D23">
        <v>2</v>
      </c>
      <c r="E23">
        <v>1</v>
      </c>
      <c r="F23">
        <v>5</v>
      </c>
      <c r="J23">
        <v>8</v>
      </c>
      <c r="N23" t="s">
        <v>7152</v>
      </c>
      <c r="O23" t="s">
        <v>57</v>
      </c>
      <c r="P23" t="s">
        <v>57</v>
      </c>
      <c r="Q23" t="s">
        <v>57</v>
      </c>
      <c r="R23">
        <v>1</v>
      </c>
      <c r="S23" t="s">
        <v>57</v>
      </c>
      <c r="T23" t="s">
        <v>57</v>
      </c>
      <c r="U23" t="s">
        <v>57</v>
      </c>
      <c r="V23">
        <v>1</v>
      </c>
    </row>
    <row r="24" spans="1:22" x14ac:dyDescent="0.2">
      <c r="A24" s="16" t="s">
        <v>7253</v>
      </c>
      <c r="E24">
        <v>2</v>
      </c>
      <c r="J24">
        <v>2</v>
      </c>
      <c r="N24" t="s">
        <v>7154</v>
      </c>
      <c r="O24" t="s">
        <v>57</v>
      </c>
      <c r="P24" t="s">
        <v>57</v>
      </c>
      <c r="Q24">
        <v>4</v>
      </c>
      <c r="R24">
        <v>2</v>
      </c>
      <c r="S24" t="s">
        <v>57</v>
      </c>
      <c r="T24" t="s">
        <v>57</v>
      </c>
      <c r="U24" t="s">
        <v>57</v>
      </c>
      <c r="V24">
        <v>6</v>
      </c>
    </row>
    <row r="25" spans="1:22" x14ac:dyDescent="0.2">
      <c r="A25" s="16" t="s">
        <v>7255</v>
      </c>
      <c r="F25">
        <v>2</v>
      </c>
      <c r="J25">
        <v>2</v>
      </c>
      <c r="N25" s="27" t="s">
        <v>7156</v>
      </c>
      <c r="O25" s="27" t="s">
        <v>57</v>
      </c>
      <c r="P25" s="27" t="s">
        <v>57</v>
      </c>
      <c r="Q25" s="27" t="s">
        <v>57</v>
      </c>
      <c r="R25" s="27" t="s">
        <v>57</v>
      </c>
      <c r="S25" s="27" t="s">
        <v>57</v>
      </c>
      <c r="T25" s="27" t="s">
        <v>57</v>
      </c>
      <c r="U25" s="27" t="s">
        <v>57</v>
      </c>
      <c r="V25" s="27" t="s">
        <v>57</v>
      </c>
    </row>
    <row r="26" spans="1:22" x14ac:dyDescent="0.2">
      <c r="A26" s="16" t="s">
        <v>7256</v>
      </c>
      <c r="B26">
        <v>3</v>
      </c>
      <c r="J26">
        <v>3</v>
      </c>
      <c r="N26" s="27" t="s">
        <v>7526</v>
      </c>
      <c r="O26" s="27" t="s">
        <v>57</v>
      </c>
      <c r="P26" s="27" t="s">
        <v>57</v>
      </c>
      <c r="Q26" s="27" t="s">
        <v>57</v>
      </c>
      <c r="R26" s="27" t="s">
        <v>57</v>
      </c>
      <c r="S26" s="27" t="s">
        <v>57</v>
      </c>
      <c r="T26" s="27" t="s">
        <v>57</v>
      </c>
      <c r="U26" s="27" t="s">
        <v>57</v>
      </c>
      <c r="V26" s="27" t="s">
        <v>57</v>
      </c>
    </row>
    <row r="27" spans="1:22" x14ac:dyDescent="0.2">
      <c r="A27" s="16" t="s">
        <v>7258</v>
      </c>
      <c r="E27">
        <v>3</v>
      </c>
      <c r="J27">
        <v>3</v>
      </c>
      <c r="N27" t="s">
        <v>7158</v>
      </c>
      <c r="O27" t="s">
        <v>57</v>
      </c>
      <c r="P27" t="s">
        <v>57</v>
      </c>
      <c r="Q27">
        <v>10</v>
      </c>
      <c r="R27">
        <v>3</v>
      </c>
      <c r="S27" t="s">
        <v>57</v>
      </c>
      <c r="T27" t="s">
        <v>57</v>
      </c>
      <c r="U27" t="s">
        <v>57</v>
      </c>
      <c r="V27">
        <v>13</v>
      </c>
    </row>
    <row r="28" spans="1:22" x14ac:dyDescent="0.2">
      <c r="A28" s="16" t="s">
        <v>7259</v>
      </c>
      <c r="E28">
        <v>9</v>
      </c>
      <c r="F28">
        <v>1</v>
      </c>
      <c r="J28">
        <v>10</v>
      </c>
      <c r="N28" s="27" t="s">
        <v>7160</v>
      </c>
      <c r="O28" s="27" t="s">
        <v>57</v>
      </c>
      <c r="P28" s="27" t="s">
        <v>57</v>
      </c>
      <c r="Q28" s="27" t="s">
        <v>57</v>
      </c>
      <c r="R28" s="27" t="s">
        <v>57</v>
      </c>
      <c r="S28" s="27" t="s">
        <v>57</v>
      </c>
      <c r="T28" s="27" t="s">
        <v>57</v>
      </c>
      <c r="U28" s="27" t="s">
        <v>57</v>
      </c>
      <c r="V28" s="27" t="s">
        <v>57</v>
      </c>
    </row>
    <row r="29" spans="1:22" x14ac:dyDescent="0.2">
      <c r="A29" s="16" t="s">
        <v>7260</v>
      </c>
      <c r="E29">
        <v>5</v>
      </c>
      <c r="J29">
        <v>5</v>
      </c>
      <c r="N29" t="s">
        <v>7286</v>
      </c>
      <c r="O29" t="s">
        <v>57</v>
      </c>
      <c r="P29" t="s">
        <v>57</v>
      </c>
      <c r="Q29" t="s">
        <v>57</v>
      </c>
      <c r="R29">
        <v>41</v>
      </c>
      <c r="S29" t="s">
        <v>57</v>
      </c>
      <c r="T29" t="s">
        <v>57</v>
      </c>
      <c r="U29" t="s">
        <v>57</v>
      </c>
      <c r="V29">
        <v>41</v>
      </c>
    </row>
    <row r="30" spans="1:22" x14ac:dyDescent="0.2">
      <c r="A30" s="16" t="s">
        <v>7261</v>
      </c>
      <c r="H30">
        <v>1</v>
      </c>
      <c r="J30">
        <v>1</v>
      </c>
      <c r="N30" t="s">
        <v>7244</v>
      </c>
      <c r="O30" t="s">
        <v>57</v>
      </c>
      <c r="P30" t="s">
        <v>57</v>
      </c>
      <c r="Q30" t="s">
        <v>57</v>
      </c>
      <c r="R30">
        <v>24</v>
      </c>
      <c r="S30" t="s">
        <v>57</v>
      </c>
      <c r="T30" t="s">
        <v>57</v>
      </c>
      <c r="U30" t="s">
        <v>57</v>
      </c>
      <c r="V30">
        <v>24</v>
      </c>
    </row>
    <row r="31" spans="1:22" x14ac:dyDescent="0.2">
      <c r="A31" s="16" t="s">
        <v>7262</v>
      </c>
      <c r="E31">
        <v>6</v>
      </c>
      <c r="J31">
        <v>6</v>
      </c>
      <c r="N31" t="s">
        <v>7281</v>
      </c>
      <c r="O31" t="s">
        <v>57</v>
      </c>
      <c r="P31" t="s">
        <v>57</v>
      </c>
      <c r="Q31">
        <v>10</v>
      </c>
      <c r="R31">
        <v>13</v>
      </c>
      <c r="S31">
        <v>1</v>
      </c>
      <c r="T31" t="s">
        <v>57</v>
      </c>
      <c r="U31" t="s">
        <v>57</v>
      </c>
      <c r="V31">
        <v>24</v>
      </c>
    </row>
    <row r="32" spans="1:22" x14ac:dyDescent="0.2">
      <c r="A32" s="16" t="s">
        <v>7263</v>
      </c>
      <c r="E32">
        <v>1</v>
      </c>
      <c r="J32">
        <v>1</v>
      </c>
      <c r="N32" t="s">
        <v>7235</v>
      </c>
      <c r="O32" t="s">
        <v>57</v>
      </c>
      <c r="P32" t="s">
        <v>57</v>
      </c>
      <c r="Q32" t="s">
        <v>57</v>
      </c>
      <c r="R32">
        <v>10</v>
      </c>
      <c r="S32" t="s">
        <v>57</v>
      </c>
      <c r="T32" t="s">
        <v>57</v>
      </c>
      <c r="U32" t="s">
        <v>57</v>
      </c>
      <c r="V32">
        <v>10</v>
      </c>
    </row>
    <row r="33" spans="1:22" x14ac:dyDescent="0.2">
      <c r="A33" s="16" t="s">
        <v>7264</v>
      </c>
      <c r="E33">
        <v>1</v>
      </c>
      <c r="J33">
        <v>1</v>
      </c>
      <c r="N33" t="s">
        <v>7248</v>
      </c>
      <c r="O33" t="s">
        <v>57</v>
      </c>
      <c r="P33" t="s">
        <v>57</v>
      </c>
      <c r="Q33" t="s">
        <v>57</v>
      </c>
      <c r="R33">
        <v>8</v>
      </c>
      <c r="S33" t="s">
        <v>57</v>
      </c>
      <c r="T33" t="s">
        <v>57</v>
      </c>
      <c r="U33">
        <v>2</v>
      </c>
      <c r="V33">
        <v>10</v>
      </c>
    </row>
    <row r="34" spans="1:22" x14ac:dyDescent="0.2">
      <c r="A34" s="16" t="s">
        <v>7265</v>
      </c>
      <c r="E34">
        <v>3</v>
      </c>
      <c r="F34">
        <v>2</v>
      </c>
      <c r="J34">
        <v>5</v>
      </c>
      <c r="N34" t="s">
        <v>7259</v>
      </c>
      <c r="O34" t="s">
        <v>57</v>
      </c>
      <c r="P34" t="s">
        <v>57</v>
      </c>
      <c r="Q34" t="s">
        <v>57</v>
      </c>
      <c r="R34">
        <v>9</v>
      </c>
      <c r="S34">
        <v>1</v>
      </c>
      <c r="T34" t="s">
        <v>57</v>
      </c>
      <c r="U34" t="s">
        <v>57</v>
      </c>
      <c r="V34">
        <v>10</v>
      </c>
    </row>
    <row r="35" spans="1:22" x14ac:dyDescent="0.2">
      <c r="A35" s="16" t="s">
        <v>7266</v>
      </c>
      <c r="D35">
        <v>1</v>
      </c>
      <c r="J35">
        <v>1</v>
      </c>
      <c r="N35" t="s">
        <v>7525</v>
      </c>
      <c r="O35">
        <v>3</v>
      </c>
      <c r="P35" t="s">
        <v>57</v>
      </c>
      <c r="Q35">
        <v>5</v>
      </c>
      <c r="R35">
        <v>111</v>
      </c>
      <c r="S35">
        <v>15</v>
      </c>
      <c r="T35" t="s">
        <v>57</v>
      </c>
      <c r="U35">
        <v>2</v>
      </c>
      <c r="V35">
        <v>136</v>
      </c>
    </row>
    <row r="36" spans="1:22" x14ac:dyDescent="0.2">
      <c r="A36" s="16" t="s">
        <v>7152</v>
      </c>
      <c r="E36">
        <v>1</v>
      </c>
      <c r="J36">
        <v>1</v>
      </c>
    </row>
    <row r="37" spans="1:22" x14ac:dyDescent="0.2">
      <c r="A37" s="16" t="s">
        <v>7269</v>
      </c>
      <c r="E37">
        <v>1</v>
      </c>
      <c r="J37">
        <v>1</v>
      </c>
      <c r="M37">
        <f>49-10</f>
        <v>39</v>
      </c>
      <c r="N37" t="s">
        <v>7527</v>
      </c>
    </row>
    <row r="38" spans="1:22" x14ac:dyDescent="0.2">
      <c r="A38" s="16" t="s">
        <v>7270</v>
      </c>
      <c r="E38">
        <v>1</v>
      </c>
      <c r="J38">
        <v>1</v>
      </c>
    </row>
    <row r="39" spans="1:22" x14ac:dyDescent="0.2">
      <c r="A39" s="16" t="s">
        <v>7271</v>
      </c>
      <c r="E39">
        <v>3</v>
      </c>
      <c r="J39">
        <v>3</v>
      </c>
    </row>
    <row r="40" spans="1:22" x14ac:dyDescent="0.2">
      <c r="A40" s="16" t="s">
        <v>7274</v>
      </c>
      <c r="E40">
        <v>6</v>
      </c>
      <c r="J40">
        <v>6</v>
      </c>
    </row>
    <row r="41" spans="1:22" x14ac:dyDescent="0.2">
      <c r="A41" s="16" t="s">
        <v>7275</v>
      </c>
      <c r="E41">
        <v>8</v>
      </c>
      <c r="J41">
        <v>8</v>
      </c>
    </row>
    <row r="42" spans="1:22" x14ac:dyDescent="0.2">
      <c r="A42" s="16" t="s">
        <v>7276</v>
      </c>
      <c r="E42">
        <v>1</v>
      </c>
      <c r="J42">
        <v>1</v>
      </c>
    </row>
    <row r="43" spans="1:22" x14ac:dyDescent="0.2">
      <c r="A43" s="16" t="s">
        <v>7278</v>
      </c>
      <c r="E43">
        <v>3</v>
      </c>
      <c r="J43">
        <v>3</v>
      </c>
    </row>
    <row r="44" spans="1:22" x14ac:dyDescent="0.2">
      <c r="A44" s="16" t="s">
        <v>7279</v>
      </c>
      <c r="E44">
        <v>6</v>
      </c>
      <c r="J44">
        <v>6</v>
      </c>
    </row>
    <row r="45" spans="1:22" x14ac:dyDescent="0.2">
      <c r="A45" s="16" t="s">
        <v>7280</v>
      </c>
      <c r="E45">
        <v>2</v>
      </c>
      <c r="J45">
        <v>2</v>
      </c>
    </row>
    <row r="46" spans="1:22" x14ac:dyDescent="0.2">
      <c r="A46" s="16" t="s">
        <v>7281</v>
      </c>
      <c r="D46">
        <v>9</v>
      </c>
      <c r="E46">
        <v>9</v>
      </c>
      <c r="F46">
        <v>1</v>
      </c>
      <c r="J46">
        <v>19</v>
      </c>
    </row>
    <row r="47" spans="1:22" x14ac:dyDescent="0.2">
      <c r="A47" s="16" t="s">
        <v>7282</v>
      </c>
      <c r="E47">
        <v>1</v>
      </c>
      <c r="J47">
        <v>1</v>
      </c>
    </row>
    <row r="48" spans="1:22" x14ac:dyDescent="0.2">
      <c r="A48" s="16" t="s">
        <v>7283</v>
      </c>
      <c r="E48">
        <v>2</v>
      </c>
      <c r="J48">
        <v>2</v>
      </c>
    </row>
    <row r="49" spans="1:10" x14ac:dyDescent="0.2">
      <c r="A49" s="16" t="s">
        <v>7284</v>
      </c>
      <c r="D49">
        <v>1</v>
      </c>
      <c r="E49">
        <v>1</v>
      </c>
      <c r="J49">
        <v>2</v>
      </c>
    </row>
    <row r="50" spans="1:10" x14ac:dyDescent="0.2">
      <c r="A50" s="16" t="s">
        <v>7285</v>
      </c>
      <c r="E50">
        <v>2</v>
      </c>
      <c r="J50">
        <v>2</v>
      </c>
    </row>
    <row r="51" spans="1:10" x14ac:dyDescent="0.2">
      <c r="A51" s="16" t="s">
        <v>7286</v>
      </c>
      <c r="E51">
        <v>41</v>
      </c>
      <c r="J51">
        <v>41</v>
      </c>
    </row>
    <row r="52" spans="1:10" x14ac:dyDescent="0.2">
      <c r="A52" s="16" t="s">
        <v>7287</v>
      </c>
      <c r="E52">
        <v>2</v>
      </c>
      <c r="J52">
        <v>2</v>
      </c>
    </row>
    <row r="53" spans="1:10" x14ac:dyDescent="0.2">
      <c r="A53" s="16" t="s">
        <v>7288</v>
      </c>
      <c r="D53">
        <v>2</v>
      </c>
      <c r="E53">
        <v>31</v>
      </c>
      <c r="F53">
        <v>4</v>
      </c>
      <c r="H53">
        <v>1</v>
      </c>
      <c r="J53">
        <v>38</v>
      </c>
    </row>
    <row r="54" spans="1:10" x14ac:dyDescent="0.2">
      <c r="A54" s="16" t="s">
        <v>7174</v>
      </c>
    </row>
    <row r="55" spans="1:10" x14ac:dyDescent="0.2">
      <c r="A55" s="16" t="s">
        <v>7175</v>
      </c>
      <c r="B55">
        <v>13</v>
      </c>
      <c r="C55">
        <v>9</v>
      </c>
      <c r="D55">
        <v>29</v>
      </c>
      <c r="E55">
        <v>421</v>
      </c>
      <c r="F55">
        <v>18</v>
      </c>
      <c r="G55">
        <v>1</v>
      </c>
      <c r="H55">
        <v>6</v>
      </c>
      <c r="J55">
        <v>497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A037-B82E-4666-8756-5CDD550892B2}">
  <dimension ref="A1:O498"/>
  <sheetViews>
    <sheetView topLeftCell="A429" workbookViewId="0">
      <selection activeCell="E449" sqref="E449"/>
    </sheetView>
  </sheetViews>
  <sheetFormatPr baseColWidth="10" defaultColWidth="8.83203125" defaultRowHeight="15" x14ac:dyDescent="0.2"/>
  <cols>
    <col min="1" max="1" width="15.6640625" bestFit="1" customWidth="1"/>
    <col min="2" max="2" width="13.6640625" bestFit="1" customWidth="1"/>
    <col min="3" max="3" width="12" bestFit="1" customWidth="1"/>
    <col min="4" max="4" width="14" bestFit="1" customWidth="1"/>
    <col min="5" max="6" width="15.1640625" bestFit="1" customWidth="1"/>
    <col min="7" max="7" width="18.5" bestFit="1" customWidth="1"/>
    <col min="8" max="9" width="10.6640625" bestFit="1" customWidth="1"/>
    <col min="10" max="10" width="18.6640625" bestFit="1" customWidth="1"/>
    <col min="11" max="11" width="54.6640625" bestFit="1" customWidth="1"/>
    <col min="12" max="12" width="24.6640625" bestFit="1" customWidth="1"/>
    <col min="13" max="14" width="11" bestFit="1" customWidth="1"/>
    <col min="15" max="15" width="14.83203125" bestFit="1" customWidth="1"/>
  </cols>
  <sheetData>
    <row r="1" spans="1:15" x14ac:dyDescent="0.2">
      <c r="A1" s="27" t="s">
        <v>4</v>
      </c>
      <c r="B1" s="2" t="s">
        <v>21</v>
      </c>
      <c r="C1" s="2" t="s">
        <v>23</v>
      </c>
      <c r="D1" s="2" t="s">
        <v>24</v>
      </c>
      <c r="E1" s="2" t="s">
        <v>1</v>
      </c>
      <c r="F1" t="s">
        <v>31</v>
      </c>
      <c r="G1" s="32" t="s">
        <v>12</v>
      </c>
      <c r="H1" s="32" t="s">
        <v>7522</v>
      </c>
      <c r="I1" s="32" t="s">
        <v>7523</v>
      </c>
      <c r="J1" s="32" t="s">
        <v>7375</v>
      </c>
      <c r="K1" s="33" t="s">
        <v>7376</v>
      </c>
      <c r="L1" s="32" t="s">
        <v>7376</v>
      </c>
      <c r="M1" t="s">
        <v>7171</v>
      </c>
      <c r="N1" t="s">
        <v>7166</v>
      </c>
      <c r="O1" t="s">
        <v>7473</v>
      </c>
    </row>
    <row r="2" spans="1:15" x14ac:dyDescent="0.2">
      <c r="A2" s="27" t="s">
        <v>3646</v>
      </c>
      <c r="B2" s="2" t="s">
        <v>3652</v>
      </c>
      <c r="C2" s="2" t="s">
        <v>68</v>
      </c>
      <c r="D2" s="2" t="s">
        <v>3655</v>
      </c>
      <c r="E2" s="2" t="s">
        <v>3644</v>
      </c>
      <c r="F2" s="2" t="s">
        <v>77</v>
      </c>
      <c r="G2" s="32" t="s">
        <v>3647</v>
      </c>
      <c r="H2" s="32" t="s">
        <v>7288</v>
      </c>
      <c r="I2" s="32" t="s">
        <v>7496</v>
      </c>
      <c r="J2" s="32"/>
      <c r="K2" s="33" t="s">
        <v>7219</v>
      </c>
      <c r="L2" s="32" t="s">
        <v>7377</v>
      </c>
      <c r="M2" t="s">
        <v>7165</v>
      </c>
      <c r="N2" t="s">
        <v>7165</v>
      </c>
      <c r="O2" t="s">
        <v>7358</v>
      </c>
    </row>
    <row r="3" spans="1:15" x14ac:dyDescent="0.2">
      <c r="A3" s="27" t="s">
        <v>1769</v>
      </c>
      <c r="B3" s="2" t="s">
        <v>1770</v>
      </c>
      <c r="C3" s="2" t="s">
        <v>68</v>
      </c>
      <c r="D3" s="2" t="s">
        <v>1772</v>
      </c>
      <c r="E3" s="2" t="s">
        <v>1767</v>
      </c>
      <c r="F3" s="2" t="s">
        <v>77</v>
      </c>
      <c r="G3" s="32" t="s">
        <v>603</v>
      </c>
      <c r="H3" s="32" t="s">
        <v>7179</v>
      </c>
      <c r="I3" s="32" t="s">
        <v>7497</v>
      </c>
      <c r="J3" s="32"/>
      <c r="K3" s="33" t="s">
        <v>169</v>
      </c>
      <c r="L3" s="32" t="s">
        <v>169</v>
      </c>
      <c r="M3" t="s">
        <v>7165</v>
      </c>
      <c r="N3" t="s">
        <v>7165</v>
      </c>
      <c r="O3" t="s">
        <v>169</v>
      </c>
    </row>
    <row r="4" spans="1:15" x14ac:dyDescent="0.2">
      <c r="A4" s="27" t="s">
        <v>3078</v>
      </c>
      <c r="B4" s="2" t="s">
        <v>3079</v>
      </c>
      <c r="C4" s="2" t="s">
        <v>68</v>
      </c>
      <c r="D4" s="2" t="s">
        <v>3082</v>
      </c>
      <c r="E4" s="2" t="s">
        <v>3077</v>
      </c>
      <c r="F4" s="2" t="s">
        <v>77</v>
      </c>
      <c r="G4" s="32" t="s">
        <v>372</v>
      </c>
      <c r="H4" s="32" t="s">
        <v>7233</v>
      </c>
      <c r="I4" s="32" t="s">
        <v>7498</v>
      </c>
      <c r="J4" s="32"/>
      <c r="K4" s="33" t="s">
        <v>7197</v>
      </c>
      <c r="L4" s="32" t="s">
        <v>7378</v>
      </c>
      <c r="M4" t="s">
        <v>7165</v>
      </c>
      <c r="N4" t="s">
        <v>7165</v>
      </c>
      <c r="O4" t="s">
        <v>7357</v>
      </c>
    </row>
    <row r="5" spans="1:15" x14ac:dyDescent="0.2">
      <c r="A5" s="27" t="s">
        <v>6332</v>
      </c>
      <c r="B5" s="2" t="s">
        <v>6336</v>
      </c>
      <c r="C5" s="2" t="s">
        <v>68</v>
      </c>
      <c r="D5" s="2" t="s">
        <v>6339</v>
      </c>
      <c r="E5" s="2" t="s">
        <v>6330</v>
      </c>
      <c r="F5" s="2" t="s">
        <v>77</v>
      </c>
      <c r="G5" s="32" t="s">
        <v>448</v>
      </c>
      <c r="H5" s="32" t="s">
        <v>7244</v>
      </c>
      <c r="I5" s="32" t="s">
        <v>7499</v>
      </c>
      <c r="J5" s="32"/>
      <c r="K5" s="33" t="s">
        <v>7322</v>
      </c>
      <c r="L5" s="32" t="s">
        <v>7379</v>
      </c>
      <c r="M5" t="s">
        <v>7172</v>
      </c>
      <c r="N5" t="s">
        <v>7165</v>
      </c>
      <c r="O5" t="s">
        <v>7357</v>
      </c>
    </row>
    <row r="6" spans="1:15" x14ac:dyDescent="0.2">
      <c r="A6" s="27" t="s">
        <v>6452</v>
      </c>
      <c r="B6" s="2" t="s">
        <v>6454</v>
      </c>
      <c r="C6" s="2" t="s">
        <v>68</v>
      </c>
      <c r="D6" s="2" t="s">
        <v>6457</v>
      </c>
      <c r="E6" s="2" t="s">
        <v>6450</v>
      </c>
      <c r="F6" s="2" t="s">
        <v>77</v>
      </c>
      <c r="G6" s="32" t="s">
        <v>448</v>
      </c>
      <c r="H6" s="32" t="s">
        <v>7244</v>
      </c>
      <c r="I6" s="32" t="s">
        <v>7499</v>
      </c>
      <c r="J6" s="32"/>
      <c r="K6" s="33" t="s">
        <v>7200</v>
      </c>
      <c r="L6" s="32" t="s">
        <v>7380</v>
      </c>
      <c r="M6" t="s">
        <v>7172</v>
      </c>
      <c r="N6" t="s">
        <v>7165</v>
      </c>
      <c r="O6" t="s">
        <v>7460</v>
      </c>
    </row>
    <row r="7" spans="1:15" x14ac:dyDescent="0.2">
      <c r="A7" s="27" t="s">
        <v>4184</v>
      </c>
      <c r="B7" s="2" t="s">
        <v>4188</v>
      </c>
      <c r="C7" s="2" t="s">
        <v>68</v>
      </c>
      <c r="D7" s="2" t="s">
        <v>4191</v>
      </c>
      <c r="E7" s="2" t="s">
        <v>4182</v>
      </c>
      <c r="F7" s="2" t="s">
        <v>77</v>
      </c>
      <c r="G7" s="32" t="s">
        <v>3647</v>
      </c>
      <c r="H7" s="32" t="s">
        <v>7288</v>
      </c>
      <c r="I7" s="32" t="s">
        <v>7496</v>
      </c>
      <c r="J7" s="32"/>
      <c r="K7" s="33" t="s">
        <v>7224</v>
      </c>
      <c r="L7" s="32" t="s">
        <v>7381</v>
      </c>
      <c r="M7" t="s">
        <v>7165</v>
      </c>
      <c r="N7" t="s">
        <v>7165</v>
      </c>
      <c r="O7" t="s">
        <v>7461</v>
      </c>
    </row>
    <row r="8" spans="1:15" x14ac:dyDescent="0.2">
      <c r="A8" s="27" t="s">
        <v>6793</v>
      </c>
      <c r="B8" s="2" t="s">
        <v>6798</v>
      </c>
      <c r="C8" s="2" t="s">
        <v>68</v>
      </c>
      <c r="D8" s="2" t="s">
        <v>6801</v>
      </c>
      <c r="E8" s="2" t="s">
        <v>6791</v>
      </c>
      <c r="F8" s="2" t="s">
        <v>77</v>
      </c>
      <c r="G8" s="32" t="s">
        <v>183</v>
      </c>
      <c r="H8" s="32" t="s">
        <v>7286</v>
      </c>
      <c r="I8" s="32" t="s">
        <v>7500</v>
      </c>
      <c r="J8" s="32"/>
      <c r="K8" s="33" t="s">
        <v>7210</v>
      </c>
      <c r="L8" s="32" t="s">
        <v>7382</v>
      </c>
      <c r="M8" t="s">
        <v>7165</v>
      </c>
      <c r="N8" t="s">
        <v>7165</v>
      </c>
      <c r="O8" t="s">
        <v>7462</v>
      </c>
    </row>
    <row r="9" spans="1:15" x14ac:dyDescent="0.2">
      <c r="A9" s="27" t="s">
        <v>1758</v>
      </c>
      <c r="B9" s="2" t="s">
        <v>1759</v>
      </c>
      <c r="C9" s="2" t="s">
        <v>68</v>
      </c>
      <c r="D9" s="2" t="s">
        <v>1761</v>
      </c>
      <c r="E9" s="2" t="s">
        <v>1756</v>
      </c>
      <c r="F9" s="2" t="s">
        <v>77</v>
      </c>
      <c r="G9" s="32" t="s">
        <v>603</v>
      </c>
      <c r="H9" s="32" t="s">
        <v>7179</v>
      </c>
      <c r="I9" s="32" t="s">
        <v>7497</v>
      </c>
      <c r="J9" s="32"/>
      <c r="K9" s="33" t="s">
        <v>7220</v>
      </c>
      <c r="L9" s="32" t="s">
        <v>7383</v>
      </c>
      <c r="M9" t="s">
        <v>7165</v>
      </c>
      <c r="N9" t="s">
        <v>7165</v>
      </c>
      <c r="O9" t="s">
        <v>7354</v>
      </c>
    </row>
    <row r="10" spans="1:15" x14ac:dyDescent="0.2">
      <c r="A10" s="27" t="s">
        <v>4148</v>
      </c>
      <c r="B10" s="2" t="s">
        <v>4151</v>
      </c>
      <c r="C10" s="2" t="s">
        <v>68</v>
      </c>
      <c r="D10" s="2" t="s">
        <v>4154</v>
      </c>
      <c r="E10" s="2" t="s">
        <v>4146</v>
      </c>
      <c r="F10" s="2" t="s">
        <v>77</v>
      </c>
      <c r="G10" s="32" t="s">
        <v>183</v>
      </c>
      <c r="H10" s="32" t="s">
        <v>7286</v>
      </c>
      <c r="I10" s="32" t="s">
        <v>7500</v>
      </c>
      <c r="J10" s="32"/>
      <c r="K10" s="33" t="s">
        <v>7308</v>
      </c>
      <c r="L10" s="32" t="s">
        <v>7384</v>
      </c>
      <c r="M10" t="s">
        <v>7172</v>
      </c>
      <c r="N10" t="s">
        <v>7165</v>
      </c>
      <c r="O10" t="s">
        <v>7462</v>
      </c>
    </row>
    <row r="11" spans="1:15" x14ac:dyDescent="0.2">
      <c r="A11" s="27" t="s">
        <v>3606</v>
      </c>
      <c r="B11" s="2" t="s">
        <v>3609</v>
      </c>
      <c r="C11" s="2" t="s">
        <v>68</v>
      </c>
      <c r="D11" s="2" t="s">
        <v>3612</v>
      </c>
      <c r="E11" s="2" t="s">
        <v>3605</v>
      </c>
      <c r="F11" s="2" t="s">
        <v>77</v>
      </c>
      <c r="G11" s="32" t="s">
        <v>3607</v>
      </c>
      <c r="H11" s="32" t="s">
        <v>7281</v>
      </c>
      <c r="I11" s="32" t="s">
        <v>7501</v>
      </c>
      <c r="J11" s="32"/>
      <c r="K11" s="33" t="s">
        <v>7208</v>
      </c>
      <c r="L11" s="32" t="s">
        <v>7385</v>
      </c>
      <c r="M11" t="s">
        <v>7165</v>
      </c>
      <c r="N11" t="s">
        <v>7165</v>
      </c>
      <c r="O11" t="s">
        <v>7353</v>
      </c>
    </row>
    <row r="12" spans="1:15" x14ac:dyDescent="0.2">
      <c r="A12" s="27" t="s">
        <v>4050</v>
      </c>
      <c r="B12" s="2" t="s">
        <v>4051</v>
      </c>
      <c r="C12" s="2" t="s">
        <v>68</v>
      </c>
      <c r="D12" s="2" t="s">
        <v>4054</v>
      </c>
      <c r="E12" s="2" t="s">
        <v>4048</v>
      </c>
      <c r="F12" s="2" t="s">
        <v>77</v>
      </c>
      <c r="G12" s="32" t="s">
        <v>3702</v>
      </c>
      <c r="H12" s="32" t="s">
        <v>7288</v>
      </c>
      <c r="I12" s="32" t="s">
        <v>7502</v>
      </c>
      <c r="J12" s="32"/>
      <c r="K12" s="33" t="s">
        <v>7197</v>
      </c>
      <c r="L12" s="32" t="s">
        <v>7378</v>
      </c>
      <c r="M12" t="s">
        <v>7172</v>
      </c>
      <c r="N12" t="s">
        <v>7165</v>
      </c>
      <c r="O12" t="s">
        <v>7357</v>
      </c>
    </row>
    <row r="13" spans="1:15" x14ac:dyDescent="0.2">
      <c r="A13" s="27" t="s">
        <v>6440</v>
      </c>
      <c r="B13" s="2" t="s">
        <v>6441</v>
      </c>
      <c r="C13" s="2" t="s">
        <v>68</v>
      </c>
      <c r="D13" s="2" t="s">
        <v>6444</v>
      </c>
      <c r="E13" s="2" t="s">
        <v>6439</v>
      </c>
      <c r="F13" s="2" t="s">
        <v>77</v>
      </c>
      <c r="G13" s="32" t="s">
        <v>3165</v>
      </c>
      <c r="H13" s="32" t="s">
        <v>7288</v>
      </c>
      <c r="I13" s="32" t="s">
        <v>7499</v>
      </c>
      <c r="J13" s="32"/>
      <c r="K13" s="33" t="s">
        <v>7310</v>
      </c>
      <c r="L13" s="32" t="s">
        <v>7386</v>
      </c>
      <c r="M13" t="s">
        <v>7172</v>
      </c>
      <c r="N13" t="s">
        <v>7165</v>
      </c>
      <c r="O13" t="s">
        <v>7460</v>
      </c>
    </row>
    <row r="14" spans="1:15" x14ac:dyDescent="0.2">
      <c r="A14" s="27" t="s">
        <v>2813</v>
      </c>
      <c r="B14" s="2" t="s">
        <v>2816</v>
      </c>
      <c r="C14" s="2" t="s">
        <v>68</v>
      </c>
      <c r="D14" s="2" t="s">
        <v>2819</v>
      </c>
      <c r="E14" s="2" t="s">
        <v>2811</v>
      </c>
      <c r="F14" s="2" t="s">
        <v>77</v>
      </c>
      <c r="G14" s="32" t="s">
        <v>603</v>
      </c>
      <c r="H14" s="32" t="s">
        <v>7179</v>
      </c>
      <c r="I14" s="32" t="s">
        <v>7497</v>
      </c>
      <c r="J14" s="32"/>
      <c r="K14" s="33" t="s">
        <v>7211</v>
      </c>
      <c r="L14" s="32" t="s">
        <v>7387</v>
      </c>
      <c r="M14" t="s">
        <v>7165</v>
      </c>
      <c r="N14" t="s">
        <v>7165</v>
      </c>
      <c r="O14" t="s">
        <v>7463</v>
      </c>
    </row>
    <row r="15" spans="1:15" x14ac:dyDescent="0.2">
      <c r="A15" s="27" t="s">
        <v>3163</v>
      </c>
      <c r="B15" s="2" t="s">
        <v>3168</v>
      </c>
      <c r="C15" s="2" t="s">
        <v>68</v>
      </c>
      <c r="D15" s="2" t="s">
        <v>3171</v>
      </c>
      <c r="E15" s="2" t="s">
        <v>3161</v>
      </c>
      <c r="F15" s="2" t="s">
        <v>77</v>
      </c>
      <c r="G15" s="32" t="s">
        <v>3165</v>
      </c>
      <c r="H15" s="32" t="s">
        <v>7288</v>
      </c>
      <c r="I15" s="32" t="s">
        <v>7499</v>
      </c>
      <c r="J15" s="32"/>
      <c r="K15" s="33" t="s">
        <v>7313</v>
      </c>
      <c r="L15" s="32" t="s">
        <v>7388</v>
      </c>
      <c r="M15" t="s">
        <v>60</v>
      </c>
      <c r="N15" t="s">
        <v>60</v>
      </c>
      <c r="O15" t="s">
        <v>7356</v>
      </c>
    </row>
    <row r="16" spans="1:15" x14ac:dyDescent="0.2">
      <c r="A16" s="27" t="s">
        <v>6229</v>
      </c>
      <c r="B16" s="2" t="s">
        <v>6232</v>
      </c>
      <c r="C16" s="2" t="s">
        <v>68</v>
      </c>
      <c r="D16" s="2" t="s">
        <v>6235</v>
      </c>
      <c r="E16" s="2" t="s">
        <v>6227</v>
      </c>
      <c r="F16" s="2" t="s">
        <v>77</v>
      </c>
      <c r="G16" s="32" t="s">
        <v>3392</v>
      </c>
      <c r="H16" s="32" t="s">
        <v>7260</v>
      </c>
      <c r="I16" s="32" t="s">
        <v>7503</v>
      </c>
      <c r="J16" s="32"/>
      <c r="K16" s="33" t="s">
        <v>7228</v>
      </c>
      <c r="L16" s="32" t="s">
        <v>7389</v>
      </c>
      <c r="M16" t="s">
        <v>7172</v>
      </c>
      <c r="N16" t="s">
        <v>7165</v>
      </c>
      <c r="O16" t="s">
        <v>7460</v>
      </c>
    </row>
    <row r="17" spans="1:15" x14ac:dyDescent="0.2">
      <c r="A17" s="27" t="s">
        <v>6808</v>
      </c>
      <c r="B17" s="2" t="s">
        <v>6810</v>
      </c>
      <c r="C17" s="2" t="s">
        <v>68</v>
      </c>
      <c r="D17" s="2" t="s">
        <v>6813</v>
      </c>
      <c r="E17" s="2" t="s">
        <v>6807</v>
      </c>
      <c r="F17" s="2" t="s">
        <v>77</v>
      </c>
      <c r="G17" s="32" t="s">
        <v>448</v>
      </c>
      <c r="H17" s="32" t="s">
        <v>7244</v>
      </c>
      <c r="I17" s="32" t="s">
        <v>7499</v>
      </c>
      <c r="J17" s="32"/>
      <c r="K17" s="33" t="s">
        <v>7200</v>
      </c>
      <c r="L17" s="32" t="s">
        <v>7380</v>
      </c>
      <c r="M17" t="s">
        <v>7165</v>
      </c>
      <c r="N17" t="s">
        <v>7165</v>
      </c>
      <c r="O17" t="s">
        <v>7460</v>
      </c>
    </row>
    <row r="18" spans="1:15" x14ac:dyDescent="0.2">
      <c r="A18" s="27" t="s">
        <v>1210</v>
      </c>
      <c r="B18" s="2" t="s">
        <v>1211</v>
      </c>
      <c r="C18" s="2" t="s">
        <v>68</v>
      </c>
      <c r="D18" s="2" t="s">
        <v>1214</v>
      </c>
      <c r="E18" s="2" t="s">
        <v>1209</v>
      </c>
      <c r="F18" s="2" t="s">
        <v>77</v>
      </c>
      <c r="G18" s="32" t="s">
        <v>603</v>
      </c>
      <c r="H18" s="32" t="s">
        <v>7179</v>
      </c>
      <c r="I18" s="32" t="s">
        <v>7497</v>
      </c>
      <c r="J18" s="32"/>
      <c r="K18" s="33" t="s">
        <v>7194</v>
      </c>
      <c r="L18" s="32" t="s">
        <v>7390</v>
      </c>
      <c r="M18" t="s">
        <v>7165</v>
      </c>
      <c r="N18" t="s">
        <v>7165</v>
      </c>
      <c r="O18" t="s">
        <v>7464</v>
      </c>
    </row>
    <row r="19" spans="1:15" x14ac:dyDescent="0.2">
      <c r="A19" s="27" t="s">
        <v>4112</v>
      </c>
      <c r="B19" s="2" t="s">
        <v>4114</v>
      </c>
      <c r="C19" s="2" t="s">
        <v>68</v>
      </c>
      <c r="D19" s="2" t="s">
        <v>4117</v>
      </c>
      <c r="E19" s="2" t="s">
        <v>4110</v>
      </c>
      <c r="F19" s="2" t="s">
        <v>77</v>
      </c>
      <c r="G19" s="32" t="s">
        <v>3165</v>
      </c>
      <c r="H19" s="32" t="s">
        <v>7288</v>
      </c>
      <c r="I19" s="32" t="s">
        <v>7499</v>
      </c>
      <c r="J19" s="32"/>
      <c r="K19" s="33" t="s">
        <v>7203</v>
      </c>
      <c r="L19" s="32" t="s">
        <v>7391</v>
      </c>
      <c r="M19" t="s">
        <v>7165</v>
      </c>
      <c r="N19" t="s">
        <v>7165</v>
      </c>
      <c r="O19" t="s">
        <v>7355</v>
      </c>
    </row>
    <row r="20" spans="1:15" x14ac:dyDescent="0.2">
      <c r="A20" s="27" t="s">
        <v>2537</v>
      </c>
      <c r="B20" s="2" t="s">
        <v>2538</v>
      </c>
      <c r="C20" s="2" t="s">
        <v>68</v>
      </c>
      <c r="D20" s="2" t="s">
        <v>2541</v>
      </c>
      <c r="E20" s="2" t="s">
        <v>2535</v>
      </c>
      <c r="F20" s="2" t="s">
        <v>77</v>
      </c>
      <c r="G20" s="32" t="s">
        <v>603</v>
      </c>
      <c r="H20" s="32" t="s">
        <v>7179</v>
      </c>
      <c r="I20" s="32" t="s">
        <v>7497</v>
      </c>
      <c r="J20" s="32"/>
      <c r="K20" s="33" t="s">
        <v>7211</v>
      </c>
      <c r="L20" s="32" t="s">
        <v>7387</v>
      </c>
      <c r="M20" t="s">
        <v>7165</v>
      </c>
      <c r="N20" t="s">
        <v>7165</v>
      </c>
      <c r="O20" t="s">
        <v>7463</v>
      </c>
    </row>
    <row r="21" spans="1:15" x14ac:dyDescent="0.2">
      <c r="A21" s="27" t="s">
        <v>4085</v>
      </c>
      <c r="B21" s="2" t="s">
        <v>4087</v>
      </c>
      <c r="C21" s="2" t="s">
        <v>68</v>
      </c>
      <c r="D21" s="2" t="s">
        <v>4090</v>
      </c>
      <c r="E21" s="2" t="s">
        <v>4083</v>
      </c>
      <c r="F21" s="2" t="s">
        <v>77</v>
      </c>
      <c r="G21" s="32" t="s">
        <v>268</v>
      </c>
      <c r="H21" s="32" t="s">
        <v>7259</v>
      </c>
      <c r="I21" s="32" t="s">
        <v>7498</v>
      </c>
      <c r="J21" s="32"/>
      <c r="K21" s="33" t="s">
        <v>7221</v>
      </c>
      <c r="L21" s="32" t="s">
        <v>7392</v>
      </c>
      <c r="M21" t="s">
        <v>7165</v>
      </c>
      <c r="N21" t="s">
        <v>7165</v>
      </c>
      <c r="O21" t="s">
        <v>7356</v>
      </c>
    </row>
    <row r="22" spans="1:15" x14ac:dyDescent="0.2">
      <c r="A22" s="27" t="s">
        <v>6288</v>
      </c>
      <c r="B22" s="2" t="s">
        <v>6291</v>
      </c>
      <c r="C22" s="2" t="s">
        <v>68</v>
      </c>
      <c r="D22" s="2" t="s">
        <v>6294</v>
      </c>
      <c r="E22" s="2" t="s">
        <v>6287</v>
      </c>
      <c r="F22" s="2" t="s">
        <v>77</v>
      </c>
      <c r="G22" s="32" t="s">
        <v>183</v>
      </c>
      <c r="H22" s="32" t="s">
        <v>7286</v>
      </c>
      <c r="I22" s="32" t="s">
        <v>7500</v>
      </c>
      <c r="J22" s="32"/>
      <c r="K22" s="33" t="s">
        <v>7338</v>
      </c>
      <c r="L22" s="32" t="s">
        <v>7393</v>
      </c>
      <c r="M22" t="s">
        <v>7172</v>
      </c>
      <c r="N22" t="s">
        <v>7165</v>
      </c>
      <c r="O22" t="s">
        <v>7462</v>
      </c>
    </row>
    <row r="23" spans="1:15" x14ac:dyDescent="0.2">
      <c r="A23" s="27" t="s">
        <v>2499</v>
      </c>
      <c r="B23" s="2" t="s">
        <v>2501</v>
      </c>
      <c r="C23" s="2" t="s">
        <v>68</v>
      </c>
      <c r="D23" s="2" t="s">
        <v>2504</v>
      </c>
      <c r="E23" s="2" t="s">
        <v>2497</v>
      </c>
      <c r="F23" s="2" t="s">
        <v>77</v>
      </c>
      <c r="G23" s="32" t="s">
        <v>603</v>
      </c>
      <c r="H23" s="32" t="s">
        <v>7179</v>
      </c>
      <c r="I23" s="32" t="s">
        <v>7497</v>
      </c>
      <c r="J23" s="32"/>
      <c r="K23" s="33" t="s">
        <v>7211</v>
      </c>
      <c r="L23" s="32" t="s">
        <v>7387</v>
      </c>
      <c r="M23" t="s">
        <v>7165</v>
      </c>
      <c r="N23" t="s">
        <v>7165</v>
      </c>
      <c r="O23" t="s">
        <v>7463</v>
      </c>
    </row>
    <row r="24" spans="1:15" x14ac:dyDescent="0.2">
      <c r="A24" s="27" t="s">
        <v>6114</v>
      </c>
      <c r="B24" s="2" t="s">
        <v>6115</v>
      </c>
      <c r="C24" s="2" t="s">
        <v>68</v>
      </c>
      <c r="D24" s="2" t="s">
        <v>6118</v>
      </c>
      <c r="E24" s="2" t="s">
        <v>6113</v>
      </c>
      <c r="F24" s="2" t="s">
        <v>77</v>
      </c>
      <c r="G24" s="32" t="s">
        <v>268</v>
      </c>
      <c r="H24" s="32" t="s">
        <v>7259</v>
      </c>
      <c r="I24" s="32" t="s">
        <v>7498</v>
      </c>
      <c r="J24" s="32"/>
      <c r="K24" s="33" t="s">
        <v>7221</v>
      </c>
      <c r="L24" s="32" t="s">
        <v>7392</v>
      </c>
      <c r="M24" t="s">
        <v>7165</v>
      </c>
      <c r="N24" t="s">
        <v>7165</v>
      </c>
      <c r="O24" t="s">
        <v>7356</v>
      </c>
    </row>
    <row r="25" spans="1:15" x14ac:dyDescent="0.2">
      <c r="A25" s="27" t="s">
        <v>2524</v>
      </c>
      <c r="B25" s="2" t="s">
        <v>2525</v>
      </c>
      <c r="C25" s="2" t="s">
        <v>68</v>
      </c>
      <c r="D25" s="2" t="s">
        <v>2528</v>
      </c>
      <c r="E25" s="2" t="s">
        <v>2523</v>
      </c>
      <c r="F25" s="2" t="s">
        <v>77</v>
      </c>
      <c r="G25" s="32" t="s">
        <v>603</v>
      </c>
      <c r="H25" s="32" t="s">
        <v>7179</v>
      </c>
      <c r="I25" s="32" t="s">
        <v>7497</v>
      </c>
      <c r="J25" s="32"/>
      <c r="K25" s="33" t="s">
        <v>7324</v>
      </c>
      <c r="L25" s="32" t="s">
        <v>7394</v>
      </c>
      <c r="M25" t="s">
        <v>7165</v>
      </c>
      <c r="N25" t="s">
        <v>7165</v>
      </c>
      <c r="O25" t="s">
        <v>7464</v>
      </c>
    </row>
    <row r="26" spans="1:15" x14ac:dyDescent="0.2">
      <c r="A26" s="27" t="s">
        <v>2786</v>
      </c>
      <c r="B26" s="2" t="s">
        <v>2788</v>
      </c>
      <c r="C26" s="2" t="s">
        <v>68</v>
      </c>
      <c r="D26" s="2" t="s">
        <v>2791</v>
      </c>
      <c r="E26" s="2" t="s">
        <v>2784</v>
      </c>
      <c r="F26" s="2" t="s">
        <v>77</v>
      </c>
      <c r="G26" s="32" t="s">
        <v>603</v>
      </c>
      <c r="H26" s="32" t="s">
        <v>7179</v>
      </c>
      <c r="I26" s="32" t="s">
        <v>7497</v>
      </c>
      <c r="J26" s="32"/>
      <c r="K26" s="33" t="s">
        <v>7341</v>
      </c>
      <c r="L26" s="32" t="s">
        <v>7395</v>
      </c>
      <c r="M26" t="s">
        <v>7165</v>
      </c>
      <c r="N26" t="s">
        <v>7165</v>
      </c>
      <c r="O26" t="s">
        <v>7465</v>
      </c>
    </row>
    <row r="27" spans="1:15" x14ac:dyDescent="0.2">
      <c r="A27" s="27" t="s">
        <v>1842</v>
      </c>
      <c r="B27" s="2" t="s">
        <v>1843</v>
      </c>
      <c r="C27" s="2" t="s">
        <v>68</v>
      </c>
      <c r="D27" s="2" t="s">
        <v>1845</v>
      </c>
      <c r="E27" s="2" t="s">
        <v>1840</v>
      </c>
      <c r="F27" s="2" t="s">
        <v>77</v>
      </c>
      <c r="G27" s="32" t="s">
        <v>603</v>
      </c>
      <c r="H27" s="32" t="s">
        <v>7179</v>
      </c>
      <c r="I27" s="32" t="s">
        <v>7497</v>
      </c>
      <c r="J27" s="32"/>
      <c r="K27" s="33" t="s">
        <v>7211</v>
      </c>
      <c r="L27" s="32" t="s">
        <v>7387</v>
      </c>
      <c r="M27" t="s">
        <v>7165</v>
      </c>
      <c r="N27" t="s">
        <v>7165</v>
      </c>
      <c r="O27" t="s">
        <v>7463</v>
      </c>
    </row>
    <row r="28" spans="1:15" x14ac:dyDescent="0.2">
      <c r="A28" s="27" t="s">
        <v>5997</v>
      </c>
      <c r="B28" s="2" t="s">
        <v>5999</v>
      </c>
      <c r="C28" s="2" t="s">
        <v>68</v>
      </c>
      <c r="D28" s="2" t="s">
        <v>6002</v>
      </c>
      <c r="E28" s="2" t="s">
        <v>5995</v>
      </c>
      <c r="F28" s="2" t="s">
        <v>77</v>
      </c>
      <c r="G28" s="32" t="s">
        <v>448</v>
      </c>
      <c r="H28" s="32" t="s">
        <v>7244</v>
      </c>
      <c r="I28" s="32" t="s">
        <v>7499</v>
      </c>
      <c r="J28" s="32"/>
      <c r="K28" s="33" t="s">
        <v>7200</v>
      </c>
      <c r="L28" s="32" t="s">
        <v>7380</v>
      </c>
      <c r="M28" t="s">
        <v>7172</v>
      </c>
      <c r="N28" t="s">
        <v>7165</v>
      </c>
      <c r="O28" t="s">
        <v>7460</v>
      </c>
    </row>
    <row r="29" spans="1:15" x14ac:dyDescent="0.2">
      <c r="A29" s="27" t="s">
        <v>3278</v>
      </c>
      <c r="B29" s="2" t="s">
        <v>3280</v>
      </c>
      <c r="C29" s="2" t="s">
        <v>68</v>
      </c>
      <c r="D29" s="2" t="s">
        <v>3283</v>
      </c>
      <c r="E29" s="2" t="s">
        <v>3276</v>
      </c>
      <c r="F29" s="2" t="s">
        <v>77</v>
      </c>
      <c r="G29" s="32" t="s">
        <v>183</v>
      </c>
      <c r="H29" s="32" t="s">
        <v>7286</v>
      </c>
      <c r="I29" s="32" t="s">
        <v>7500</v>
      </c>
      <c r="J29" s="32"/>
      <c r="K29" s="33" t="s">
        <v>7210</v>
      </c>
      <c r="L29" s="32" t="s">
        <v>7382</v>
      </c>
      <c r="M29" t="s">
        <v>7165</v>
      </c>
      <c r="N29" t="s">
        <v>7165</v>
      </c>
      <c r="O29" t="s">
        <v>7462</v>
      </c>
    </row>
    <row r="30" spans="1:15" x14ac:dyDescent="0.2">
      <c r="A30" s="27" t="s">
        <v>3178</v>
      </c>
      <c r="B30" s="2" t="s">
        <v>3182</v>
      </c>
      <c r="C30" s="2" t="s">
        <v>68</v>
      </c>
      <c r="D30" s="2" t="s">
        <v>3185</v>
      </c>
      <c r="E30" s="2" t="s">
        <v>3176</v>
      </c>
      <c r="F30" s="2" t="s">
        <v>77</v>
      </c>
      <c r="G30" s="32" t="s">
        <v>3179</v>
      </c>
      <c r="H30" s="32" t="s">
        <v>7288</v>
      </c>
      <c r="I30" s="32" t="s">
        <v>7504</v>
      </c>
      <c r="J30" s="32"/>
      <c r="K30" s="33" t="s">
        <v>7331</v>
      </c>
      <c r="L30" s="32" t="s">
        <v>7396</v>
      </c>
      <c r="M30" t="s">
        <v>60</v>
      </c>
      <c r="N30" t="s">
        <v>60</v>
      </c>
      <c r="O30" t="s">
        <v>7354</v>
      </c>
    </row>
    <row r="31" spans="1:15" x14ac:dyDescent="0.2">
      <c r="A31" s="27" t="s">
        <v>4005</v>
      </c>
      <c r="B31" s="2" t="s">
        <v>4006</v>
      </c>
      <c r="C31" s="2" t="s">
        <v>68</v>
      </c>
      <c r="D31" s="2" t="s">
        <v>4009</v>
      </c>
      <c r="E31" s="2" t="s">
        <v>4003</v>
      </c>
      <c r="F31" s="2" t="s">
        <v>77</v>
      </c>
      <c r="G31" s="32" t="s">
        <v>603</v>
      </c>
      <c r="H31" s="32" t="s">
        <v>7179</v>
      </c>
      <c r="I31" s="32" t="s">
        <v>7497</v>
      </c>
      <c r="J31" s="32"/>
      <c r="K31" s="33" t="s">
        <v>7220</v>
      </c>
      <c r="L31" s="32" t="s">
        <v>7383</v>
      </c>
      <c r="M31" t="s">
        <v>7165</v>
      </c>
      <c r="N31" t="s">
        <v>7165</v>
      </c>
      <c r="O31" t="s">
        <v>7354</v>
      </c>
    </row>
    <row r="32" spans="1:15" x14ac:dyDescent="0.2">
      <c r="A32" s="27" t="s">
        <v>3701</v>
      </c>
      <c r="B32" s="2" t="s">
        <v>3704</v>
      </c>
      <c r="C32" s="2" t="s">
        <v>68</v>
      </c>
      <c r="D32" s="2" t="s">
        <v>3707</v>
      </c>
      <c r="E32" s="2" t="s">
        <v>3699</v>
      </c>
      <c r="F32" s="2" t="s">
        <v>77</v>
      </c>
      <c r="G32" s="32" t="s">
        <v>3702</v>
      </c>
      <c r="H32" s="32" t="s">
        <v>7288</v>
      </c>
      <c r="I32" s="32" t="s">
        <v>7502</v>
      </c>
      <c r="J32" s="32"/>
      <c r="K32" s="33" t="s">
        <v>7215</v>
      </c>
      <c r="L32" s="32" t="s">
        <v>7397</v>
      </c>
      <c r="M32" t="s">
        <v>7165</v>
      </c>
      <c r="N32" t="s">
        <v>7165</v>
      </c>
      <c r="O32" t="s">
        <v>7460</v>
      </c>
    </row>
    <row r="33" spans="1:15" x14ac:dyDescent="0.2">
      <c r="A33" s="27" t="s">
        <v>1111</v>
      </c>
      <c r="B33" s="2" t="s">
        <v>1114</v>
      </c>
      <c r="C33" s="2" t="s">
        <v>68</v>
      </c>
      <c r="D33" s="2" t="s">
        <v>1117</v>
      </c>
      <c r="E33" s="2" t="s">
        <v>1109</v>
      </c>
      <c r="F33" s="2" t="s">
        <v>77</v>
      </c>
      <c r="G33" s="32" t="s">
        <v>603</v>
      </c>
      <c r="H33" s="32" t="s">
        <v>7179</v>
      </c>
      <c r="I33" s="32" t="s">
        <v>7497</v>
      </c>
      <c r="J33" s="32"/>
      <c r="K33" s="33" t="s">
        <v>7339</v>
      </c>
      <c r="L33" s="32" t="s">
        <v>7398</v>
      </c>
      <c r="M33" t="s">
        <v>7165</v>
      </c>
      <c r="N33" t="s">
        <v>7165</v>
      </c>
      <c r="O33" t="s">
        <v>7356</v>
      </c>
    </row>
    <row r="34" spans="1:15" x14ac:dyDescent="0.2">
      <c r="A34" s="27" t="s">
        <v>6215</v>
      </c>
      <c r="B34" s="2" t="s">
        <v>6218</v>
      </c>
      <c r="C34" s="2" t="s">
        <v>68</v>
      </c>
      <c r="D34" s="2" t="s">
        <v>6221</v>
      </c>
      <c r="E34" s="2" t="s">
        <v>6213</v>
      </c>
      <c r="F34" s="2" t="s">
        <v>77</v>
      </c>
      <c r="G34" s="32" t="s">
        <v>448</v>
      </c>
      <c r="H34" s="32" t="s">
        <v>7244</v>
      </c>
      <c r="I34" s="32" t="s">
        <v>7499</v>
      </c>
      <c r="J34" s="32"/>
      <c r="K34" s="33" t="s">
        <v>7310</v>
      </c>
      <c r="L34" s="32" t="s">
        <v>7386</v>
      </c>
      <c r="M34" t="s">
        <v>7172</v>
      </c>
      <c r="N34" t="s">
        <v>7165</v>
      </c>
      <c r="O34" t="s">
        <v>7460</v>
      </c>
    </row>
    <row r="35" spans="1:15" x14ac:dyDescent="0.2">
      <c r="A35" s="27" t="s">
        <v>3846</v>
      </c>
      <c r="B35" s="2" t="s">
        <v>3851</v>
      </c>
      <c r="C35" s="2" t="s">
        <v>68</v>
      </c>
      <c r="D35" s="2" t="s">
        <v>3854</v>
      </c>
      <c r="E35" s="2" t="s">
        <v>3844</v>
      </c>
      <c r="F35" s="2" t="s">
        <v>77</v>
      </c>
      <c r="G35" s="32" t="s">
        <v>3848</v>
      </c>
      <c r="H35" s="32" t="s">
        <v>7288</v>
      </c>
      <c r="I35" s="32" t="s">
        <v>7505</v>
      </c>
      <c r="J35" s="32"/>
      <c r="K35" s="33" t="s">
        <v>7304</v>
      </c>
      <c r="L35" s="32" t="s">
        <v>7399</v>
      </c>
      <c r="M35" t="s">
        <v>7165</v>
      </c>
      <c r="N35" t="s">
        <v>7165</v>
      </c>
      <c r="O35" t="s">
        <v>7460</v>
      </c>
    </row>
    <row r="36" spans="1:15" x14ac:dyDescent="0.2">
      <c r="A36" s="27" t="s">
        <v>6243</v>
      </c>
      <c r="B36" s="2" t="s">
        <v>6247</v>
      </c>
      <c r="C36" s="2" t="s">
        <v>68</v>
      </c>
      <c r="D36" s="2" t="s">
        <v>6250</v>
      </c>
      <c r="E36" s="2" t="s">
        <v>6241</v>
      </c>
      <c r="F36" s="2" t="s">
        <v>77</v>
      </c>
      <c r="G36" s="32" t="s">
        <v>268</v>
      </c>
      <c r="H36" s="32" t="s">
        <v>7259</v>
      </c>
      <c r="I36" s="32" t="s">
        <v>7498</v>
      </c>
      <c r="J36" s="32"/>
      <c r="K36" s="33" t="s">
        <v>7221</v>
      </c>
      <c r="L36" s="32" t="s">
        <v>7392</v>
      </c>
      <c r="M36" t="s">
        <v>7165</v>
      </c>
      <c r="N36" t="s">
        <v>7165</v>
      </c>
      <c r="O36" t="s">
        <v>7356</v>
      </c>
    </row>
    <row r="37" spans="1:15" x14ac:dyDescent="0.2">
      <c r="A37" s="27" t="s">
        <v>3540</v>
      </c>
      <c r="B37" s="2" t="s">
        <v>3543</v>
      </c>
      <c r="C37" s="2" t="s">
        <v>68</v>
      </c>
      <c r="D37" s="2" t="s">
        <v>3545</v>
      </c>
      <c r="E37" s="2" t="s">
        <v>3538</v>
      </c>
      <c r="F37" s="2" t="s">
        <v>77</v>
      </c>
      <c r="G37" s="32" t="s">
        <v>3165</v>
      </c>
      <c r="H37" s="32" t="s">
        <v>7288</v>
      </c>
      <c r="I37" s="32" t="s">
        <v>7499</v>
      </c>
      <c r="J37" s="32"/>
      <c r="K37" s="33" t="s">
        <v>7204</v>
      </c>
      <c r="L37" s="32" t="s">
        <v>7392</v>
      </c>
      <c r="M37" t="s">
        <v>7165</v>
      </c>
      <c r="N37" t="s">
        <v>7165</v>
      </c>
      <c r="O37" t="s">
        <v>7356</v>
      </c>
    </row>
    <row r="38" spans="1:15" x14ac:dyDescent="0.2">
      <c r="A38" s="27" t="s">
        <v>6274</v>
      </c>
      <c r="B38" s="2" t="s">
        <v>6277</v>
      </c>
      <c r="C38" s="2" t="s">
        <v>68</v>
      </c>
      <c r="D38" s="2" t="s">
        <v>6280</v>
      </c>
      <c r="E38" s="2" t="s">
        <v>6272</v>
      </c>
      <c r="F38" s="2" t="s">
        <v>77</v>
      </c>
      <c r="G38" s="32" t="s">
        <v>183</v>
      </c>
      <c r="H38" s="32" t="s">
        <v>7286</v>
      </c>
      <c r="I38" s="32" t="s">
        <v>7500</v>
      </c>
      <c r="J38" s="32"/>
      <c r="K38" s="33" t="s">
        <v>7338</v>
      </c>
      <c r="L38" s="32" t="s">
        <v>7393</v>
      </c>
      <c r="M38" t="s">
        <v>7172</v>
      </c>
      <c r="N38" t="s">
        <v>7165</v>
      </c>
      <c r="O38" t="s">
        <v>7462</v>
      </c>
    </row>
    <row r="39" spans="1:15" x14ac:dyDescent="0.2">
      <c r="A39" s="27" t="s">
        <v>1576</v>
      </c>
      <c r="B39" s="2" t="s">
        <v>1577</v>
      </c>
      <c r="C39" s="2" t="s">
        <v>68</v>
      </c>
      <c r="D39" s="2" t="s">
        <v>1580</v>
      </c>
      <c r="E39" s="2" t="s">
        <v>1574</v>
      </c>
      <c r="F39" s="2" t="s">
        <v>77</v>
      </c>
      <c r="G39" s="32" t="s">
        <v>603</v>
      </c>
      <c r="H39" s="32" t="s">
        <v>7179</v>
      </c>
      <c r="I39" s="32" t="s">
        <v>7497</v>
      </c>
      <c r="J39" s="32"/>
      <c r="K39" s="33" t="s">
        <v>7194</v>
      </c>
      <c r="L39" s="32" t="s">
        <v>7390</v>
      </c>
      <c r="M39" t="s">
        <v>7165</v>
      </c>
      <c r="N39" t="s">
        <v>7165</v>
      </c>
      <c r="O39" t="s">
        <v>7464</v>
      </c>
    </row>
    <row r="40" spans="1:15" x14ac:dyDescent="0.2">
      <c r="A40" s="27" t="s">
        <v>6402</v>
      </c>
      <c r="B40" s="2" t="s">
        <v>6404</v>
      </c>
      <c r="C40" s="2" t="s">
        <v>68</v>
      </c>
      <c r="D40" s="2" t="s">
        <v>6407</v>
      </c>
      <c r="E40" s="2" t="s">
        <v>6400</v>
      </c>
      <c r="F40" s="2" t="s">
        <v>77</v>
      </c>
      <c r="G40" s="32" t="s">
        <v>3702</v>
      </c>
      <c r="H40" s="32" t="s">
        <v>7288</v>
      </c>
      <c r="I40" s="32" t="s">
        <v>7502</v>
      </c>
      <c r="J40" s="32"/>
      <c r="K40" s="33" t="s">
        <v>7197</v>
      </c>
      <c r="L40" s="32" t="s">
        <v>7378</v>
      </c>
      <c r="M40" t="s">
        <v>7172</v>
      </c>
      <c r="N40" t="s">
        <v>7165</v>
      </c>
      <c r="O40" t="s">
        <v>7357</v>
      </c>
    </row>
    <row r="41" spans="1:15" x14ac:dyDescent="0.2">
      <c r="A41" s="27" t="s">
        <v>6861</v>
      </c>
      <c r="B41" s="2" t="s">
        <v>6862</v>
      </c>
      <c r="C41" s="2" t="s">
        <v>68</v>
      </c>
      <c r="D41" s="2" t="s">
        <v>6865</v>
      </c>
      <c r="E41" s="2" t="s">
        <v>6860</v>
      </c>
      <c r="F41" s="2" t="s">
        <v>77</v>
      </c>
      <c r="G41" s="32" t="s">
        <v>183</v>
      </c>
      <c r="H41" s="32" t="s">
        <v>7286</v>
      </c>
      <c r="I41" s="32" t="s">
        <v>7500</v>
      </c>
      <c r="J41" s="32"/>
      <c r="K41" s="33" t="s">
        <v>7210</v>
      </c>
      <c r="L41" s="32" t="s">
        <v>7382</v>
      </c>
      <c r="M41" t="s">
        <v>7172</v>
      </c>
      <c r="N41" t="s">
        <v>7165</v>
      </c>
      <c r="O41" t="s">
        <v>7462</v>
      </c>
    </row>
    <row r="42" spans="1:15" x14ac:dyDescent="0.2">
      <c r="A42" s="27" t="s">
        <v>3973</v>
      </c>
      <c r="B42" s="2" t="s">
        <v>3976</v>
      </c>
      <c r="C42" s="2" t="s">
        <v>68</v>
      </c>
      <c r="D42" s="2" t="s">
        <v>3979</v>
      </c>
      <c r="E42" s="2" t="s">
        <v>3971</v>
      </c>
      <c r="F42" s="2" t="s">
        <v>77</v>
      </c>
      <c r="G42" s="32" t="s">
        <v>448</v>
      </c>
      <c r="H42" s="32" t="s">
        <v>7244</v>
      </c>
      <c r="I42" s="32" t="s">
        <v>7499</v>
      </c>
      <c r="J42" s="32"/>
      <c r="K42" s="33" t="s">
        <v>7216</v>
      </c>
      <c r="L42" s="32" t="s">
        <v>7400</v>
      </c>
      <c r="M42" t="s">
        <v>7165</v>
      </c>
      <c r="N42" t="s">
        <v>7165</v>
      </c>
      <c r="O42" t="s">
        <v>7460</v>
      </c>
    </row>
    <row r="43" spans="1:15" x14ac:dyDescent="0.2">
      <c r="A43" s="27" t="s">
        <v>3986</v>
      </c>
      <c r="B43" s="2" t="s">
        <v>3991</v>
      </c>
      <c r="C43" s="2" t="s">
        <v>68</v>
      </c>
      <c r="D43" s="2" t="s">
        <v>3994</v>
      </c>
      <c r="E43" s="2" t="s">
        <v>3984</v>
      </c>
      <c r="F43" s="2" t="s">
        <v>77</v>
      </c>
      <c r="G43" s="32" t="s">
        <v>3988</v>
      </c>
      <c r="H43" s="32" t="s">
        <v>7274</v>
      </c>
      <c r="I43" s="32" t="s">
        <v>7506</v>
      </c>
      <c r="J43" s="32"/>
      <c r="K43" s="33" t="s">
        <v>7225</v>
      </c>
      <c r="L43" s="32" t="s">
        <v>7401</v>
      </c>
      <c r="M43" t="s">
        <v>7165</v>
      </c>
      <c r="N43" t="s">
        <v>7165</v>
      </c>
      <c r="O43" t="s">
        <v>7353</v>
      </c>
    </row>
    <row r="44" spans="1:15" x14ac:dyDescent="0.2">
      <c r="A44" s="27" t="s">
        <v>5230</v>
      </c>
      <c r="B44" s="2" t="s">
        <v>5233</v>
      </c>
      <c r="C44" s="2" t="s">
        <v>68</v>
      </c>
      <c r="D44" s="2" t="s">
        <v>5236</v>
      </c>
      <c r="E44" s="2" t="s">
        <v>5228</v>
      </c>
      <c r="F44" s="2" t="s">
        <v>77</v>
      </c>
      <c r="G44" s="32" t="s">
        <v>5231</v>
      </c>
      <c r="H44" s="32" t="s">
        <v>7282</v>
      </c>
      <c r="I44" s="32" t="s">
        <v>7507</v>
      </c>
      <c r="J44" s="32"/>
      <c r="K44" s="33" t="s">
        <v>7333</v>
      </c>
      <c r="L44" s="32" t="s">
        <v>7402</v>
      </c>
      <c r="M44" t="s">
        <v>7165</v>
      </c>
      <c r="N44" t="s">
        <v>7165</v>
      </c>
      <c r="O44" t="s">
        <v>7360</v>
      </c>
    </row>
    <row r="45" spans="1:15" x14ac:dyDescent="0.2">
      <c r="A45" s="27" t="s">
        <v>3527</v>
      </c>
      <c r="B45" s="2" t="s">
        <v>3531</v>
      </c>
      <c r="C45" s="2" t="s">
        <v>68</v>
      </c>
      <c r="D45" s="2" t="s">
        <v>3533</v>
      </c>
      <c r="E45" s="2" t="s">
        <v>3525</v>
      </c>
      <c r="F45" s="2" t="s">
        <v>77</v>
      </c>
      <c r="G45" s="32" t="s">
        <v>3529</v>
      </c>
      <c r="H45" s="32" t="s">
        <v>7287</v>
      </c>
      <c r="I45" s="32" t="s">
        <v>7508</v>
      </c>
      <c r="J45" s="32"/>
      <c r="K45" s="33" t="s">
        <v>7207</v>
      </c>
      <c r="L45" s="32" t="s">
        <v>7385</v>
      </c>
      <c r="M45" t="s">
        <v>7165</v>
      </c>
      <c r="N45" t="s">
        <v>7165</v>
      </c>
      <c r="O45" t="s">
        <v>7353</v>
      </c>
    </row>
    <row r="46" spans="1:15" x14ac:dyDescent="0.2">
      <c r="A46" s="27" t="s">
        <v>5098</v>
      </c>
      <c r="B46" s="2" t="s">
        <v>5102</v>
      </c>
      <c r="C46" s="2" t="s">
        <v>68</v>
      </c>
      <c r="D46" s="2" t="s">
        <v>5105</v>
      </c>
      <c r="E46" s="2" t="s">
        <v>5096</v>
      </c>
      <c r="F46" s="2" t="s">
        <v>77</v>
      </c>
      <c r="G46" s="32" t="s">
        <v>5099</v>
      </c>
      <c r="H46" s="32" t="s">
        <v>7270</v>
      </c>
      <c r="I46" s="32" t="s">
        <v>7509</v>
      </c>
      <c r="J46" s="32"/>
      <c r="K46" s="33" t="s">
        <v>7333</v>
      </c>
      <c r="L46" s="32" t="s">
        <v>7402</v>
      </c>
      <c r="M46" t="s">
        <v>7165</v>
      </c>
      <c r="N46" t="s">
        <v>7165</v>
      </c>
      <c r="O46" t="s">
        <v>7360</v>
      </c>
    </row>
    <row r="47" spans="1:15" x14ac:dyDescent="0.2">
      <c r="A47" s="27" t="s">
        <v>6010</v>
      </c>
      <c r="B47" s="2" t="s">
        <v>6014</v>
      </c>
      <c r="C47" s="2" t="s">
        <v>68</v>
      </c>
      <c r="D47" s="2" t="s">
        <v>6017</v>
      </c>
      <c r="E47" s="2" t="s">
        <v>6008</v>
      </c>
      <c r="F47" s="2" t="s">
        <v>77</v>
      </c>
      <c r="G47" s="32" t="s">
        <v>183</v>
      </c>
      <c r="H47" s="32" t="s">
        <v>7286</v>
      </c>
      <c r="I47" s="32" t="s">
        <v>7500</v>
      </c>
      <c r="J47" s="32"/>
      <c r="K47" s="33" t="s">
        <v>7302</v>
      </c>
      <c r="L47" s="32" t="s">
        <v>7403</v>
      </c>
      <c r="M47" t="s">
        <v>7172</v>
      </c>
      <c r="N47" t="s">
        <v>7165</v>
      </c>
      <c r="O47" t="s">
        <v>7462</v>
      </c>
    </row>
    <row r="48" spans="1:15" x14ac:dyDescent="0.2">
      <c r="A48" s="27" t="s">
        <v>6025</v>
      </c>
      <c r="B48" s="2" t="s">
        <v>6026</v>
      </c>
      <c r="C48" s="2" t="s">
        <v>68</v>
      </c>
      <c r="D48" s="2" t="s">
        <v>6029</v>
      </c>
      <c r="E48" s="2" t="s">
        <v>6024</v>
      </c>
      <c r="F48" s="2" t="s">
        <v>77</v>
      </c>
      <c r="G48" s="32" t="s">
        <v>183</v>
      </c>
      <c r="H48" s="32" t="s">
        <v>7286</v>
      </c>
      <c r="I48" s="32" t="s">
        <v>7500</v>
      </c>
      <c r="J48" s="32"/>
      <c r="K48" s="33" t="s">
        <v>7302</v>
      </c>
      <c r="L48" s="32" t="s">
        <v>7403</v>
      </c>
      <c r="M48" t="s">
        <v>7172</v>
      </c>
      <c r="N48" t="s">
        <v>7165</v>
      </c>
      <c r="O48" t="s">
        <v>7462</v>
      </c>
    </row>
    <row r="49" spans="1:15" x14ac:dyDescent="0.2">
      <c r="A49" s="27" t="s">
        <v>3676</v>
      </c>
      <c r="B49" s="2" t="s">
        <v>3679</v>
      </c>
      <c r="C49" s="2" t="s">
        <v>68</v>
      </c>
      <c r="D49" s="2" t="s">
        <v>3682</v>
      </c>
      <c r="E49" s="2" t="s">
        <v>3675</v>
      </c>
      <c r="F49" s="2" t="s">
        <v>77</v>
      </c>
      <c r="G49" s="32" t="s">
        <v>183</v>
      </c>
      <c r="H49" s="32" t="s">
        <v>7286</v>
      </c>
      <c r="I49" s="32" t="s">
        <v>7500</v>
      </c>
      <c r="J49" s="32"/>
      <c r="K49" s="33" t="s">
        <v>7230</v>
      </c>
      <c r="L49" s="32" t="s">
        <v>7404</v>
      </c>
      <c r="M49" t="s">
        <v>7165</v>
      </c>
      <c r="N49" t="s">
        <v>7165</v>
      </c>
      <c r="O49" t="s">
        <v>7358</v>
      </c>
    </row>
    <row r="50" spans="1:15" x14ac:dyDescent="0.2">
      <c r="A50" s="27" t="s">
        <v>369</v>
      </c>
      <c r="B50" s="2" t="s">
        <v>375</v>
      </c>
      <c r="C50" s="2" t="s">
        <v>68</v>
      </c>
      <c r="D50" s="2" t="s">
        <v>378</v>
      </c>
      <c r="E50" s="2" t="s">
        <v>367</v>
      </c>
      <c r="F50" s="2" t="s">
        <v>77</v>
      </c>
      <c r="G50" s="32" t="s">
        <v>372</v>
      </c>
      <c r="H50" s="32" t="s">
        <v>7233</v>
      </c>
      <c r="I50" s="32" t="s">
        <v>7498</v>
      </c>
      <c r="J50" s="32"/>
      <c r="K50" s="33" t="s">
        <v>7197</v>
      </c>
      <c r="L50" s="32" t="s">
        <v>7378</v>
      </c>
      <c r="M50" t="s">
        <v>7165</v>
      </c>
      <c r="N50" t="s">
        <v>7165</v>
      </c>
      <c r="O50" t="s">
        <v>7357</v>
      </c>
    </row>
    <row r="51" spans="1:15" x14ac:dyDescent="0.2">
      <c r="A51" s="27" t="s">
        <v>4630</v>
      </c>
      <c r="B51" s="2" t="s">
        <v>4631</v>
      </c>
      <c r="C51" s="2" t="s">
        <v>68</v>
      </c>
      <c r="D51" s="2" t="s">
        <v>4634</v>
      </c>
      <c r="E51" s="2" t="s">
        <v>4629</v>
      </c>
      <c r="F51" s="2" t="s">
        <v>77</v>
      </c>
      <c r="G51" s="32" t="s">
        <v>4600</v>
      </c>
      <c r="H51" s="32" t="s">
        <v>7288</v>
      </c>
      <c r="I51" s="32" t="s">
        <v>7510</v>
      </c>
      <c r="J51" s="32"/>
      <c r="K51" s="33" t="s">
        <v>7296</v>
      </c>
      <c r="L51" s="32" t="s">
        <v>7405</v>
      </c>
      <c r="M51" t="s">
        <v>7169</v>
      </c>
      <c r="N51" t="s">
        <v>7169</v>
      </c>
      <c r="O51" t="s">
        <v>7464</v>
      </c>
    </row>
    <row r="52" spans="1:15" x14ac:dyDescent="0.2">
      <c r="A52" s="27" t="s">
        <v>6414</v>
      </c>
      <c r="B52" s="2" t="s">
        <v>6417</v>
      </c>
      <c r="C52" s="2" t="s">
        <v>68</v>
      </c>
      <c r="D52" s="2" t="s">
        <v>6420</v>
      </c>
      <c r="E52" s="2" t="s">
        <v>6412</v>
      </c>
      <c r="F52" s="2" t="s">
        <v>77</v>
      </c>
      <c r="G52" s="32" t="s">
        <v>448</v>
      </c>
      <c r="H52" s="32" t="s">
        <v>7244</v>
      </c>
      <c r="I52" s="32" t="s">
        <v>7499</v>
      </c>
      <c r="J52" s="32"/>
      <c r="K52" s="33" t="s">
        <v>7217</v>
      </c>
      <c r="L52" s="32" t="s">
        <v>7406</v>
      </c>
      <c r="M52" t="s">
        <v>7172</v>
      </c>
      <c r="N52" t="s">
        <v>7165</v>
      </c>
      <c r="O52" t="s">
        <v>7466</v>
      </c>
    </row>
    <row r="53" spans="1:15" x14ac:dyDescent="0.2">
      <c r="A53" s="27" t="s">
        <v>3752</v>
      </c>
      <c r="B53" s="2" t="s">
        <v>3753</v>
      </c>
      <c r="C53" s="2" t="s">
        <v>68</v>
      </c>
      <c r="D53" s="2" t="s">
        <v>3756</v>
      </c>
      <c r="E53" s="2" t="s">
        <v>3750</v>
      </c>
      <c r="F53" s="2" t="s">
        <v>77</v>
      </c>
      <c r="G53" s="32" t="s">
        <v>183</v>
      </c>
      <c r="H53" s="32" t="s">
        <v>7286</v>
      </c>
      <c r="I53" s="32" t="s">
        <v>7500</v>
      </c>
      <c r="J53" s="32"/>
      <c r="K53" s="33" t="s">
        <v>7210</v>
      </c>
      <c r="L53" s="32" t="s">
        <v>7382</v>
      </c>
      <c r="M53" t="s">
        <v>7165</v>
      </c>
      <c r="N53" t="s">
        <v>7165</v>
      </c>
      <c r="O53" t="s">
        <v>7462</v>
      </c>
    </row>
    <row r="54" spans="1:15" x14ac:dyDescent="0.2">
      <c r="A54" s="27" t="s">
        <v>5550</v>
      </c>
      <c r="B54" s="2" t="s">
        <v>5554</v>
      </c>
      <c r="C54" s="2" t="s">
        <v>68</v>
      </c>
      <c r="D54" s="2" t="s">
        <v>5557</v>
      </c>
      <c r="E54" s="2" t="s">
        <v>5549</v>
      </c>
      <c r="F54" s="2" t="s">
        <v>77</v>
      </c>
      <c r="G54" s="32" t="s">
        <v>5551</v>
      </c>
      <c r="H54" s="32" t="s">
        <v>7237</v>
      </c>
      <c r="I54" s="32" t="s">
        <v>7511</v>
      </c>
      <c r="J54" s="32"/>
      <c r="K54" s="33" t="s">
        <v>7348</v>
      </c>
      <c r="L54" s="32" t="s">
        <v>7407</v>
      </c>
      <c r="M54" t="s">
        <v>7165</v>
      </c>
      <c r="N54" t="s">
        <v>7165</v>
      </c>
      <c r="O54" t="s">
        <v>7361</v>
      </c>
    </row>
    <row r="55" spans="1:15" x14ac:dyDescent="0.2">
      <c r="A55" s="27" t="s">
        <v>464</v>
      </c>
      <c r="B55" s="2" t="s">
        <v>469</v>
      </c>
      <c r="C55" s="2" t="s">
        <v>68</v>
      </c>
      <c r="D55" s="2" t="s">
        <v>472</v>
      </c>
      <c r="E55" s="2" t="s">
        <v>462</v>
      </c>
      <c r="F55" s="2" t="s">
        <v>77</v>
      </c>
      <c r="G55" s="32" t="s">
        <v>465</v>
      </c>
      <c r="H55" s="32" t="s">
        <v>7278</v>
      </c>
      <c r="I55" s="32" t="s">
        <v>7502</v>
      </c>
      <c r="J55" s="32"/>
      <c r="K55" s="33" t="s">
        <v>7215</v>
      </c>
      <c r="L55" s="32" t="s">
        <v>7397</v>
      </c>
      <c r="M55" t="s">
        <v>7165</v>
      </c>
      <c r="N55" t="s">
        <v>7165</v>
      </c>
      <c r="O55" t="s">
        <v>7460</v>
      </c>
    </row>
    <row r="56" spans="1:15" x14ac:dyDescent="0.2">
      <c r="A56" s="27" t="s">
        <v>6762</v>
      </c>
      <c r="B56" s="2" t="s">
        <v>6766</v>
      </c>
      <c r="C56" s="2" t="s">
        <v>68</v>
      </c>
      <c r="D56" s="2" t="s">
        <v>6769</v>
      </c>
      <c r="E56" s="2" t="s">
        <v>6760</v>
      </c>
      <c r="F56" s="2" t="s">
        <v>77</v>
      </c>
      <c r="G56" s="32" t="s">
        <v>6764</v>
      </c>
      <c r="H56" s="32" t="s">
        <v>7154</v>
      </c>
      <c r="I56" s="32" t="s">
        <v>7508</v>
      </c>
      <c r="J56" s="32"/>
      <c r="K56" s="33" t="s">
        <v>7207</v>
      </c>
      <c r="L56" s="32" t="s">
        <v>7385</v>
      </c>
      <c r="M56" t="s">
        <v>7165</v>
      </c>
      <c r="N56" t="s">
        <v>7165</v>
      </c>
      <c r="O56" t="s">
        <v>7353</v>
      </c>
    </row>
    <row r="57" spans="1:15" x14ac:dyDescent="0.2">
      <c r="A57" s="27" t="s">
        <v>4125</v>
      </c>
      <c r="B57" s="2" t="s">
        <v>4126</v>
      </c>
      <c r="C57" s="2" t="s">
        <v>68</v>
      </c>
      <c r="D57" s="2" t="s">
        <v>4129</v>
      </c>
      <c r="E57" s="2" t="s">
        <v>4123</v>
      </c>
      <c r="F57" s="2" t="s">
        <v>77</v>
      </c>
      <c r="G57" s="32" t="s">
        <v>603</v>
      </c>
      <c r="H57" s="32" t="s">
        <v>7179</v>
      </c>
      <c r="I57" s="32" t="s">
        <v>7497</v>
      </c>
      <c r="J57" s="32"/>
      <c r="K57" s="33" t="s">
        <v>7220</v>
      </c>
      <c r="L57" s="32" t="s">
        <v>7383</v>
      </c>
      <c r="M57" t="s">
        <v>7165</v>
      </c>
      <c r="N57" t="s">
        <v>7165</v>
      </c>
      <c r="O57" t="s">
        <v>7354</v>
      </c>
    </row>
    <row r="58" spans="1:15" x14ac:dyDescent="0.2">
      <c r="A58" s="27" t="s">
        <v>6849</v>
      </c>
      <c r="B58" s="2" t="s">
        <v>6850</v>
      </c>
      <c r="C58" s="2" t="s">
        <v>68</v>
      </c>
      <c r="D58" s="2" t="s">
        <v>6853</v>
      </c>
      <c r="E58" s="2" t="s">
        <v>6848</v>
      </c>
      <c r="F58" s="2" t="s">
        <v>77</v>
      </c>
      <c r="G58" s="32" t="s">
        <v>183</v>
      </c>
      <c r="H58" s="32" t="s">
        <v>7286</v>
      </c>
      <c r="I58" s="32" t="s">
        <v>7500</v>
      </c>
      <c r="J58" s="32"/>
      <c r="K58" s="33" t="s">
        <v>7210</v>
      </c>
      <c r="L58" s="32" t="s">
        <v>7382</v>
      </c>
      <c r="M58" t="s">
        <v>7172</v>
      </c>
      <c r="N58" t="s">
        <v>7165</v>
      </c>
      <c r="O58" t="s">
        <v>7462</v>
      </c>
    </row>
    <row r="59" spans="1:15" x14ac:dyDescent="0.2">
      <c r="A59" s="27" t="s">
        <v>6100</v>
      </c>
      <c r="B59" s="2" t="s">
        <v>6102</v>
      </c>
      <c r="C59" s="2" t="s">
        <v>68</v>
      </c>
      <c r="D59" s="2" t="s">
        <v>6105</v>
      </c>
      <c r="E59" s="2" t="s">
        <v>6099</v>
      </c>
      <c r="F59" s="2" t="s">
        <v>77</v>
      </c>
      <c r="G59" s="32" t="s">
        <v>268</v>
      </c>
      <c r="H59" s="32" t="s">
        <v>7259</v>
      </c>
      <c r="I59" s="32" t="s">
        <v>7498</v>
      </c>
      <c r="J59" s="32"/>
      <c r="K59" s="33" t="s">
        <v>7221</v>
      </c>
      <c r="L59" s="32" t="s">
        <v>7392</v>
      </c>
      <c r="M59" t="s">
        <v>7165</v>
      </c>
      <c r="N59" t="s">
        <v>7165</v>
      </c>
      <c r="O59" t="s">
        <v>7356</v>
      </c>
    </row>
    <row r="60" spans="1:15" x14ac:dyDescent="0.2">
      <c r="A60" s="27" t="s">
        <v>6036</v>
      </c>
      <c r="B60" s="2" t="s">
        <v>6038</v>
      </c>
      <c r="C60" s="2" t="s">
        <v>68</v>
      </c>
      <c r="D60" s="2" t="s">
        <v>6041</v>
      </c>
      <c r="E60" s="2" t="s">
        <v>6035</v>
      </c>
      <c r="F60" s="2" t="s">
        <v>77</v>
      </c>
      <c r="G60" s="32" t="s">
        <v>3194</v>
      </c>
      <c r="H60" s="32" t="s">
        <v>7232</v>
      </c>
      <c r="I60" s="32" t="s">
        <v>7497</v>
      </c>
      <c r="J60" s="32"/>
      <c r="K60" s="33" t="s">
        <v>7197</v>
      </c>
      <c r="L60" s="32" t="s">
        <v>7378</v>
      </c>
      <c r="M60" t="s">
        <v>7172</v>
      </c>
      <c r="N60" t="s">
        <v>7165</v>
      </c>
      <c r="O60" t="s">
        <v>7357</v>
      </c>
    </row>
    <row r="61" spans="1:15" x14ac:dyDescent="0.2">
      <c r="A61" s="27" t="s">
        <v>6319</v>
      </c>
      <c r="B61" s="2" t="s">
        <v>6321</v>
      </c>
      <c r="C61" s="2" t="s">
        <v>68</v>
      </c>
      <c r="D61" s="2" t="s">
        <v>6324</v>
      </c>
      <c r="E61" s="2" t="s">
        <v>6317</v>
      </c>
      <c r="F61" s="2" t="s">
        <v>77</v>
      </c>
      <c r="G61" s="32" t="s">
        <v>448</v>
      </c>
      <c r="H61" s="32" t="s">
        <v>7244</v>
      </c>
      <c r="I61" s="32" t="s">
        <v>7499</v>
      </c>
      <c r="J61" s="32"/>
      <c r="K61" s="33" t="s">
        <v>7214</v>
      </c>
      <c r="L61" s="32" t="s">
        <v>7408</v>
      </c>
      <c r="M61" t="s">
        <v>7172</v>
      </c>
      <c r="N61" t="s">
        <v>7165</v>
      </c>
      <c r="O61" t="s">
        <v>7460</v>
      </c>
    </row>
    <row r="62" spans="1:15" x14ac:dyDescent="0.2">
      <c r="A62" s="27" t="s">
        <v>4075</v>
      </c>
      <c r="B62" s="2" t="s">
        <v>4076</v>
      </c>
      <c r="C62" s="2" t="s">
        <v>68</v>
      </c>
      <c r="D62" s="2" t="s">
        <v>4079</v>
      </c>
      <c r="E62" s="2" t="s">
        <v>4073</v>
      </c>
      <c r="F62" s="2" t="s">
        <v>77</v>
      </c>
      <c r="G62" s="32" t="s">
        <v>603</v>
      </c>
      <c r="H62" s="32" t="s">
        <v>7179</v>
      </c>
      <c r="I62" s="32" t="s">
        <v>7497</v>
      </c>
      <c r="J62" s="32"/>
      <c r="K62" s="33" t="s">
        <v>7220</v>
      </c>
      <c r="L62" s="32" t="s">
        <v>7383</v>
      </c>
      <c r="M62" t="s">
        <v>7165</v>
      </c>
      <c r="N62" t="s">
        <v>7165</v>
      </c>
      <c r="O62" t="s">
        <v>7354</v>
      </c>
    </row>
    <row r="63" spans="1:15" x14ac:dyDescent="0.2">
      <c r="A63" s="27" t="s">
        <v>5920</v>
      </c>
      <c r="B63" s="2" t="s">
        <v>5921</v>
      </c>
      <c r="C63" s="2" t="s">
        <v>68</v>
      </c>
      <c r="D63" s="2" t="s">
        <v>5924</v>
      </c>
      <c r="E63" s="2" t="s">
        <v>5918</v>
      </c>
      <c r="F63" s="2" t="s">
        <v>77</v>
      </c>
      <c r="G63" s="32" t="s">
        <v>183</v>
      </c>
      <c r="H63" s="32" t="s">
        <v>7286</v>
      </c>
      <c r="I63" s="32" t="s">
        <v>7500</v>
      </c>
      <c r="J63" s="32"/>
      <c r="K63" s="33" t="s">
        <v>7327</v>
      </c>
      <c r="L63" s="32" t="s">
        <v>7385</v>
      </c>
      <c r="M63" t="s">
        <v>7165</v>
      </c>
      <c r="N63" t="s">
        <v>7165</v>
      </c>
      <c r="O63" t="s">
        <v>7353</v>
      </c>
    </row>
    <row r="64" spans="1:15" x14ac:dyDescent="0.2">
      <c r="A64" s="27" t="s">
        <v>6126</v>
      </c>
      <c r="B64" s="2" t="s">
        <v>6130</v>
      </c>
      <c r="C64" s="2" t="s">
        <v>68</v>
      </c>
      <c r="D64" s="2" t="s">
        <v>6133</v>
      </c>
      <c r="E64" s="2" t="s">
        <v>6124</v>
      </c>
      <c r="F64" s="2" t="s">
        <v>77</v>
      </c>
      <c r="G64" s="32" t="s">
        <v>6128</v>
      </c>
      <c r="H64" s="32" t="s">
        <v>7288</v>
      </c>
      <c r="I64" s="32" t="s">
        <v>7511</v>
      </c>
      <c r="J64" s="32"/>
      <c r="K64" s="33" t="s">
        <v>7197</v>
      </c>
      <c r="L64" s="32" t="s">
        <v>7378</v>
      </c>
      <c r="M64" t="s">
        <v>7172</v>
      </c>
      <c r="N64" t="s">
        <v>7165</v>
      </c>
      <c r="O64" t="s">
        <v>7357</v>
      </c>
    </row>
    <row r="65" spans="1:15" x14ac:dyDescent="0.2">
      <c r="A65" s="27" t="s">
        <v>3390</v>
      </c>
      <c r="B65" s="2" t="s">
        <v>3395</v>
      </c>
      <c r="C65" s="2" t="s">
        <v>68</v>
      </c>
      <c r="D65" s="2" t="s">
        <v>3398</v>
      </c>
      <c r="E65" s="2" t="s">
        <v>3389</v>
      </c>
      <c r="F65" s="2" t="s">
        <v>77</v>
      </c>
      <c r="G65" s="32" t="s">
        <v>3392</v>
      </c>
      <c r="H65" s="32" t="s">
        <v>7260</v>
      </c>
      <c r="I65" s="32" t="s">
        <v>7503</v>
      </c>
      <c r="J65" s="32"/>
      <c r="K65" s="33" t="s">
        <v>7227</v>
      </c>
      <c r="L65" s="32" t="s">
        <v>7409</v>
      </c>
      <c r="M65" t="s">
        <v>7165</v>
      </c>
      <c r="N65" t="s">
        <v>7165</v>
      </c>
      <c r="O65" t="s">
        <v>7357</v>
      </c>
    </row>
    <row r="66" spans="1:15" x14ac:dyDescent="0.2">
      <c r="A66" s="27" t="s">
        <v>6555</v>
      </c>
      <c r="B66" s="2" t="s">
        <v>6557</v>
      </c>
      <c r="C66" s="2" t="s">
        <v>68</v>
      </c>
      <c r="D66" s="2" t="s">
        <v>6560</v>
      </c>
      <c r="E66" s="2" t="s">
        <v>6553</v>
      </c>
      <c r="F66" s="2" t="s">
        <v>77</v>
      </c>
      <c r="G66" s="32" t="s">
        <v>61</v>
      </c>
      <c r="H66" s="32" t="s">
        <v>7158</v>
      </c>
      <c r="I66" s="32" t="s">
        <v>7504</v>
      </c>
      <c r="J66" s="32"/>
      <c r="K66" s="33" t="s">
        <v>7231</v>
      </c>
      <c r="L66" s="32" t="s">
        <v>7383</v>
      </c>
      <c r="M66" t="s">
        <v>60</v>
      </c>
      <c r="N66" t="s">
        <v>60</v>
      </c>
      <c r="O66" t="s">
        <v>7354</v>
      </c>
    </row>
    <row r="67" spans="1:15" x14ac:dyDescent="0.2">
      <c r="A67" s="27" t="s">
        <v>3316</v>
      </c>
      <c r="B67" s="2" t="s">
        <v>3319</v>
      </c>
      <c r="C67" s="2" t="s">
        <v>68</v>
      </c>
      <c r="D67" s="2" t="s">
        <v>3322</v>
      </c>
      <c r="E67" s="2" t="s">
        <v>3314</v>
      </c>
      <c r="F67" s="2" t="s">
        <v>77</v>
      </c>
      <c r="G67" s="32" t="s">
        <v>183</v>
      </c>
      <c r="H67" s="32" t="s">
        <v>7286</v>
      </c>
      <c r="I67" s="32" t="s">
        <v>7500</v>
      </c>
      <c r="J67" s="32"/>
      <c r="K67" s="33" t="s">
        <v>7229</v>
      </c>
      <c r="L67" s="32" t="s">
        <v>7410</v>
      </c>
      <c r="M67" t="s">
        <v>7165</v>
      </c>
      <c r="N67" t="s">
        <v>7165</v>
      </c>
      <c r="O67" t="s">
        <v>7462</v>
      </c>
    </row>
    <row r="68" spans="1:15" x14ac:dyDescent="0.2">
      <c r="A68" s="27" t="s">
        <v>3514</v>
      </c>
      <c r="B68" s="2" t="s">
        <v>3516</v>
      </c>
      <c r="C68" s="2" t="s">
        <v>68</v>
      </c>
      <c r="D68" s="2" t="s">
        <v>3519</v>
      </c>
      <c r="E68" s="2" t="s">
        <v>3513</v>
      </c>
      <c r="F68" s="2" t="s">
        <v>77</v>
      </c>
      <c r="G68" s="32" t="s">
        <v>3515</v>
      </c>
      <c r="H68" s="32" t="s">
        <v>7276</v>
      </c>
      <c r="I68" s="32" t="s">
        <v>7505</v>
      </c>
      <c r="J68" s="32"/>
      <c r="K68" s="33" t="s">
        <v>7197</v>
      </c>
      <c r="L68" s="32" t="s">
        <v>7378</v>
      </c>
      <c r="M68" t="s">
        <v>7165</v>
      </c>
      <c r="N68" t="s">
        <v>7165</v>
      </c>
      <c r="O68" t="s">
        <v>7357</v>
      </c>
    </row>
    <row r="69" spans="1:15" x14ac:dyDescent="0.2">
      <c r="A69" s="27" t="s">
        <v>6513</v>
      </c>
      <c r="B69" s="2" t="s">
        <v>6516</v>
      </c>
      <c r="C69" s="2" t="s">
        <v>68</v>
      </c>
      <c r="D69" s="2" t="s">
        <v>6519</v>
      </c>
      <c r="E69" s="2" t="s">
        <v>6511</v>
      </c>
      <c r="F69" s="2" t="s">
        <v>77</v>
      </c>
      <c r="G69" s="32" t="s">
        <v>5461</v>
      </c>
      <c r="H69" s="32" t="s">
        <v>7234</v>
      </c>
      <c r="I69" s="32" t="s">
        <v>7512</v>
      </c>
      <c r="J69" s="32"/>
      <c r="K69" s="33" t="s">
        <v>7223</v>
      </c>
      <c r="L69" s="32" t="s">
        <v>7385</v>
      </c>
      <c r="M69" t="s">
        <v>7165</v>
      </c>
      <c r="N69" t="s">
        <v>7165</v>
      </c>
      <c r="O69" t="s">
        <v>7353</v>
      </c>
    </row>
    <row r="70" spans="1:15" x14ac:dyDescent="0.2">
      <c r="A70" s="27" t="s">
        <v>338</v>
      </c>
      <c r="B70" s="2" t="s">
        <v>339</v>
      </c>
      <c r="C70" s="2" t="s">
        <v>68</v>
      </c>
      <c r="D70" s="2" t="s">
        <v>342</v>
      </c>
      <c r="E70" s="2" t="s">
        <v>337</v>
      </c>
      <c r="F70" s="2" t="s">
        <v>77</v>
      </c>
      <c r="G70" s="32" t="s">
        <v>311</v>
      </c>
      <c r="H70" s="32" t="s">
        <v>7256</v>
      </c>
      <c r="I70" s="32" t="s">
        <v>7510</v>
      </c>
      <c r="J70" s="32"/>
      <c r="K70" s="33" t="s">
        <v>7345</v>
      </c>
      <c r="L70" s="32" t="s">
        <v>7411</v>
      </c>
      <c r="M70" t="s">
        <v>7167</v>
      </c>
      <c r="N70" t="s">
        <v>7167</v>
      </c>
      <c r="O70" t="s">
        <v>7355</v>
      </c>
    </row>
    <row r="71" spans="1:15" x14ac:dyDescent="0.2">
      <c r="A71" s="27" t="s">
        <v>725</v>
      </c>
      <c r="B71" s="2" t="s">
        <v>727</v>
      </c>
      <c r="C71" s="2" t="s">
        <v>68</v>
      </c>
      <c r="D71" s="2" t="s">
        <v>730</v>
      </c>
      <c r="E71" s="2" t="s">
        <v>723</v>
      </c>
      <c r="F71" s="2" t="s">
        <v>77</v>
      </c>
      <c r="G71" s="32" t="s">
        <v>603</v>
      </c>
      <c r="H71" s="32" t="s">
        <v>7179</v>
      </c>
      <c r="I71" s="32" t="s">
        <v>7497</v>
      </c>
      <c r="J71" s="32"/>
      <c r="K71" s="33" t="s">
        <v>7194</v>
      </c>
      <c r="L71" s="32" t="s">
        <v>7390</v>
      </c>
      <c r="M71" t="s">
        <v>7165</v>
      </c>
      <c r="N71" t="s">
        <v>7165</v>
      </c>
      <c r="O71" t="s">
        <v>7464</v>
      </c>
    </row>
    <row r="72" spans="1:15" x14ac:dyDescent="0.2">
      <c r="A72" s="27" t="s">
        <v>5348</v>
      </c>
      <c r="B72" s="2" t="s">
        <v>5352</v>
      </c>
      <c r="C72" s="2" t="s">
        <v>68</v>
      </c>
      <c r="D72" s="2" t="s">
        <v>5355</v>
      </c>
      <c r="E72" s="2" t="s">
        <v>5346</v>
      </c>
      <c r="F72" s="2" t="s">
        <v>77</v>
      </c>
      <c r="G72" s="32" t="s">
        <v>3392</v>
      </c>
      <c r="H72" s="32" t="s">
        <v>7260</v>
      </c>
      <c r="I72" s="32" t="s">
        <v>7503</v>
      </c>
      <c r="J72" s="32"/>
      <c r="K72" s="33" t="s">
        <v>7227</v>
      </c>
      <c r="L72" s="32" t="s">
        <v>7409</v>
      </c>
      <c r="M72" t="s">
        <v>7165</v>
      </c>
      <c r="N72" t="s">
        <v>7165</v>
      </c>
      <c r="O72" t="s">
        <v>7357</v>
      </c>
    </row>
    <row r="73" spans="1:15" x14ac:dyDescent="0.2">
      <c r="A73" s="27" t="s">
        <v>6464</v>
      </c>
      <c r="B73" s="2" t="s">
        <v>6465</v>
      </c>
      <c r="C73" s="2" t="s">
        <v>68</v>
      </c>
      <c r="D73" s="2" t="s">
        <v>6468</v>
      </c>
      <c r="E73" s="2" t="s">
        <v>6463</v>
      </c>
      <c r="F73" s="2" t="s">
        <v>77</v>
      </c>
      <c r="G73" s="32" t="s">
        <v>353</v>
      </c>
      <c r="H73" s="32" t="s">
        <v>7288</v>
      </c>
      <c r="I73" s="32" t="s">
        <v>7498</v>
      </c>
      <c r="J73" s="32"/>
      <c r="K73" s="33" t="s">
        <v>7198</v>
      </c>
      <c r="L73" s="32" t="s">
        <v>7412</v>
      </c>
      <c r="M73" t="s">
        <v>7172</v>
      </c>
      <c r="N73" t="s">
        <v>7165</v>
      </c>
      <c r="O73" t="s">
        <v>7362</v>
      </c>
    </row>
    <row r="74" spans="1:15" x14ac:dyDescent="0.2">
      <c r="A74" s="27" t="s">
        <v>6201</v>
      </c>
      <c r="B74" s="2" t="s">
        <v>6203</v>
      </c>
      <c r="C74" s="2" t="s">
        <v>68</v>
      </c>
      <c r="D74" s="2" t="s">
        <v>6206</v>
      </c>
      <c r="E74" s="2" t="s">
        <v>6199</v>
      </c>
      <c r="F74" s="2" t="s">
        <v>77</v>
      </c>
      <c r="G74" s="32" t="s">
        <v>3392</v>
      </c>
      <c r="H74" s="32" t="s">
        <v>7260</v>
      </c>
      <c r="I74" s="32" t="s">
        <v>7503</v>
      </c>
      <c r="J74" s="32"/>
      <c r="K74" s="33" t="s">
        <v>7228</v>
      </c>
      <c r="L74" s="32" t="s">
        <v>7389</v>
      </c>
      <c r="M74" t="s">
        <v>7172</v>
      </c>
      <c r="N74" t="s">
        <v>7165</v>
      </c>
      <c r="O74" t="s">
        <v>7460</v>
      </c>
    </row>
    <row r="75" spans="1:15" x14ac:dyDescent="0.2">
      <c r="A75" s="27" t="s">
        <v>5086</v>
      </c>
      <c r="B75" s="2" t="s">
        <v>5087</v>
      </c>
      <c r="C75" s="2" t="s">
        <v>68</v>
      </c>
      <c r="D75" s="2" t="s">
        <v>5090</v>
      </c>
      <c r="E75" s="2" t="s">
        <v>5085</v>
      </c>
      <c r="F75" s="2" t="s">
        <v>77</v>
      </c>
      <c r="G75" s="32" t="s">
        <v>5058</v>
      </c>
      <c r="H75" s="32" t="s">
        <v>7158</v>
      </c>
      <c r="I75" s="32" t="s">
        <v>7505</v>
      </c>
      <c r="J75" s="32"/>
      <c r="K75" s="33" t="s">
        <v>7333</v>
      </c>
      <c r="L75" s="32" t="s">
        <v>7402</v>
      </c>
      <c r="M75" t="s">
        <v>7165</v>
      </c>
      <c r="N75" t="s">
        <v>7165</v>
      </c>
      <c r="O75" t="s">
        <v>7360</v>
      </c>
    </row>
    <row r="76" spans="1:15" x14ac:dyDescent="0.2">
      <c r="A76" s="27" t="s">
        <v>6391</v>
      </c>
      <c r="B76" s="2" t="s">
        <v>6392</v>
      </c>
      <c r="C76" s="2" t="s">
        <v>68</v>
      </c>
      <c r="D76" s="2" t="s">
        <v>6395</v>
      </c>
      <c r="E76" s="2" t="s">
        <v>6389</v>
      </c>
      <c r="F76" s="2" t="s">
        <v>77</v>
      </c>
      <c r="G76" s="32" t="s">
        <v>390</v>
      </c>
      <c r="H76" s="32" t="s">
        <v>7248</v>
      </c>
      <c r="I76" s="32" t="s">
        <v>7502</v>
      </c>
      <c r="J76" s="32"/>
      <c r="K76" s="33" t="s">
        <v>7197</v>
      </c>
      <c r="L76" s="32" t="s">
        <v>7378</v>
      </c>
      <c r="M76" t="s">
        <v>7172</v>
      </c>
      <c r="N76" t="s">
        <v>7165</v>
      </c>
      <c r="O76" t="s">
        <v>7357</v>
      </c>
    </row>
    <row r="77" spans="1:15" x14ac:dyDescent="0.2">
      <c r="A77" s="27" t="s">
        <v>5796</v>
      </c>
      <c r="B77" s="2" t="s">
        <v>5799</v>
      </c>
      <c r="C77" s="2" t="s">
        <v>68</v>
      </c>
      <c r="D77" s="2" t="s">
        <v>5802</v>
      </c>
      <c r="E77" s="2" t="s">
        <v>5795</v>
      </c>
      <c r="F77" s="2" t="s">
        <v>77</v>
      </c>
      <c r="G77" s="32" t="s">
        <v>3261</v>
      </c>
      <c r="H77" s="32" t="s">
        <v>7235</v>
      </c>
      <c r="I77" s="32" t="s">
        <v>7503</v>
      </c>
      <c r="J77" s="32"/>
      <c r="K77" s="33" t="s">
        <v>7212</v>
      </c>
      <c r="L77" s="32" t="s">
        <v>7413</v>
      </c>
      <c r="M77" t="s">
        <v>7165</v>
      </c>
      <c r="N77" t="s">
        <v>7165</v>
      </c>
      <c r="O77" t="s">
        <v>7467</v>
      </c>
    </row>
    <row r="78" spans="1:15" x14ac:dyDescent="0.2">
      <c r="A78" s="27" t="s">
        <v>5744</v>
      </c>
      <c r="B78" s="2" t="s">
        <v>5748</v>
      </c>
      <c r="C78" s="2" t="s">
        <v>68</v>
      </c>
      <c r="D78" s="2" t="s">
        <v>5751</v>
      </c>
      <c r="E78" s="2" t="s">
        <v>5742</v>
      </c>
      <c r="F78" s="2" t="s">
        <v>77</v>
      </c>
      <c r="G78" s="32" t="s">
        <v>4285</v>
      </c>
      <c r="H78" s="32" t="s">
        <v>7286</v>
      </c>
      <c r="I78" s="32" t="s">
        <v>7498</v>
      </c>
      <c r="J78" s="32"/>
      <c r="K78" s="33" t="s">
        <v>7320</v>
      </c>
      <c r="L78" s="32" t="s">
        <v>7414</v>
      </c>
      <c r="M78" t="s">
        <v>7165</v>
      </c>
      <c r="N78" t="s">
        <v>7165</v>
      </c>
      <c r="O78" t="s">
        <v>7463</v>
      </c>
    </row>
    <row r="79" spans="1:15" x14ac:dyDescent="0.2">
      <c r="A79" s="27" t="s">
        <v>6428</v>
      </c>
      <c r="B79" s="2" t="s">
        <v>6429</v>
      </c>
      <c r="C79" s="2" t="s">
        <v>68</v>
      </c>
      <c r="D79" s="2" t="s">
        <v>6432</v>
      </c>
      <c r="E79" s="2" t="s">
        <v>6426</v>
      </c>
      <c r="F79" s="2" t="s">
        <v>77</v>
      </c>
      <c r="G79" s="32" t="s">
        <v>390</v>
      </c>
      <c r="H79" s="32" t="s">
        <v>7248</v>
      </c>
      <c r="I79" s="32" t="s">
        <v>7502</v>
      </c>
      <c r="J79" s="32"/>
      <c r="K79" s="33" t="s">
        <v>7197</v>
      </c>
      <c r="L79" s="32" t="s">
        <v>7378</v>
      </c>
      <c r="M79" t="s">
        <v>7172</v>
      </c>
      <c r="N79" t="s">
        <v>7165</v>
      </c>
      <c r="O79" t="s">
        <v>7357</v>
      </c>
    </row>
    <row r="80" spans="1:15" x14ac:dyDescent="0.2">
      <c r="A80" s="27" t="s">
        <v>6153</v>
      </c>
      <c r="B80" s="2" t="s">
        <v>6154</v>
      </c>
      <c r="C80" s="2" t="s">
        <v>68</v>
      </c>
      <c r="D80" s="2" t="s">
        <v>6157</v>
      </c>
      <c r="E80" s="2" t="s">
        <v>6152</v>
      </c>
      <c r="F80" s="2" t="s">
        <v>77</v>
      </c>
      <c r="G80" s="32" t="s">
        <v>448</v>
      </c>
      <c r="H80" s="32" t="s">
        <v>7244</v>
      </c>
      <c r="I80" s="32" t="s">
        <v>7499</v>
      </c>
      <c r="J80" s="32"/>
      <c r="K80" s="33" t="s">
        <v>7214</v>
      </c>
      <c r="L80" s="32" t="s">
        <v>7408</v>
      </c>
      <c r="M80" t="s">
        <v>7172</v>
      </c>
      <c r="N80" t="s">
        <v>7165</v>
      </c>
      <c r="O80" t="s">
        <v>7460</v>
      </c>
    </row>
    <row r="81" spans="1:15" x14ac:dyDescent="0.2">
      <c r="A81" s="27" t="s">
        <v>4641</v>
      </c>
      <c r="B81" s="2" t="s">
        <v>4642</v>
      </c>
      <c r="C81" s="2" t="s">
        <v>68</v>
      </c>
      <c r="D81" s="2" t="s">
        <v>4645</v>
      </c>
      <c r="E81" s="2" t="s">
        <v>4640</v>
      </c>
      <c r="F81" s="2" t="s">
        <v>77</v>
      </c>
      <c r="G81" s="32" t="s">
        <v>4600</v>
      </c>
      <c r="H81" s="32" t="s">
        <v>7288</v>
      </c>
      <c r="I81" s="32" t="s">
        <v>7510</v>
      </c>
      <c r="J81" s="32"/>
      <c r="K81" s="33" t="s">
        <v>7350</v>
      </c>
      <c r="L81" s="32" t="s">
        <v>7415</v>
      </c>
      <c r="M81" t="s">
        <v>7169</v>
      </c>
      <c r="N81" t="s">
        <v>7169</v>
      </c>
      <c r="O81" t="s">
        <v>7463</v>
      </c>
    </row>
    <row r="82" spans="1:15" x14ac:dyDescent="0.2">
      <c r="A82" s="27" t="s">
        <v>2733</v>
      </c>
      <c r="B82" s="2" t="s">
        <v>2734</v>
      </c>
      <c r="C82" s="2" t="s">
        <v>68</v>
      </c>
      <c r="D82" s="2" t="s">
        <v>2737</v>
      </c>
      <c r="E82" s="2" t="s">
        <v>2732</v>
      </c>
      <c r="F82" s="2" t="s">
        <v>77</v>
      </c>
      <c r="G82" s="32" t="s">
        <v>603</v>
      </c>
      <c r="H82" s="32" t="s">
        <v>7179</v>
      </c>
      <c r="I82" s="32" t="s">
        <v>7497</v>
      </c>
      <c r="J82" s="32"/>
      <c r="K82" s="33" t="s">
        <v>7319</v>
      </c>
      <c r="L82" s="32" t="s">
        <v>7416</v>
      </c>
      <c r="M82" t="s">
        <v>7165</v>
      </c>
      <c r="N82" t="s">
        <v>7165</v>
      </c>
      <c r="O82" t="s">
        <v>7468</v>
      </c>
    </row>
    <row r="83" spans="1:15" x14ac:dyDescent="0.2">
      <c r="A83" s="27" t="s">
        <v>3596</v>
      </c>
      <c r="B83" s="2" t="s">
        <v>3597</v>
      </c>
      <c r="C83" s="2" t="s">
        <v>68</v>
      </c>
      <c r="D83" s="2" t="s">
        <v>3600</v>
      </c>
      <c r="E83" s="2" t="s">
        <v>3594</v>
      </c>
      <c r="F83" s="2" t="s">
        <v>77</v>
      </c>
      <c r="G83" s="32" t="s">
        <v>3529</v>
      </c>
      <c r="H83" s="32" t="s">
        <v>7287</v>
      </c>
      <c r="I83" s="32" t="s">
        <v>7508</v>
      </c>
      <c r="J83" s="32"/>
      <c r="K83" s="33" t="s">
        <v>7207</v>
      </c>
      <c r="L83" s="32" t="s">
        <v>7385</v>
      </c>
      <c r="M83" t="s">
        <v>7165</v>
      </c>
      <c r="N83" t="s">
        <v>7165</v>
      </c>
      <c r="O83" t="s">
        <v>7353</v>
      </c>
    </row>
    <row r="84" spans="1:15" x14ac:dyDescent="0.2">
      <c r="A84" s="27" t="s">
        <v>3304</v>
      </c>
      <c r="B84" s="2" t="s">
        <v>3306</v>
      </c>
      <c r="C84" s="2" t="s">
        <v>68</v>
      </c>
      <c r="D84" s="2" t="s">
        <v>3309</v>
      </c>
      <c r="E84" s="2" t="s">
        <v>3302</v>
      </c>
      <c r="F84" s="2" t="s">
        <v>77</v>
      </c>
      <c r="G84" s="32" t="s">
        <v>603</v>
      </c>
      <c r="H84" s="32" t="s">
        <v>7179</v>
      </c>
      <c r="I84" s="32" t="s">
        <v>7497</v>
      </c>
      <c r="J84" s="32"/>
      <c r="K84" s="33" t="s">
        <v>7220</v>
      </c>
      <c r="L84" s="32" t="s">
        <v>7383</v>
      </c>
      <c r="M84" t="s">
        <v>7165</v>
      </c>
      <c r="N84" t="s">
        <v>7165</v>
      </c>
      <c r="O84" t="s">
        <v>7354</v>
      </c>
    </row>
    <row r="85" spans="1:15" x14ac:dyDescent="0.2">
      <c r="A85" s="27" t="s">
        <v>3552</v>
      </c>
      <c r="B85" s="2" t="s">
        <v>3553</v>
      </c>
      <c r="C85" s="2" t="s">
        <v>68</v>
      </c>
      <c r="D85" s="2" t="s">
        <v>3556</v>
      </c>
      <c r="E85" s="2" t="s">
        <v>3550</v>
      </c>
      <c r="F85" s="2" t="s">
        <v>77</v>
      </c>
      <c r="G85" s="32" t="s">
        <v>183</v>
      </c>
      <c r="H85" s="32" t="s">
        <v>7286</v>
      </c>
      <c r="I85" s="32" t="s">
        <v>7500</v>
      </c>
      <c r="J85" s="32"/>
      <c r="K85" s="33" t="s">
        <v>7210</v>
      </c>
      <c r="L85" s="32" t="s">
        <v>7382</v>
      </c>
      <c r="M85" t="s">
        <v>7165</v>
      </c>
      <c r="N85" t="s">
        <v>7165</v>
      </c>
      <c r="O85" t="s">
        <v>7462</v>
      </c>
    </row>
    <row r="86" spans="1:15" x14ac:dyDescent="0.2">
      <c r="A86" s="27" t="s">
        <v>4063</v>
      </c>
      <c r="B86" s="2" t="s">
        <v>4064</v>
      </c>
      <c r="C86" s="2" t="s">
        <v>68</v>
      </c>
      <c r="D86" s="2" t="s">
        <v>4067</v>
      </c>
      <c r="E86" s="2" t="s">
        <v>4061</v>
      </c>
      <c r="F86" s="2" t="s">
        <v>77</v>
      </c>
      <c r="G86" s="32" t="s">
        <v>603</v>
      </c>
      <c r="H86" s="32" t="s">
        <v>7179</v>
      </c>
      <c r="I86" s="32" t="s">
        <v>7497</v>
      </c>
      <c r="J86" s="32"/>
      <c r="K86" s="33" t="s">
        <v>7220</v>
      </c>
      <c r="L86" s="32" t="s">
        <v>7383</v>
      </c>
      <c r="M86" t="s">
        <v>7165</v>
      </c>
      <c r="N86" t="s">
        <v>7165</v>
      </c>
      <c r="O86" t="s">
        <v>7354</v>
      </c>
    </row>
    <row r="87" spans="1:15" x14ac:dyDescent="0.2">
      <c r="A87" s="27" t="s">
        <v>430</v>
      </c>
      <c r="B87" s="2" t="s">
        <v>436</v>
      </c>
      <c r="C87" s="2" t="s">
        <v>68</v>
      </c>
      <c r="D87" s="2" t="s">
        <v>439</v>
      </c>
      <c r="E87" s="2" t="s">
        <v>428</v>
      </c>
      <c r="F87" s="2" t="s">
        <v>77</v>
      </c>
      <c r="G87" s="32" t="s">
        <v>431</v>
      </c>
      <c r="H87" s="32" t="s">
        <v>7240</v>
      </c>
      <c r="I87" s="32" t="s">
        <v>7505</v>
      </c>
      <c r="J87" s="32"/>
      <c r="K87" s="33" t="s">
        <v>7303</v>
      </c>
      <c r="L87" s="32" t="s">
        <v>7397</v>
      </c>
      <c r="M87" t="s">
        <v>7165</v>
      </c>
      <c r="N87" t="s">
        <v>7165</v>
      </c>
      <c r="O87" t="s">
        <v>7460</v>
      </c>
    </row>
    <row r="88" spans="1:15" x14ac:dyDescent="0.2">
      <c r="A88" s="27" t="s">
        <v>6362</v>
      </c>
      <c r="B88" s="2" t="s">
        <v>6365</v>
      </c>
      <c r="C88" s="2" t="s">
        <v>68</v>
      </c>
      <c r="D88" s="2" t="s">
        <v>6368</v>
      </c>
      <c r="E88" s="2" t="s">
        <v>6360</v>
      </c>
      <c r="F88" s="2" t="s">
        <v>77</v>
      </c>
      <c r="G88" s="32" t="s">
        <v>6363</v>
      </c>
      <c r="H88" s="32" t="s">
        <v>7269</v>
      </c>
      <c r="I88" s="32" t="s">
        <v>7498</v>
      </c>
      <c r="J88" s="32"/>
      <c r="K88" s="33" t="s">
        <v>7309</v>
      </c>
      <c r="L88" s="32" t="s">
        <v>7417</v>
      </c>
      <c r="M88" t="s">
        <v>7172</v>
      </c>
      <c r="N88" t="s">
        <v>7165</v>
      </c>
      <c r="O88" t="s">
        <v>7460</v>
      </c>
    </row>
    <row r="89" spans="1:15" x14ac:dyDescent="0.2">
      <c r="A89" s="27" t="s">
        <v>5386</v>
      </c>
      <c r="B89" s="2" t="s">
        <v>5390</v>
      </c>
      <c r="C89" s="2" t="s">
        <v>68</v>
      </c>
      <c r="D89" s="2" t="s">
        <v>5393</v>
      </c>
      <c r="E89" s="2" t="s">
        <v>5384</v>
      </c>
      <c r="F89" s="2" t="s">
        <v>77</v>
      </c>
      <c r="G89" s="32" t="s">
        <v>3261</v>
      </c>
      <c r="H89" s="32" t="s">
        <v>7235</v>
      </c>
      <c r="I89" s="32" t="s">
        <v>7503</v>
      </c>
      <c r="J89" s="32"/>
      <c r="K89" s="33" t="s">
        <v>7346</v>
      </c>
      <c r="L89" s="32" t="s">
        <v>7418</v>
      </c>
      <c r="M89" t="s">
        <v>7165</v>
      </c>
      <c r="N89" t="s">
        <v>7165</v>
      </c>
      <c r="O89" t="s">
        <v>7355</v>
      </c>
    </row>
    <row r="90" spans="1:15" x14ac:dyDescent="0.2">
      <c r="A90" s="27" t="s">
        <v>537</v>
      </c>
      <c r="B90" s="2" t="s">
        <v>539</v>
      </c>
      <c r="C90" s="2" t="s">
        <v>68</v>
      </c>
      <c r="D90" s="2" t="s">
        <v>542</v>
      </c>
      <c r="E90" s="2" t="s">
        <v>536</v>
      </c>
      <c r="F90" s="2" t="s">
        <v>77</v>
      </c>
      <c r="G90" s="32" t="s">
        <v>183</v>
      </c>
      <c r="H90" s="32" t="s">
        <v>7286</v>
      </c>
      <c r="I90" s="32" t="s">
        <v>7500</v>
      </c>
      <c r="J90" s="32"/>
      <c r="K90" s="33" t="s">
        <v>7210</v>
      </c>
      <c r="L90" s="32" t="s">
        <v>7382</v>
      </c>
      <c r="M90" t="s">
        <v>7165</v>
      </c>
      <c r="N90" t="s">
        <v>7165</v>
      </c>
      <c r="O90" t="s">
        <v>7462</v>
      </c>
    </row>
    <row r="91" spans="1:15" x14ac:dyDescent="0.2">
      <c r="A91" s="27" t="s">
        <v>2800</v>
      </c>
      <c r="B91" s="2" t="s">
        <v>2801</v>
      </c>
      <c r="C91" s="2" t="s">
        <v>68</v>
      </c>
      <c r="D91" s="2" t="s">
        <v>2804</v>
      </c>
      <c r="E91" s="2" t="s">
        <v>2799</v>
      </c>
      <c r="F91" s="2" t="s">
        <v>77</v>
      </c>
      <c r="G91" s="32" t="s">
        <v>603</v>
      </c>
      <c r="H91" s="32" t="s">
        <v>7179</v>
      </c>
      <c r="I91" s="32" t="s">
        <v>7497</v>
      </c>
      <c r="J91" s="32"/>
      <c r="K91" s="33" t="s">
        <v>7341</v>
      </c>
      <c r="L91" s="32" t="s">
        <v>7395</v>
      </c>
      <c r="M91" t="s">
        <v>7165</v>
      </c>
      <c r="N91" t="s">
        <v>7165</v>
      </c>
      <c r="O91" t="s">
        <v>7465</v>
      </c>
    </row>
    <row r="92" spans="1:15" x14ac:dyDescent="0.2">
      <c r="A92" s="27" t="s">
        <v>3377</v>
      </c>
      <c r="B92" s="2" t="s">
        <v>3380</v>
      </c>
      <c r="C92" s="2" t="s">
        <v>68</v>
      </c>
      <c r="D92" s="2" t="s">
        <v>3383</v>
      </c>
      <c r="E92" s="2" t="s">
        <v>3375</v>
      </c>
      <c r="F92" s="2" t="s">
        <v>77</v>
      </c>
      <c r="G92" s="32" t="s">
        <v>3165</v>
      </c>
      <c r="H92" s="32" t="s">
        <v>7288</v>
      </c>
      <c r="I92" s="32" t="s">
        <v>7499</v>
      </c>
      <c r="J92" s="32"/>
      <c r="K92" s="33" t="s">
        <v>7214</v>
      </c>
      <c r="L92" s="32" t="s">
        <v>7408</v>
      </c>
      <c r="M92" t="s">
        <v>7165</v>
      </c>
      <c r="N92" t="s">
        <v>7165</v>
      </c>
      <c r="O92" t="s">
        <v>7460</v>
      </c>
    </row>
    <row r="93" spans="1:15" x14ac:dyDescent="0.2">
      <c r="A93" s="27" t="s">
        <v>1221</v>
      </c>
      <c r="B93" s="2" t="s">
        <v>1222</v>
      </c>
      <c r="C93" s="2" t="s">
        <v>68</v>
      </c>
      <c r="D93" s="2" t="s">
        <v>1225</v>
      </c>
      <c r="E93" s="2" t="s">
        <v>1220</v>
      </c>
      <c r="F93" s="2" t="s">
        <v>77</v>
      </c>
      <c r="G93" s="32" t="s">
        <v>603</v>
      </c>
      <c r="H93" s="32" t="s">
        <v>7179</v>
      </c>
      <c r="I93" s="32" t="s">
        <v>7497</v>
      </c>
      <c r="J93" s="32"/>
      <c r="K93" s="33" t="s">
        <v>7211</v>
      </c>
      <c r="L93" s="32" t="s">
        <v>7387</v>
      </c>
      <c r="M93" t="s">
        <v>7165</v>
      </c>
      <c r="N93" t="s">
        <v>7165</v>
      </c>
      <c r="O93" t="s">
        <v>7463</v>
      </c>
    </row>
    <row r="94" spans="1:15" x14ac:dyDescent="0.2">
      <c r="A94" s="27" t="s">
        <v>5274</v>
      </c>
      <c r="B94" s="2" t="s">
        <v>5275</v>
      </c>
      <c r="C94" s="2" t="s">
        <v>68</v>
      </c>
      <c r="D94" s="2" t="s">
        <v>5278</v>
      </c>
      <c r="E94" s="2" t="s">
        <v>5273</v>
      </c>
      <c r="F94" s="2" t="s">
        <v>77</v>
      </c>
      <c r="G94" s="32" t="s">
        <v>3210</v>
      </c>
      <c r="H94" s="32" t="s">
        <v>7245</v>
      </c>
      <c r="I94" s="32" t="s">
        <v>7510</v>
      </c>
      <c r="J94" s="32"/>
      <c r="K94" s="33" t="s">
        <v>7220</v>
      </c>
      <c r="L94" s="32" t="s">
        <v>7383</v>
      </c>
      <c r="M94" t="s">
        <v>7165</v>
      </c>
      <c r="N94" t="s">
        <v>7165</v>
      </c>
      <c r="O94" t="s">
        <v>7354</v>
      </c>
    </row>
    <row r="95" spans="1:15" x14ac:dyDescent="0.2">
      <c r="A95" s="27" t="s">
        <v>4293</v>
      </c>
      <c r="B95" s="2" t="s">
        <v>4295</v>
      </c>
      <c r="C95" s="2" t="s">
        <v>68</v>
      </c>
      <c r="D95" s="2" t="s">
        <v>4298</v>
      </c>
      <c r="E95" s="2" t="s">
        <v>4292</v>
      </c>
      <c r="F95" s="2" t="s">
        <v>77</v>
      </c>
      <c r="G95" s="32" t="s">
        <v>603</v>
      </c>
      <c r="H95" s="32" t="s">
        <v>7179</v>
      </c>
      <c r="I95" s="32" t="s">
        <v>7497</v>
      </c>
      <c r="J95" s="32"/>
      <c r="K95" s="33" t="s">
        <v>7220</v>
      </c>
      <c r="L95" s="32" t="s">
        <v>7383</v>
      </c>
      <c r="M95" t="s">
        <v>7167</v>
      </c>
      <c r="N95" t="s">
        <v>7167</v>
      </c>
      <c r="O95" t="s">
        <v>7354</v>
      </c>
    </row>
    <row r="96" spans="1:15" x14ac:dyDescent="0.2">
      <c r="A96" s="27" t="s">
        <v>3119</v>
      </c>
      <c r="B96" s="2" t="s">
        <v>3120</v>
      </c>
      <c r="C96" s="2" t="s">
        <v>68</v>
      </c>
      <c r="D96" s="2" t="s">
        <v>3123</v>
      </c>
      <c r="E96" s="2" t="s">
        <v>3118</v>
      </c>
      <c r="F96" s="2" t="s">
        <v>77</v>
      </c>
      <c r="G96" s="32" t="s">
        <v>183</v>
      </c>
      <c r="H96" s="32" t="s">
        <v>7286</v>
      </c>
      <c r="I96" s="32" t="s">
        <v>7500</v>
      </c>
      <c r="J96" s="32"/>
      <c r="K96" s="33" t="s">
        <v>7210</v>
      </c>
      <c r="L96" s="32" t="s">
        <v>7382</v>
      </c>
      <c r="M96" t="s">
        <v>7165</v>
      </c>
      <c r="N96" t="s">
        <v>7165</v>
      </c>
      <c r="O96" t="s">
        <v>7462</v>
      </c>
    </row>
    <row r="97" spans="1:15" x14ac:dyDescent="0.2">
      <c r="A97" s="27" t="s">
        <v>3887</v>
      </c>
      <c r="B97" s="2" t="s">
        <v>3889</v>
      </c>
      <c r="C97" s="2" t="s">
        <v>68</v>
      </c>
      <c r="D97" s="2" t="s">
        <v>3892</v>
      </c>
      <c r="E97" s="2" t="s">
        <v>3886</v>
      </c>
      <c r="F97" s="2" t="s">
        <v>77</v>
      </c>
      <c r="G97" s="32" t="s">
        <v>3194</v>
      </c>
      <c r="H97" s="32" t="s">
        <v>7232</v>
      </c>
      <c r="I97" s="32" t="s">
        <v>7497</v>
      </c>
      <c r="J97" s="32"/>
      <c r="K97" s="33" t="s">
        <v>7197</v>
      </c>
      <c r="L97" s="32" t="s">
        <v>7378</v>
      </c>
      <c r="M97" t="s">
        <v>7165</v>
      </c>
      <c r="N97" t="s">
        <v>7165</v>
      </c>
      <c r="O97" t="s">
        <v>7357</v>
      </c>
    </row>
    <row r="98" spans="1:15" x14ac:dyDescent="0.2">
      <c r="A98" s="27" t="s">
        <v>1244</v>
      </c>
      <c r="B98" s="2" t="s">
        <v>1245</v>
      </c>
      <c r="C98" s="2" t="s">
        <v>68</v>
      </c>
      <c r="D98" s="2" t="s">
        <v>1248</v>
      </c>
      <c r="E98" s="2" t="s">
        <v>1242</v>
      </c>
      <c r="F98" s="2" t="s">
        <v>77</v>
      </c>
      <c r="G98" s="32" t="s">
        <v>603</v>
      </c>
      <c r="H98" s="32" t="s">
        <v>7179</v>
      </c>
      <c r="I98" s="32" t="s">
        <v>7497</v>
      </c>
      <c r="J98" s="32"/>
      <c r="K98" s="33" t="s">
        <v>7339</v>
      </c>
      <c r="L98" s="32" t="s">
        <v>7398</v>
      </c>
      <c r="M98" t="s">
        <v>7165</v>
      </c>
      <c r="N98" t="s">
        <v>7165</v>
      </c>
      <c r="O98" t="s">
        <v>7356</v>
      </c>
    </row>
    <row r="99" spans="1:15" x14ac:dyDescent="0.2">
      <c r="A99" s="27" t="s">
        <v>5117</v>
      </c>
      <c r="B99" s="2" t="s">
        <v>5121</v>
      </c>
      <c r="C99" s="2" t="s">
        <v>68</v>
      </c>
      <c r="D99" s="2" t="s">
        <v>5124</v>
      </c>
      <c r="E99" s="2" t="s">
        <v>5115</v>
      </c>
      <c r="F99" s="2" t="s">
        <v>77</v>
      </c>
      <c r="G99" s="32" t="s">
        <v>5118</v>
      </c>
      <c r="H99" s="32" t="s">
        <v>7288</v>
      </c>
      <c r="I99" s="32" t="s">
        <v>7513</v>
      </c>
      <c r="J99" s="32"/>
      <c r="K99" s="33" t="s">
        <v>7347</v>
      </c>
      <c r="L99" s="32" t="s">
        <v>7402</v>
      </c>
      <c r="M99" t="s">
        <v>7165</v>
      </c>
      <c r="N99" t="s">
        <v>7165</v>
      </c>
      <c r="O99" t="s">
        <v>7360</v>
      </c>
    </row>
    <row r="100" spans="1:15" x14ac:dyDescent="0.2">
      <c r="A100" s="27" t="s">
        <v>5194</v>
      </c>
      <c r="B100" s="2" t="s">
        <v>5195</v>
      </c>
      <c r="C100" s="2" t="s">
        <v>68</v>
      </c>
      <c r="D100" s="2" t="s">
        <v>5198</v>
      </c>
      <c r="E100" s="2" t="s">
        <v>5193</v>
      </c>
      <c r="F100" s="2" t="s">
        <v>77</v>
      </c>
      <c r="G100" s="32" t="s">
        <v>183</v>
      </c>
      <c r="H100" s="32" t="s">
        <v>7286</v>
      </c>
      <c r="I100" s="32" t="s">
        <v>7500</v>
      </c>
      <c r="J100" s="32"/>
      <c r="K100" s="33" t="s">
        <v>7327</v>
      </c>
      <c r="L100" s="32" t="s">
        <v>7385</v>
      </c>
      <c r="M100" t="s">
        <v>7165</v>
      </c>
      <c r="N100" t="s">
        <v>7165</v>
      </c>
      <c r="O100" t="s">
        <v>7353</v>
      </c>
    </row>
    <row r="101" spans="1:15" x14ac:dyDescent="0.2">
      <c r="A101" s="27" t="s">
        <v>3407</v>
      </c>
      <c r="B101" s="2" t="s">
        <v>3408</v>
      </c>
      <c r="C101" s="2" t="s">
        <v>68</v>
      </c>
      <c r="D101" s="2" t="s">
        <v>3411</v>
      </c>
      <c r="E101" s="2" t="s">
        <v>3406</v>
      </c>
      <c r="F101" s="2" t="s">
        <v>77</v>
      </c>
      <c r="G101" s="32" t="s">
        <v>183</v>
      </c>
      <c r="H101" s="32" t="s">
        <v>7286</v>
      </c>
      <c r="I101" s="32" t="s">
        <v>7500</v>
      </c>
      <c r="J101" s="32"/>
      <c r="K101" s="33" t="s">
        <v>7210</v>
      </c>
      <c r="L101" s="32" t="s">
        <v>7382</v>
      </c>
      <c r="M101" t="s">
        <v>7165</v>
      </c>
      <c r="N101" t="s">
        <v>7165</v>
      </c>
      <c r="O101" t="s">
        <v>7462</v>
      </c>
    </row>
    <row r="102" spans="1:15" x14ac:dyDescent="0.2">
      <c r="A102" s="27" t="s">
        <v>2549</v>
      </c>
      <c r="B102" s="2" t="s">
        <v>2550</v>
      </c>
      <c r="C102" s="2" t="s">
        <v>68</v>
      </c>
      <c r="D102" s="2" t="s">
        <v>2553</v>
      </c>
      <c r="E102" s="2" t="s">
        <v>2547</v>
      </c>
      <c r="F102" s="2" t="s">
        <v>77</v>
      </c>
      <c r="G102" s="32" t="s">
        <v>603</v>
      </c>
      <c r="H102" s="32" t="s">
        <v>7179</v>
      </c>
      <c r="I102" s="32" t="s">
        <v>7497</v>
      </c>
      <c r="J102" s="32"/>
      <c r="K102" s="33" t="s">
        <v>7211</v>
      </c>
      <c r="L102" s="32" t="s">
        <v>7387</v>
      </c>
      <c r="M102" t="s">
        <v>7165</v>
      </c>
      <c r="N102" t="s">
        <v>7165</v>
      </c>
      <c r="O102" t="s">
        <v>7463</v>
      </c>
    </row>
    <row r="103" spans="1:15" x14ac:dyDescent="0.2">
      <c r="A103" s="27" t="s">
        <v>6721</v>
      </c>
      <c r="B103" s="2" t="s">
        <v>6722</v>
      </c>
      <c r="C103" s="2" t="s">
        <v>68</v>
      </c>
      <c r="D103" s="2" t="s">
        <v>6725</v>
      </c>
      <c r="E103" s="2" t="s">
        <v>6720</v>
      </c>
      <c r="F103" s="2" t="s">
        <v>77</v>
      </c>
      <c r="G103" s="32" t="s">
        <v>183</v>
      </c>
      <c r="H103" s="32" t="s">
        <v>7286</v>
      </c>
      <c r="I103" s="32" t="s">
        <v>7500</v>
      </c>
      <c r="J103" s="32"/>
      <c r="K103" s="33" t="s">
        <v>7210</v>
      </c>
      <c r="L103" s="32" t="s">
        <v>7382</v>
      </c>
      <c r="M103" t="s">
        <v>7165</v>
      </c>
      <c r="N103" t="s">
        <v>7165</v>
      </c>
      <c r="O103" t="s">
        <v>7462</v>
      </c>
    </row>
    <row r="104" spans="1:15" x14ac:dyDescent="0.2">
      <c r="A104" s="27" t="s">
        <v>5307</v>
      </c>
      <c r="B104" s="2" t="s">
        <v>5310</v>
      </c>
      <c r="C104" s="2" t="s">
        <v>68</v>
      </c>
      <c r="D104" s="2" t="s">
        <v>5312</v>
      </c>
      <c r="E104" s="2" t="s">
        <v>5305</v>
      </c>
      <c r="F104" s="2" t="s">
        <v>77</v>
      </c>
      <c r="G104" s="32" t="s">
        <v>5217</v>
      </c>
      <c r="H104" s="32" t="s">
        <v>7253</v>
      </c>
      <c r="I104" s="32" t="s">
        <v>7504</v>
      </c>
      <c r="J104" s="32"/>
      <c r="K104" s="33" t="s">
        <v>7327</v>
      </c>
      <c r="L104" s="32" t="s">
        <v>7385</v>
      </c>
      <c r="M104" t="s">
        <v>7165</v>
      </c>
      <c r="N104" t="s">
        <v>7165</v>
      </c>
      <c r="O104" t="s">
        <v>7353</v>
      </c>
    </row>
    <row r="105" spans="1:15" x14ac:dyDescent="0.2">
      <c r="A105" s="27" t="s">
        <v>2420</v>
      </c>
      <c r="B105" s="2" t="s">
        <v>2423</v>
      </c>
      <c r="C105" s="2" t="s">
        <v>68</v>
      </c>
      <c r="D105" s="2" t="s">
        <v>2426</v>
      </c>
      <c r="E105" s="2" t="s">
        <v>2418</v>
      </c>
      <c r="F105" s="2" t="s">
        <v>77</v>
      </c>
      <c r="G105" s="32" t="s">
        <v>603</v>
      </c>
      <c r="H105" s="32" t="s">
        <v>7179</v>
      </c>
      <c r="I105" s="32" t="s">
        <v>7497</v>
      </c>
      <c r="J105" s="32"/>
      <c r="K105" s="33" t="s">
        <v>7328</v>
      </c>
      <c r="L105" s="32" t="s">
        <v>7419</v>
      </c>
      <c r="M105" t="s">
        <v>7165</v>
      </c>
      <c r="N105" t="s">
        <v>7165</v>
      </c>
      <c r="O105" t="s">
        <v>7356</v>
      </c>
    </row>
    <row r="106" spans="1:15" x14ac:dyDescent="0.2">
      <c r="A106" s="27" t="s">
        <v>6837</v>
      </c>
      <c r="B106" s="2" t="s">
        <v>6839</v>
      </c>
      <c r="C106" s="2" t="s">
        <v>68</v>
      </c>
      <c r="D106" s="2" t="s">
        <v>6842</v>
      </c>
      <c r="E106" s="2" t="s">
        <v>6836</v>
      </c>
      <c r="F106" s="2" t="s">
        <v>77</v>
      </c>
      <c r="G106" s="32" t="s">
        <v>183</v>
      </c>
      <c r="H106" s="32" t="s">
        <v>7286</v>
      </c>
      <c r="I106" s="32" t="s">
        <v>7500</v>
      </c>
      <c r="J106" s="32"/>
      <c r="K106" s="33" t="s">
        <v>7305</v>
      </c>
      <c r="L106" s="32" t="s">
        <v>7384</v>
      </c>
      <c r="M106" t="s">
        <v>7172</v>
      </c>
      <c r="N106" t="s">
        <v>7165</v>
      </c>
      <c r="O106" t="s">
        <v>7462</v>
      </c>
    </row>
    <row r="107" spans="1:15" x14ac:dyDescent="0.2">
      <c r="A107" s="27" t="s">
        <v>6934</v>
      </c>
      <c r="B107" s="2" t="s">
        <v>6935</v>
      </c>
      <c r="C107" s="2" t="s">
        <v>68</v>
      </c>
      <c r="D107" s="2" t="s">
        <v>6938</v>
      </c>
      <c r="E107" s="2" t="s">
        <v>6933</v>
      </c>
      <c r="F107" s="2" t="s">
        <v>77</v>
      </c>
      <c r="G107" s="32" t="s">
        <v>6764</v>
      </c>
      <c r="H107" s="32" t="s">
        <v>7154</v>
      </c>
      <c r="I107" s="32" t="s">
        <v>7508</v>
      </c>
      <c r="J107" s="32"/>
      <c r="K107" s="33" t="s">
        <v>7327</v>
      </c>
      <c r="L107" s="32" t="s">
        <v>7385</v>
      </c>
      <c r="M107" t="s">
        <v>60</v>
      </c>
      <c r="N107" t="s">
        <v>60</v>
      </c>
      <c r="O107" t="s">
        <v>7353</v>
      </c>
    </row>
    <row r="108" spans="1:15" x14ac:dyDescent="0.2">
      <c r="A108" s="27" t="s">
        <v>3192</v>
      </c>
      <c r="B108" s="2" t="s">
        <v>3197</v>
      </c>
      <c r="C108" s="2" t="s">
        <v>68</v>
      </c>
      <c r="D108" s="2" t="s">
        <v>3200</v>
      </c>
      <c r="E108" s="2" t="s">
        <v>3190</v>
      </c>
      <c r="F108" s="2" t="s">
        <v>77</v>
      </c>
      <c r="G108" s="32" t="s">
        <v>3194</v>
      </c>
      <c r="H108" s="32" t="s">
        <v>7232</v>
      </c>
      <c r="I108" s="32" t="s">
        <v>7497</v>
      </c>
      <c r="J108" s="32"/>
      <c r="K108" s="33" t="s">
        <v>7197</v>
      </c>
      <c r="L108" s="32" t="s">
        <v>7378</v>
      </c>
      <c r="M108" t="s">
        <v>7165</v>
      </c>
      <c r="N108" t="s">
        <v>7165</v>
      </c>
      <c r="O108" t="s">
        <v>7357</v>
      </c>
    </row>
    <row r="109" spans="1:15" x14ac:dyDescent="0.2">
      <c r="A109" s="27" t="s">
        <v>328</v>
      </c>
      <c r="B109" s="2" t="s">
        <v>329</v>
      </c>
      <c r="C109" s="2" t="s">
        <v>68</v>
      </c>
      <c r="D109" s="2" t="s">
        <v>332</v>
      </c>
      <c r="E109" s="2" t="s">
        <v>327</v>
      </c>
      <c r="F109" s="2" t="s">
        <v>77</v>
      </c>
      <c r="G109" s="32" t="s">
        <v>311</v>
      </c>
      <c r="H109" s="32" t="s">
        <v>7256</v>
      </c>
      <c r="I109" s="32" t="s">
        <v>7510</v>
      </c>
      <c r="J109" s="32"/>
      <c r="K109" s="33" t="s">
        <v>7345</v>
      </c>
      <c r="L109" s="32" t="s">
        <v>7411</v>
      </c>
      <c r="M109" t="s">
        <v>7167</v>
      </c>
      <c r="N109" t="s">
        <v>7167</v>
      </c>
      <c r="O109" t="s">
        <v>7355</v>
      </c>
    </row>
    <row r="110" spans="1:15" x14ac:dyDescent="0.2">
      <c r="A110" s="27" t="s">
        <v>4400</v>
      </c>
      <c r="B110" s="2" t="s">
        <v>4401</v>
      </c>
      <c r="C110" s="2" t="s">
        <v>68</v>
      </c>
      <c r="D110" s="2" t="s">
        <v>4404</v>
      </c>
      <c r="E110" s="2" t="s">
        <v>4398</v>
      </c>
      <c r="F110" s="2" t="s">
        <v>77</v>
      </c>
      <c r="G110" s="32" t="s">
        <v>603</v>
      </c>
      <c r="H110" s="32" t="s">
        <v>7179</v>
      </c>
      <c r="I110" s="32" t="s">
        <v>7497</v>
      </c>
      <c r="J110" s="32"/>
      <c r="K110" s="33" t="s">
        <v>7211</v>
      </c>
      <c r="L110" s="32" t="s">
        <v>7387</v>
      </c>
      <c r="M110" t="s">
        <v>7165</v>
      </c>
      <c r="N110" t="s">
        <v>7165</v>
      </c>
      <c r="O110" t="s">
        <v>7463</v>
      </c>
    </row>
    <row r="111" spans="1:15" x14ac:dyDescent="0.2">
      <c r="A111" s="27" t="s">
        <v>4257</v>
      </c>
      <c r="B111" s="2" t="s">
        <v>4262</v>
      </c>
      <c r="C111" s="2" t="s">
        <v>68</v>
      </c>
      <c r="D111" s="2" t="s">
        <v>4265</v>
      </c>
      <c r="E111" s="2" t="s">
        <v>4255</v>
      </c>
      <c r="F111" s="2" t="s">
        <v>77</v>
      </c>
      <c r="G111" s="32" t="s">
        <v>603</v>
      </c>
      <c r="H111" s="32" t="s">
        <v>7179</v>
      </c>
      <c r="I111" s="32" t="s">
        <v>7497</v>
      </c>
      <c r="J111" s="32"/>
      <c r="K111" s="33" t="s">
        <v>7321</v>
      </c>
      <c r="L111" s="32" t="s">
        <v>7416</v>
      </c>
      <c r="M111" t="s">
        <v>7165</v>
      </c>
      <c r="N111" t="s">
        <v>7165</v>
      </c>
      <c r="O111" t="s">
        <v>7468</v>
      </c>
    </row>
    <row r="112" spans="1:15" x14ac:dyDescent="0.2">
      <c r="A112" s="27" t="s">
        <v>2721</v>
      </c>
      <c r="B112" s="2" t="s">
        <v>2722</v>
      </c>
      <c r="C112" s="2" t="s">
        <v>68</v>
      </c>
      <c r="D112" s="2" t="s">
        <v>2725</v>
      </c>
      <c r="E112" s="2" t="s">
        <v>2720</v>
      </c>
      <c r="F112" s="2" t="s">
        <v>77</v>
      </c>
      <c r="G112" s="32" t="s">
        <v>603</v>
      </c>
      <c r="H112" s="32" t="s">
        <v>7179</v>
      </c>
      <c r="I112" s="32" t="s">
        <v>7497</v>
      </c>
      <c r="J112" s="32"/>
      <c r="K112" s="33" t="s">
        <v>7340</v>
      </c>
      <c r="L112" s="32" t="s">
        <v>7395</v>
      </c>
      <c r="M112" t="s">
        <v>7165</v>
      </c>
      <c r="N112" t="s">
        <v>7165</v>
      </c>
      <c r="O112" t="s">
        <v>7465</v>
      </c>
    </row>
    <row r="113" spans="1:15" x14ac:dyDescent="0.2">
      <c r="A113" s="34" t="s">
        <v>6061</v>
      </c>
      <c r="B113" s="2" t="s">
        <v>6064</v>
      </c>
      <c r="C113" s="2" t="s">
        <v>68</v>
      </c>
      <c r="D113" s="2" t="s">
        <v>6067</v>
      </c>
      <c r="E113" s="2" t="s">
        <v>6058</v>
      </c>
      <c r="F113" s="2" t="s">
        <v>77</v>
      </c>
      <c r="G113" s="32" t="s">
        <v>4039</v>
      </c>
      <c r="H113" s="32" t="s">
        <v>7285</v>
      </c>
      <c r="I113" s="32" t="s">
        <v>7514</v>
      </c>
      <c r="J113" s="32"/>
      <c r="K113" s="33" t="s">
        <v>7198</v>
      </c>
      <c r="L113" s="32" t="s">
        <v>7412</v>
      </c>
      <c r="M113" t="s">
        <v>7172</v>
      </c>
      <c r="N113" t="s">
        <v>7165</v>
      </c>
      <c r="O113" t="s">
        <v>7362</v>
      </c>
    </row>
    <row r="114" spans="1:15" x14ac:dyDescent="0.2">
      <c r="A114" s="27" t="s">
        <v>6923</v>
      </c>
      <c r="B114" s="2" t="s">
        <v>6924</v>
      </c>
      <c r="C114" s="2" t="s">
        <v>68</v>
      </c>
      <c r="D114" s="2" t="s">
        <v>6927</v>
      </c>
      <c r="E114" s="2" t="s">
        <v>6922</v>
      </c>
      <c r="F114" s="2" t="s">
        <v>77</v>
      </c>
      <c r="G114" s="32" t="s">
        <v>6764</v>
      </c>
      <c r="H114" s="32" t="s">
        <v>7154</v>
      </c>
      <c r="I114" s="32" t="s">
        <v>7508</v>
      </c>
      <c r="J114" s="32"/>
      <c r="K114" s="33" t="s">
        <v>7327</v>
      </c>
      <c r="L114" s="32" t="s">
        <v>7385</v>
      </c>
      <c r="M114" t="s">
        <v>60</v>
      </c>
      <c r="N114" t="s">
        <v>60</v>
      </c>
      <c r="O114" t="s">
        <v>7353</v>
      </c>
    </row>
    <row r="115" spans="1:15" x14ac:dyDescent="0.2">
      <c r="A115" s="27" t="s">
        <v>3068</v>
      </c>
      <c r="B115" s="2" t="s">
        <v>3069</v>
      </c>
      <c r="C115" s="2" t="s">
        <v>68</v>
      </c>
      <c r="D115" s="2" t="s">
        <v>3072</v>
      </c>
      <c r="E115" s="2" t="s">
        <v>3067</v>
      </c>
      <c r="F115" s="2" t="s">
        <v>77</v>
      </c>
      <c r="G115" s="32" t="s">
        <v>353</v>
      </c>
      <c r="H115" s="32" t="s">
        <v>7288</v>
      </c>
      <c r="I115" s="32" t="s">
        <v>7498</v>
      </c>
      <c r="J115" s="32"/>
      <c r="K115" s="33" t="s">
        <v>7198</v>
      </c>
      <c r="L115" s="32" t="s">
        <v>7412</v>
      </c>
      <c r="M115" t="s">
        <v>7172</v>
      </c>
      <c r="N115" t="s">
        <v>7165</v>
      </c>
      <c r="O115" t="s">
        <v>7362</v>
      </c>
    </row>
    <row r="116" spans="1:15" x14ac:dyDescent="0.2">
      <c r="A116" s="27" t="s">
        <v>1352</v>
      </c>
      <c r="B116" s="2" t="s">
        <v>1353</v>
      </c>
      <c r="C116" s="2" t="s">
        <v>68</v>
      </c>
      <c r="D116" s="2" t="s">
        <v>1355</v>
      </c>
      <c r="E116" s="2" t="s">
        <v>1350</v>
      </c>
      <c r="F116" s="2" t="s">
        <v>77</v>
      </c>
      <c r="G116" s="32" t="s">
        <v>603</v>
      </c>
      <c r="H116" s="32" t="s">
        <v>7179</v>
      </c>
      <c r="I116" s="32" t="s">
        <v>7497</v>
      </c>
      <c r="J116" s="32"/>
      <c r="K116" s="33" t="s">
        <v>7194</v>
      </c>
      <c r="L116" s="32" t="s">
        <v>7390</v>
      </c>
      <c r="M116" t="s">
        <v>7165</v>
      </c>
      <c r="N116" t="s">
        <v>7165</v>
      </c>
      <c r="O116" t="s">
        <v>7464</v>
      </c>
    </row>
    <row r="117" spans="1:15" x14ac:dyDescent="0.2">
      <c r="A117" s="27" t="s">
        <v>4273</v>
      </c>
      <c r="B117" s="2" t="s">
        <v>4275</v>
      </c>
      <c r="C117" s="2" t="s">
        <v>68</v>
      </c>
      <c r="D117" s="2" t="s">
        <v>4278</v>
      </c>
      <c r="E117" s="2" t="s">
        <v>4271</v>
      </c>
      <c r="F117" s="2" t="s">
        <v>77</v>
      </c>
      <c r="G117" s="32" t="s">
        <v>603</v>
      </c>
      <c r="H117" s="32" t="s">
        <v>7179</v>
      </c>
      <c r="I117" s="32" t="s">
        <v>7497</v>
      </c>
      <c r="J117" s="32"/>
      <c r="K117" s="33" t="s">
        <v>7220</v>
      </c>
      <c r="L117" s="32" t="s">
        <v>7383</v>
      </c>
      <c r="M117" t="s">
        <v>7167</v>
      </c>
      <c r="N117" t="s">
        <v>7167</v>
      </c>
      <c r="O117" t="s">
        <v>7354</v>
      </c>
    </row>
    <row r="118" spans="1:15" x14ac:dyDescent="0.2">
      <c r="A118" s="34" t="s">
        <v>6077</v>
      </c>
      <c r="B118" s="2" t="s">
        <v>6078</v>
      </c>
      <c r="C118" s="2" t="s">
        <v>68</v>
      </c>
      <c r="D118" s="2" t="s">
        <v>6081</v>
      </c>
      <c r="E118" s="2" t="s">
        <v>6074</v>
      </c>
      <c r="F118" s="2" t="s">
        <v>77</v>
      </c>
      <c r="G118" s="32" t="s">
        <v>353</v>
      </c>
      <c r="H118" s="32" t="s">
        <v>7288</v>
      </c>
      <c r="I118" s="32" t="s">
        <v>7498</v>
      </c>
      <c r="J118" s="32"/>
      <c r="K118" s="33" t="s">
        <v>7198</v>
      </c>
      <c r="L118" s="32" t="s">
        <v>7412</v>
      </c>
      <c r="M118" t="s">
        <v>7172</v>
      </c>
      <c r="N118" t="s">
        <v>7165</v>
      </c>
      <c r="O118" t="s">
        <v>7362</v>
      </c>
    </row>
    <row r="119" spans="1:15" x14ac:dyDescent="0.2">
      <c r="A119" s="27" t="s">
        <v>2745</v>
      </c>
      <c r="B119" s="2" t="s">
        <v>2747</v>
      </c>
      <c r="C119" s="2" t="s">
        <v>68</v>
      </c>
      <c r="D119" s="2" t="s">
        <v>2750</v>
      </c>
      <c r="E119" s="2" t="s">
        <v>2743</v>
      </c>
      <c r="F119" s="2" t="s">
        <v>77</v>
      </c>
      <c r="G119" s="32" t="s">
        <v>603</v>
      </c>
      <c r="H119" s="32" t="s">
        <v>7179</v>
      </c>
      <c r="I119" s="32" t="s">
        <v>7497</v>
      </c>
      <c r="J119" s="32"/>
      <c r="K119" s="33" t="s">
        <v>7340</v>
      </c>
      <c r="L119" s="32" t="s">
        <v>7395</v>
      </c>
      <c r="M119" t="s">
        <v>7165</v>
      </c>
      <c r="N119" t="s">
        <v>7165</v>
      </c>
      <c r="O119" t="s">
        <v>7465</v>
      </c>
    </row>
    <row r="120" spans="1:15" x14ac:dyDescent="0.2">
      <c r="A120" s="27" t="s">
        <v>2358</v>
      </c>
      <c r="B120" s="2" t="s">
        <v>2360</v>
      </c>
      <c r="C120" s="2" t="s">
        <v>68</v>
      </c>
      <c r="D120" s="2" t="s">
        <v>2363</v>
      </c>
      <c r="E120" s="2" t="s">
        <v>2356</v>
      </c>
      <c r="F120" s="2" t="s">
        <v>77</v>
      </c>
      <c r="G120" s="32" t="s">
        <v>603</v>
      </c>
      <c r="H120" s="32" t="s">
        <v>7179</v>
      </c>
      <c r="I120" s="32" t="s">
        <v>7497</v>
      </c>
      <c r="J120" s="32"/>
      <c r="K120" s="33" t="s">
        <v>7329</v>
      </c>
      <c r="L120" s="32" t="s">
        <v>7420</v>
      </c>
      <c r="M120" t="s">
        <v>7170</v>
      </c>
      <c r="N120" t="s">
        <v>7170</v>
      </c>
      <c r="O120" t="s">
        <v>7465</v>
      </c>
    </row>
    <row r="121" spans="1:15" x14ac:dyDescent="0.2">
      <c r="A121" s="27" t="s">
        <v>3259</v>
      </c>
      <c r="B121" s="2" t="s">
        <v>3266</v>
      </c>
      <c r="C121" s="2" t="s">
        <v>68</v>
      </c>
      <c r="D121" s="2" t="s">
        <v>3269</v>
      </c>
      <c r="E121" s="2" t="s">
        <v>3257</v>
      </c>
      <c r="F121" s="2" t="s">
        <v>77</v>
      </c>
      <c r="G121" s="32" t="s">
        <v>3261</v>
      </c>
      <c r="H121" s="32" t="s">
        <v>7235</v>
      </c>
      <c r="I121" s="32" t="s">
        <v>7503</v>
      </c>
      <c r="J121" s="32"/>
      <c r="K121" s="33" t="s">
        <v>7212</v>
      </c>
      <c r="L121" s="32" t="s">
        <v>7413</v>
      </c>
      <c r="M121" t="s">
        <v>7165</v>
      </c>
      <c r="N121" t="s">
        <v>7165</v>
      </c>
      <c r="O121" t="s">
        <v>7467</v>
      </c>
    </row>
    <row r="122" spans="1:15" x14ac:dyDescent="0.2">
      <c r="A122" s="27" t="s">
        <v>3502</v>
      </c>
      <c r="B122" s="2" t="s">
        <v>3503</v>
      </c>
      <c r="C122" s="2" t="s">
        <v>68</v>
      </c>
      <c r="D122" s="2" t="s">
        <v>3506</v>
      </c>
      <c r="E122" s="2" t="s">
        <v>3501</v>
      </c>
      <c r="F122" s="2" t="s">
        <v>77</v>
      </c>
      <c r="G122" s="32" t="s">
        <v>183</v>
      </c>
      <c r="H122" s="32" t="s">
        <v>7286</v>
      </c>
      <c r="I122" s="32" t="s">
        <v>7500</v>
      </c>
      <c r="J122" s="32"/>
      <c r="K122" s="33" t="s">
        <v>7210</v>
      </c>
      <c r="L122" s="32" t="s">
        <v>7382</v>
      </c>
      <c r="M122" t="s">
        <v>7165</v>
      </c>
      <c r="N122" t="s">
        <v>7165</v>
      </c>
      <c r="O122" t="s">
        <v>7462</v>
      </c>
    </row>
    <row r="123" spans="1:15" x14ac:dyDescent="0.2">
      <c r="A123" s="27" t="s">
        <v>3834</v>
      </c>
      <c r="B123" s="2" t="s">
        <v>3835</v>
      </c>
      <c r="C123" s="2" t="s">
        <v>68</v>
      </c>
      <c r="D123" s="2" t="s">
        <v>3838</v>
      </c>
      <c r="E123" s="2" t="s">
        <v>3833</v>
      </c>
      <c r="F123" s="2" t="s">
        <v>77</v>
      </c>
      <c r="G123" s="32" t="s">
        <v>3702</v>
      </c>
      <c r="H123" s="32" t="s">
        <v>7288</v>
      </c>
      <c r="I123" s="32" t="s">
        <v>7502</v>
      </c>
      <c r="J123" s="32"/>
      <c r="K123" s="33" t="s">
        <v>7197</v>
      </c>
      <c r="L123" s="32" t="s">
        <v>7378</v>
      </c>
      <c r="M123" t="s">
        <v>7165</v>
      </c>
      <c r="N123" t="s">
        <v>7165</v>
      </c>
      <c r="O123" t="s">
        <v>7357</v>
      </c>
    </row>
    <row r="124" spans="1:15" x14ac:dyDescent="0.2">
      <c r="A124" s="27" t="s">
        <v>4173</v>
      </c>
      <c r="B124" s="2" t="s">
        <v>4174</v>
      </c>
      <c r="C124" s="2" t="s">
        <v>68</v>
      </c>
      <c r="D124" s="2" t="s">
        <v>4177</v>
      </c>
      <c r="E124" s="2" t="s">
        <v>4171</v>
      </c>
      <c r="F124" s="2" t="s">
        <v>77</v>
      </c>
      <c r="G124" s="32" t="s">
        <v>603</v>
      </c>
      <c r="H124" s="32" t="s">
        <v>7179</v>
      </c>
      <c r="I124" s="32" t="s">
        <v>7497</v>
      </c>
      <c r="J124" s="32"/>
      <c r="K124" s="33" t="s">
        <v>7220</v>
      </c>
      <c r="L124" s="32" t="s">
        <v>7383</v>
      </c>
      <c r="M124" t="s">
        <v>7165</v>
      </c>
      <c r="N124" t="s">
        <v>7165</v>
      </c>
      <c r="O124" t="s">
        <v>7354</v>
      </c>
    </row>
    <row r="125" spans="1:15" x14ac:dyDescent="0.2">
      <c r="A125" s="27" t="s">
        <v>3208</v>
      </c>
      <c r="B125" s="2" t="s">
        <v>3213</v>
      </c>
      <c r="C125" s="2" t="s">
        <v>68</v>
      </c>
      <c r="D125" s="2" t="s">
        <v>3216</v>
      </c>
      <c r="E125" s="2" t="s">
        <v>3206</v>
      </c>
      <c r="F125" s="2" t="s">
        <v>77</v>
      </c>
      <c r="G125" s="32" t="s">
        <v>3210</v>
      </c>
      <c r="H125" s="32" t="s">
        <v>7245</v>
      </c>
      <c r="I125" s="32" t="s">
        <v>7510</v>
      </c>
      <c r="J125" s="32"/>
      <c r="K125" s="33" t="s">
        <v>7220</v>
      </c>
      <c r="L125" s="32" t="s">
        <v>7383</v>
      </c>
      <c r="M125" t="s">
        <v>7165</v>
      </c>
      <c r="N125" t="s">
        <v>7165</v>
      </c>
      <c r="O125" t="s">
        <v>7354</v>
      </c>
    </row>
    <row r="126" spans="1:15" x14ac:dyDescent="0.2">
      <c r="A126" s="27" t="s">
        <v>2920</v>
      </c>
      <c r="B126" s="2" t="s">
        <v>2921</v>
      </c>
      <c r="C126" s="2" t="s">
        <v>68</v>
      </c>
      <c r="D126" s="2" t="s">
        <v>2924</v>
      </c>
      <c r="E126" s="2" t="s">
        <v>2919</v>
      </c>
      <c r="F126" s="2" t="s">
        <v>77</v>
      </c>
      <c r="G126" s="32" t="s">
        <v>603</v>
      </c>
      <c r="H126" s="32" t="s">
        <v>7179</v>
      </c>
      <c r="I126" s="32" t="s">
        <v>7497</v>
      </c>
      <c r="J126" s="32"/>
      <c r="K126" s="33" t="s">
        <v>7211</v>
      </c>
      <c r="L126" s="32" t="s">
        <v>7387</v>
      </c>
      <c r="M126" t="s">
        <v>7165</v>
      </c>
      <c r="N126" t="s">
        <v>7165</v>
      </c>
      <c r="O126" t="s">
        <v>7463</v>
      </c>
    </row>
    <row r="127" spans="1:15" x14ac:dyDescent="0.2">
      <c r="A127" s="27" t="s">
        <v>3089</v>
      </c>
      <c r="B127" s="2" t="s">
        <v>3094</v>
      </c>
      <c r="C127" s="2" t="s">
        <v>68</v>
      </c>
      <c r="D127" s="2" t="s">
        <v>3097</v>
      </c>
      <c r="E127" s="2" t="s">
        <v>3087</v>
      </c>
      <c r="F127" s="2" t="s">
        <v>77</v>
      </c>
      <c r="G127" s="32" t="s">
        <v>465</v>
      </c>
      <c r="H127" s="32" t="s">
        <v>7278</v>
      </c>
      <c r="I127" s="32" t="s">
        <v>7502</v>
      </c>
      <c r="J127" s="32"/>
      <c r="K127" s="33" t="s">
        <v>7206</v>
      </c>
      <c r="L127" s="32" t="s">
        <v>7421</v>
      </c>
      <c r="M127" t="s">
        <v>7165</v>
      </c>
      <c r="N127" t="s">
        <v>7165</v>
      </c>
      <c r="O127" t="s">
        <v>7462</v>
      </c>
    </row>
    <row r="128" spans="1:15" x14ac:dyDescent="0.2">
      <c r="A128" s="27" t="s">
        <v>6257</v>
      </c>
      <c r="B128" s="2" t="s">
        <v>6260</v>
      </c>
      <c r="C128" s="2" t="s">
        <v>68</v>
      </c>
      <c r="D128" s="2" t="s">
        <v>6263</v>
      </c>
      <c r="E128" s="2" t="s">
        <v>6256</v>
      </c>
      <c r="F128" s="2" t="s">
        <v>77</v>
      </c>
      <c r="G128" s="32" t="s">
        <v>3647</v>
      </c>
      <c r="H128" s="32" t="s">
        <v>7288</v>
      </c>
      <c r="I128" s="32" t="s">
        <v>7496</v>
      </c>
      <c r="J128" s="32"/>
      <c r="K128" s="33" t="s">
        <v>7312</v>
      </c>
      <c r="L128" s="32" t="s">
        <v>7388</v>
      </c>
      <c r="M128" t="s">
        <v>7165</v>
      </c>
      <c r="N128" t="s">
        <v>7165</v>
      </c>
      <c r="O128" t="s">
        <v>7356</v>
      </c>
    </row>
    <row r="129" spans="1:15" x14ac:dyDescent="0.2">
      <c r="A129" s="27" t="s">
        <v>5982</v>
      </c>
      <c r="B129" s="2" t="s">
        <v>5986</v>
      </c>
      <c r="C129" s="2" t="s">
        <v>68</v>
      </c>
      <c r="D129" s="2" t="s">
        <v>5989</v>
      </c>
      <c r="E129" s="2" t="s">
        <v>5980</v>
      </c>
      <c r="F129" s="2" t="s">
        <v>77</v>
      </c>
      <c r="G129" s="32" t="s">
        <v>3848</v>
      </c>
      <c r="H129" s="32" t="s">
        <v>7288</v>
      </c>
      <c r="I129" s="32" t="s">
        <v>7505</v>
      </c>
      <c r="J129" s="32"/>
      <c r="K129" s="33" t="s">
        <v>7343</v>
      </c>
      <c r="L129" s="32" t="s">
        <v>7422</v>
      </c>
      <c r="M129" t="s">
        <v>7165</v>
      </c>
      <c r="N129" t="s">
        <v>7165</v>
      </c>
      <c r="O129" t="s">
        <v>7355</v>
      </c>
    </row>
    <row r="130" spans="1:15" x14ac:dyDescent="0.2">
      <c r="A130" s="27" t="s">
        <v>1093</v>
      </c>
      <c r="B130" s="2" t="s">
        <v>1096</v>
      </c>
      <c r="C130" s="2" t="s">
        <v>68</v>
      </c>
      <c r="D130" s="2" t="s">
        <v>1099</v>
      </c>
      <c r="E130" s="2" t="s">
        <v>1091</v>
      </c>
      <c r="F130" s="2" t="s">
        <v>77</v>
      </c>
      <c r="G130" s="32" t="s">
        <v>603</v>
      </c>
      <c r="H130" s="32" t="s">
        <v>7179</v>
      </c>
      <c r="I130" s="32" t="s">
        <v>7497</v>
      </c>
      <c r="J130" s="32"/>
      <c r="K130" s="33" t="s">
        <v>7194</v>
      </c>
      <c r="L130" s="32" t="s">
        <v>7390</v>
      </c>
      <c r="M130" t="s">
        <v>7165</v>
      </c>
      <c r="N130" t="s">
        <v>7165</v>
      </c>
      <c r="O130" t="s">
        <v>7464</v>
      </c>
    </row>
    <row r="131" spans="1:15" x14ac:dyDescent="0.2">
      <c r="A131" s="27" t="s">
        <v>3862</v>
      </c>
      <c r="B131" s="2" t="s">
        <v>3864</v>
      </c>
      <c r="C131" s="2" t="s">
        <v>68</v>
      </c>
      <c r="D131" s="2" t="s">
        <v>3867</v>
      </c>
      <c r="E131" s="2" t="s">
        <v>3860</v>
      </c>
      <c r="F131" s="2" t="s">
        <v>77</v>
      </c>
      <c r="G131" s="32" t="s">
        <v>3863</v>
      </c>
      <c r="H131" s="32" t="s">
        <v>7241</v>
      </c>
      <c r="I131" s="32" t="s">
        <v>7505</v>
      </c>
      <c r="J131" s="32"/>
      <c r="K131" s="33" t="s">
        <v>7195</v>
      </c>
      <c r="L131" s="32" t="s">
        <v>7423</v>
      </c>
      <c r="M131" t="s">
        <v>7165</v>
      </c>
      <c r="N131" t="s">
        <v>7165</v>
      </c>
      <c r="O131" t="s">
        <v>7460</v>
      </c>
    </row>
    <row r="132" spans="1:15" x14ac:dyDescent="0.2">
      <c r="A132" s="27" t="s">
        <v>2864</v>
      </c>
      <c r="B132" s="2" t="s">
        <v>2866</v>
      </c>
      <c r="C132" s="2" t="s">
        <v>68</v>
      </c>
      <c r="D132" s="2" t="s">
        <v>2869</v>
      </c>
      <c r="E132" s="2" t="s">
        <v>2862</v>
      </c>
      <c r="F132" s="2" t="s">
        <v>77</v>
      </c>
      <c r="G132" s="32" t="s">
        <v>603</v>
      </c>
      <c r="H132" s="32" t="s">
        <v>7179</v>
      </c>
      <c r="I132" s="32" t="s">
        <v>7497</v>
      </c>
      <c r="J132" s="32"/>
      <c r="K132" s="33" t="s">
        <v>7194</v>
      </c>
      <c r="L132" s="32" t="s">
        <v>7390</v>
      </c>
      <c r="M132" t="s">
        <v>7165</v>
      </c>
      <c r="N132" t="s">
        <v>7165</v>
      </c>
      <c r="O132" t="s">
        <v>7464</v>
      </c>
    </row>
    <row r="133" spans="1:15" x14ac:dyDescent="0.2">
      <c r="A133" s="27" t="s">
        <v>3446</v>
      </c>
      <c r="B133" s="2" t="s">
        <v>3449</v>
      </c>
      <c r="C133" s="2" t="s">
        <v>68</v>
      </c>
      <c r="D133" s="2" t="s">
        <v>3452</v>
      </c>
      <c r="E133" s="2" t="s">
        <v>3444</v>
      </c>
      <c r="F133" s="2" t="s">
        <v>77</v>
      </c>
      <c r="G133" s="32" t="s">
        <v>3179</v>
      </c>
      <c r="H133" s="32" t="s">
        <v>7288</v>
      </c>
      <c r="I133" s="32" t="s">
        <v>7504</v>
      </c>
      <c r="J133" s="32"/>
      <c r="K133" s="33" t="s">
        <v>7195</v>
      </c>
      <c r="L133" s="32" t="s">
        <v>7423</v>
      </c>
      <c r="M133" t="s">
        <v>7165</v>
      </c>
      <c r="N133" t="s">
        <v>7165</v>
      </c>
      <c r="O133" t="s">
        <v>7460</v>
      </c>
    </row>
    <row r="134" spans="1:15" x14ac:dyDescent="0.2">
      <c r="A134" s="27" t="s">
        <v>1499</v>
      </c>
      <c r="B134" s="2" t="s">
        <v>1500</v>
      </c>
      <c r="C134" s="2" t="s">
        <v>68</v>
      </c>
      <c r="D134" s="2" t="s">
        <v>1503</v>
      </c>
      <c r="E134" s="2" t="s">
        <v>1497</v>
      </c>
      <c r="F134" s="2" t="s">
        <v>77</v>
      </c>
      <c r="G134" s="32" t="s">
        <v>603</v>
      </c>
      <c r="H134" s="32" t="s">
        <v>7179</v>
      </c>
      <c r="I134" s="32" t="s">
        <v>7497</v>
      </c>
      <c r="J134" s="32"/>
      <c r="K134" s="33" t="s">
        <v>7339</v>
      </c>
      <c r="L134" s="32" t="s">
        <v>7398</v>
      </c>
      <c r="M134" t="s">
        <v>7165</v>
      </c>
      <c r="N134" t="s">
        <v>7165</v>
      </c>
      <c r="O134" t="s">
        <v>7356</v>
      </c>
    </row>
    <row r="135" spans="1:15" x14ac:dyDescent="0.2">
      <c r="A135" s="27" t="s">
        <v>5170</v>
      </c>
      <c r="B135" s="2" t="s">
        <v>5171</v>
      </c>
      <c r="C135" s="2" t="s">
        <v>68</v>
      </c>
      <c r="D135" s="2" t="s">
        <v>5174</v>
      </c>
      <c r="E135" s="2" t="s">
        <v>5169</v>
      </c>
      <c r="F135" s="2" t="s">
        <v>77</v>
      </c>
      <c r="G135" s="32" t="s">
        <v>183</v>
      </c>
      <c r="H135" s="32" t="s">
        <v>7286</v>
      </c>
      <c r="I135" s="32" t="s">
        <v>7500</v>
      </c>
      <c r="J135" s="32"/>
      <c r="K135" s="33" t="s">
        <v>7327</v>
      </c>
      <c r="L135" s="32" t="s">
        <v>7385</v>
      </c>
      <c r="M135" t="s">
        <v>7165</v>
      </c>
      <c r="N135" t="s">
        <v>7165</v>
      </c>
      <c r="O135" t="s">
        <v>7353</v>
      </c>
    </row>
    <row r="136" spans="1:15" x14ac:dyDescent="0.2">
      <c r="A136" s="27" t="s">
        <v>181</v>
      </c>
      <c r="B136" s="2" t="s">
        <v>187</v>
      </c>
      <c r="C136" s="2" t="s">
        <v>68</v>
      </c>
      <c r="D136" s="2" t="s">
        <v>190</v>
      </c>
      <c r="E136" s="2" t="s">
        <v>179</v>
      </c>
      <c r="F136" s="2" t="s">
        <v>77</v>
      </c>
      <c r="G136" s="32" t="s">
        <v>183</v>
      </c>
      <c r="H136" s="32" t="s">
        <v>7286</v>
      </c>
      <c r="I136" s="32" t="s">
        <v>7500</v>
      </c>
      <c r="J136" s="32"/>
      <c r="K136" s="33" t="s">
        <v>7210</v>
      </c>
      <c r="L136" s="32" t="s">
        <v>7382</v>
      </c>
      <c r="M136" t="s">
        <v>7165</v>
      </c>
      <c r="N136" t="s">
        <v>7165</v>
      </c>
      <c r="O136" t="s">
        <v>7462</v>
      </c>
    </row>
    <row r="137" spans="1:15" x14ac:dyDescent="0.2">
      <c r="A137" s="27" t="s">
        <v>5057</v>
      </c>
      <c r="B137" s="2" t="s">
        <v>5062</v>
      </c>
      <c r="C137" s="2" t="s">
        <v>68</v>
      </c>
      <c r="D137" s="2" t="s">
        <v>5065</v>
      </c>
      <c r="E137" s="2" t="s">
        <v>5055</v>
      </c>
      <c r="F137" s="2" t="s">
        <v>77</v>
      </c>
      <c r="G137" s="32" t="s">
        <v>5058</v>
      </c>
      <c r="H137" s="32" t="s">
        <v>7158</v>
      </c>
      <c r="I137" s="32" t="s">
        <v>7505</v>
      </c>
      <c r="J137" s="32"/>
      <c r="K137" s="33" t="s">
        <v>7333</v>
      </c>
      <c r="L137" s="32" t="s">
        <v>7402</v>
      </c>
      <c r="M137" t="s">
        <v>7165</v>
      </c>
      <c r="N137" t="s">
        <v>7165</v>
      </c>
      <c r="O137" t="s">
        <v>7360</v>
      </c>
    </row>
    <row r="138" spans="1:15" x14ac:dyDescent="0.2">
      <c r="A138" s="27" t="s">
        <v>5649</v>
      </c>
      <c r="B138" s="2" t="s">
        <v>5653</v>
      </c>
      <c r="C138" s="2" t="s">
        <v>68</v>
      </c>
      <c r="D138" s="2" t="s">
        <v>5656</v>
      </c>
      <c r="E138" s="2" t="s">
        <v>5648</v>
      </c>
      <c r="F138" s="2" t="s">
        <v>77</v>
      </c>
      <c r="G138" s="32" t="s">
        <v>3903</v>
      </c>
      <c r="H138" s="32" t="s">
        <v>7275</v>
      </c>
      <c r="I138" s="32" t="s">
        <v>7515</v>
      </c>
      <c r="J138" s="32"/>
      <c r="K138" s="33" t="s">
        <v>7208</v>
      </c>
      <c r="L138" s="32" t="s">
        <v>7385</v>
      </c>
      <c r="M138" t="s">
        <v>7165</v>
      </c>
      <c r="N138" t="s">
        <v>7165</v>
      </c>
      <c r="O138" t="s">
        <v>7353</v>
      </c>
    </row>
    <row r="139" spans="1:15" x14ac:dyDescent="0.2">
      <c r="A139" s="27" t="s">
        <v>3798</v>
      </c>
      <c r="B139" s="2" t="s">
        <v>3800</v>
      </c>
      <c r="C139" s="2" t="s">
        <v>68</v>
      </c>
      <c r="D139" s="2" t="s">
        <v>3803</v>
      </c>
      <c r="E139" s="2" t="s">
        <v>3796</v>
      </c>
      <c r="F139" s="2" t="s">
        <v>77</v>
      </c>
      <c r="G139" s="32" t="s">
        <v>3392</v>
      </c>
      <c r="H139" s="32" t="s">
        <v>7260</v>
      </c>
      <c r="I139" s="32" t="s">
        <v>7503</v>
      </c>
      <c r="J139" s="32"/>
      <c r="K139" s="33" t="s">
        <v>7228</v>
      </c>
      <c r="L139" s="32" t="s">
        <v>7389</v>
      </c>
      <c r="M139" t="s">
        <v>7165</v>
      </c>
      <c r="N139" t="s">
        <v>7165</v>
      </c>
      <c r="O139" t="s">
        <v>7460</v>
      </c>
    </row>
    <row r="140" spans="1:15" x14ac:dyDescent="0.2">
      <c r="A140" s="27" t="s">
        <v>2758</v>
      </c>
      <c r="B140" s="2" t="s">
        <v>2759</v>
      </c>
      <c r="C140" s="2" t="s">
        <v>68</v>
      </c>
      <c r="D140" s="2" t="s">
        <v>2762</v>
      </c>
      <c r="E140" s="2" t="s">
        <v>2757</v>
      </c>
      <c r="F140" s="2" t="s">
        <v>77</v>
      </c>
      <c r="G140" s="32" t="s">
        <v>603</v>
      </c>
      <c r="H140" s="32" t="s">
        <v>7179</v>
      </c>
      <c r="I140" s="32" t="s">
        <v>7497</v>
      </c>
      <c r="J140" s="32"/>
      <c r="K140" s="33" t="s">
        <v>7319</v>
      </c>
      <c r="L140" s="32" t="s">
        <v>7416</v>
      </c>
      <c r="M140" t="s">
        <v>7165</v>
      </c>
      <c r="N140" t="s">
        <v>7165</v>
      </c>
      <c r="O140" t="s">
        <v>7468</v>
      </c>
    </row>
    <row r="141" spans="1:15" x14ac:dyDescent="0.2">
      <c r="A141" s="27" t="s">
        <v>522</v>
      </c>
      <c r="B141" s="2" t="s">
        <v>524</v>
      </c>
      <c r="C141" s="2" t="s">
        <v>68</v>
      </c>
      <c r="D141" s="2" t="s">
        <v>527</v>
      </c>
      <c r="E141" s="2" t="s">
        <v>520</v>
      </c>
      <c r="F141" s="2" t="s">
        <v>77</v>
      </c>
      <c r="G141" s="32" t="s">
        <v>183</v>
      </c>
      <c r="H141" s="32" t="s">
        <v>7286</v>
      </c>
      <c r="I141" s="32" t="s">
        <v>7500</v>
      </c>
      <c r="J141" s="32"/>
      <c r="K141" s="33" t="s">
        <v>7210</v>
      </c>
      <c r="L141" s="32" t="s">
        <v>7382</v>
      </c>
      <c r="M141" t="s">
        <v>7165</v>
      </c>
      <c r="N141" t="s">
        <v>7165</v>
      </c>
      <c r="O141" t="s">
        <v>7462</v>
      </c>
    </row>
    <row r="142" spans="1:15" x14ac:dyDescent="0.2">
      <c r="A142" s="27" t="s">
        <v>6708</v>
      </c>
      <c r="B142" s="2" t="s">
        <v>6711</v>
      </c>
      <c r="C142" s="2" t="s">
        <v>68</v>
      </c>
      <c r="D142" s="2" t="s">
        <v>6714</v>
      </c>
      <c r="E142" s="2" t="s">
        <v>6707</v>
      </c>
      <c r="F142" s="2" t="s">
        <v>77</v>
      </c>
      <c r="G142" s="32" t="s">
        <v>183</v>
      </c>
      <c r="H142" s="32" t="s">
        <v>7286</v>
      </c>
      <c r="I142" s="32" t="s">
        <v>7500</v>
      </c>
      <c r="J142" s="32"/>
      <c r="K142" s="33" t="s">
        <v>7210</v>
      </c>
      <c r="L142" s="32" t="s">
        <v>7382</v>
      </c>
      <c r="M142" t="s">
        <v>7165</v>
      </c>
      <c r="N142" t="s">
        <v>7165</v>
      </c>
      <c r="O142" t="s">
        <v>7462</v>
      </c>
    </row>
    <row r="143" spans="1:15" x14ac:dyDescent="0.2">
      <c r="A143" s="27" t="s">
        <v>6141</v>
      </c>
      <c r="B143" s="2" t="s">
        <v>6143</v>
      </c>
      <c r="C143" s="2" t="s">
        <v>68</v>
      </c>
      <c r="D143" s="2" t="s">
        <v>6146</v>
      </c>
      <c r="E143" s="2" t="s">
        <v>6139</v>
      </c>
      <c r="F143" s="2" t="s">
        <v>77</v>
      </c>
      <c r="G143" s="32" t="s">
        <v>183</v>
      </c>
      <c r="H143" s="32" t="s">
        <v>7286</v>
      </c>
      <c r="I143" s="32" t="s">
        <v>7500</v>
      </c>
      <c r="J143" s="32"/>
      <c r="K143" s="33" t="s">
        <v>7306</v>
      </c>
      <c r="L143" s="32" t="s">
        <v>7408</v>
      </c>
      <c r="M143" t="s">
        <v>7172</v>
      </c>
      <c r="N143" t="s">
        <v>7165</v>
      </c>
      <c r="O143" t="s">
        <v>7460</v>
      </c>
    </row>
    <row r="144" spans="1:15" x14ac:dyDescent="0.2">
      <c r="A144" s="27" t="s">
        <v>5153</v>
      </c>
      <c r="B144" s="2" t="s">
        <v>5156</v>
      </c>
      <c r="C144" s="2" t="s">
        <v>68</v>
      </c>
      <c r="D144" s="2" t="s">
        <v>5159</v>
      </c>
      <c r="E144" s="2" t="s">
        <v>5151</v>
      </c>
      <c r="F144" s="2" t="s">
        <v>77</v>
      </c>
      <c r="G144" s="32" t="s">
        <v>183</v>
      </c>
      <c r="H144" s="32" t="s">
        <v>7286</v>
      </c>
      <c r="I144" s="32" t="s">
        <v>7500</v>
      </c>
      <c r="J144" s="32"/>
      <c r="K144" s="33" t="s">
        <v>7327</v>
      </c>
      <c r="L144" s="32" t="s">
        <v>7385</v>
      </c>
      <c r="M144" t="s">
        <v>7165</v>
      </c>
      <c r="N144" t="s">
        <v>7165</v>
      </c>
      <c r="O144" t="s">
        <v>7353</v>
      </c>
    </row>
    <row r="145" spans="1:15" x14ac:dyDescent="0.2">
      <c r="A145" s="27" t="s">
        <v>4027</v>
      </c>
      <c r="B145" s="2" t="s">
        <v>4028</v>
      </c>
      <c r="C145" s="2" t="s">
        <v>68</v>
      </c>
      <c r="D145" s="2" t="s">
        <v>4031</v>
      </c>
      <c r="E145" s="2" t="s">
        <v>4025</v>
      </c>
      <c r="F145" s="2" t="s">
        <v>77</v>
      </c>
      <c r="G145" s="32" t="s">
        <v>448</v>
      </c>
      <c r="H145" s="32" t="s">
        <v>7244</v>
      </c>
      <c r="I145" s="32" t="s">
        <v>7499</v>
      </c>
      <c r="J145" s="32"/>
      <c r="K145" s="33" t="s">
        <v>7200</v>
      </c>
      <c r="L145" s="32" t="s">
        <v>7380</v>
      </c>
      <c r="M145" t="s">
        <v>7165</v>
      </c>
      <c r="N145" t="s">
        <v>7165</v>
      </c>
      <c r="O145" t="s">
        <v>7460</v>
      </c>
    </row>
    <row r="146" spans="1:15" x14ac:dyDescent="0.2">
      <c r="A146" s="27" t="s">
        <v>2899</v>
      </c>
      <c r="B146" s="2" t="s">
        <v>2900</v>
      </c>
      <c r="C146" s="2" t="s">
        <v>68</v>
      </c>
      <c r="D146" s="2" t="s">
        <v>2903</v>
      </c>
      <c r="E146" s="2" t="s">
        <v>2898</v>
      </c>
      <c r="F146" s="2" t="s">
        <v>77</v>
      </c>
      <c r="G146" s="32" t="s">
        <v>603</v>
      </c>
      <c r="H146" s="32" t="s">
        <v>7179</v>
      </c>
      <c r="I146" s="32" t="s">
        <v>7497</v>
      </c>
      <c r="J146" s="32"/>
      <c r="K146" s="33" t="s">
        <v>7211</v>
      </c>
      <c r="L146" s="32" t="s">
        <v>7387</v>
      </c>
      <c r="M146" t="s">
        <v>7165</v>
      </c>
      <c r="N146" t="s">
        <v>7165</v>
      </c>
      <c r="O146" t="s">
        <v>7463</v>
      </c>
    </row>
    <row r="147" spans="1:15" x14ac:dyDescent="0.2">
      <c r="A147" s="27" t="s">
        <v>3714</v>
      </c>
      <c r="B147" s="2" t="s">
        <v>3715</v>
      </c>
      <c r="C147" s="2" t="s">
        <v>68</v>
      </c>
      <c r="D147" s="2" t="s">
        <v>3718</v>
      </c>
      <c r="E147" s="2" t="s">
        <v>3712</v>
      </c>
      <c r="F147" s="2" t="s">
        <v>77</v>
      </c>
      <c r="G147" s="32" t="s">
        <v>183</v>
      </c>
      <c r="H147" s="32" t="s">
        <v>7286</v>
      </c>
      <c r="I147" s="32" t="s">
        <v>7500</v>
      </c>
      <c r="J147" s="32"/>
      <c r="K147" s="33" t="s">
        <v>7210</v>
      </c>
      <c r="L147" s="32" t="s">
        <v>7382</v>
      </c>
      <c r="M147" t="s">
        <v>7165</v>
      </c>
      <c r="N147" t="s">
        <v>7165</v>
      </c>
      <c r="O147" t="s">
        <v>7462</v>
      </c>
    </row>
    <row r="148" spans="1:15" x14ac:dyDescent="0.2">
      <c r="A148" s="27" t="s">
        <v>6167</v>
      </c>
      <c r="B148" s="2" t="s">
        <v>6170</v>
      </c>
      <c r="C148" s="2" t="s">
        <v>68</v>
      </c>
      <c r="D148" s="2" t="s">
        <v>6173</v>
      </c>
      <c r="E148" s="2" t="s">
        <v>6165</v>
      </c>
      <c r="F148" s="2" t="s">
        <v>77</v>
      </c>
      <c r="G148" s="32" t="s">
        <v>268</v>
      </c>
      <c r="H148" s="32" t="s">
        <v>7259</v>
      </c>
      <c r="I148" s="32" t="s">
        <v>7498</v>
      </c>
      <c r="J148" s="32"/>
      <c r="K148" s="33" t="s">
        <v>7221</v>
      </c>
      <c r="L148" s="32" t="s">
        <v>7392</v>
      </c>
      <c r="M148" t="s">
        <v>7165</v>
      </c>
      <c r="N148" t="s">
        <v>7165</v>
      </c>
      <c r="O148" t="s">
        <v>7356</v>
      </c>
    </row>
    <row r="149" spans="1:15" x14ac:dyDescent="0.2">
      <c r="A149" s="27" t="s">
        <v>6592</v>
      </c>
      <c r="B149" s="2" t="s">
        <v>6593</v>
      </c>
      <c r="C149" s="2" t="s">
        <v>68</v>
      </c>
      <c r="D149" s="2" t="s">
        <v>6596</v>
      </c>
      <c r="E149" s="2" t="s">
        <v>6590</v>
      </c>
      <c r="F149" s="2" t="s">
        <v>77</v>
      </c>
      <c r="G149" s="32" t="s">
        <v>61</v>
      </c>
      <c r="H149" s="32" t="s">
        <v>7158</v>
      </c>
      <c r="I149" s="32" t="s">
        <v>7504</v>
      </c>
      <c r="J149" s="32"/>
      <c r="K149" s="33" t="s">
        <v>7231</v>
      </c>
      <c r="L149" s="32" t="s">
        <v>7383</v>
      </c>
      <c r="M149" t="s">
        <v>60</v>
      </c>
      <c r="N149" t="s">
        <v>60</v>
      </c>
      <c r="O149" t="s">
        <v>7354</v>
      </c>
    </row>
    <row r="150" spans="1:15" x14ac:dyDescent="0.2">
      <c r="A150" s="27" t="s">
        <v>5893</v>
      </c>
      <c r="B150" s="2" t="s">
        <v>5895</v>
      </c>
      <c r="C150" s="2" t="s">
        <v>68</v>
      </c>
      <c r="D150" s="2" t="s">
        <v>5898</v>
      </c>
      <c r="E150" s="2" t="s">
        <v>5891</v>
      </c>
      <c r="F150" s="2" t="s">
        <v>77</v>
      </c>
      <c r="G150" s="32" t="s">
        <v>4872</v>
      </c>
      <c r="H150" s="32" t="s">
        <v>7235</v>
      </c>
      <c r="I150" s="32" t="s">
        <v>7498</v>
      </c>
      <c r="J150" s="32"/>
      <c r="K150" s="33" t="s">
        <v>7344</v>
      </c>
      <c r="L150" s="32" t="s">
        <v>7424</v>
      </c>
      <c r="M150" t="s">
        <v>7165</v>
      </c>
      <c r="N150" t="s">
        <v>7165</v>
      </c>
      <c r="O150" t="s">
        <v>7355</v>
      </c>
    </row>
    <row r="151" spans="1:15" x14ac:dyDescent="0.2">
      <c r="A151" s="27" t="s">
        <v>2710</v>
      </c>
      <c r="B151" s="2" t="s">
        <v>2711</v>
      </c>
      <c r="C151" s="2" t="s">
        <v>68</v>
      </c>
      <c r="D151" s="2" t="s">
        <v>2714</v>
      </c>
      <c r="E151" s="2" t="s">
        <v>2709</v>
      </c>
      <c r="F151" s="2" t="s">
        <v>77</v>
      </c>
      <c r="G151" s="32" t="s">
        <v>603</v>
      </c>
      <c r="H151" s="32" t="s">
        <v>7179</v>
      </c>
      <c r="I151" s="32" t="s">
        <v>7497</v>
      </c>
      <c r="J151" s="32"/>
      <c r="K151" s="33" t="s">
        <v>7340</v>
      </c>
      <c r="L151" s="32" t="s">
        <v>7395</v>
      </c>
      <c r="M151" t="s">
        <v>7165</v>
      </c>
      <c r="N151" t="s">
        <v>7165</v>
      </c>
      <c r="O151" t="s">
        <v>7465</v>
      </c>
    </row>
    <row r="152" spans="1:15" x14ac:dyDescent="0.2">
      <c r="A152" s="27" t="s">
        <v>3764</v>
      </c>
      <c r="B152" s="2" t="s">
        <v>3765</v>
      </c>
      <c r="C152" s="2" t="s">
        <v>68</v>
      </c>
      <c r="D152" s="2" t="s">
        <v>3768</v>
      </c>
      <c r="E152" s="2" t="s">
        <v>3762</v>
      </c>
      <c r="F152" s="2" t="s">
        <v>77</v>
      </c>
      <c r="G152" s="32" t="s">
        <v>183</v>
      </c>
      <c r="H152" s="32" t="s">
        <v>7286</v>
      </c>
      <c r="I152" s="32" t="s">
        <v>7500</v>
      </c>
      <c r="J152" s="32"/>
      <c r="K152" s="33" t="s">
        <v>7210</v>
      </c>
      <c r="L152" s="32" t="s">
        <v>7382</v>
      </c>
      <c r="M152" t="s">
        <v>7165</v>
      </c>
      <c r="N152" t="s">
        <v>7165</v>
      </c>
      <c r="O152" t="s">
        <v>7462</v>
      </c>
    </row>
    <row r="153" spans="1:15" x14ac:dyDescent="0.2">
      <c r="A153" s="27" t="s">
        <v>3775</v>
      </c>
      <c r="B153" s="2" t="s">
        <v>3777</v>
      </c>
      <c r="C153" s="2" t="s">
        <v>68</v>
      </c>
      <c r="D153" s="2" t="s">
        <v>3780</v>
      </c>
      <c r="E153" s="2" t="s">
        <v>3773</v>
      </c>
      <c r="F153" s="2" t="s">
        <v>77</v>
      </c>
      <c r="G153" s="32" t="s">
        <v>183</v>
      </c>
      <c r="H153" s="32" t="s">
        <v>7286</v>
      </c>
      <c r="I153" s="32" t="s">
        <v>7500</v>
      </c>
      <c r="J153" s="32"/>
      <c r="K153" s="33" t="s">
        <v>7210</v>
      </c>
      <c r="L153" s="32" t="s">
        <v>7382</v>
      </c>
      <c r="M153" t="s">
        <v>7165</v>
      </c>
      <c r="N153" t="s">
        <v>7165</v>
      </c>
      <c r="O153" t="s">
        <v>7462</v>
      </c>
    </row>
    <row r="154" spans="1:15" x14ac:dyDescent="0.2">
      <c r="A154" s="27" t="s">
        <v>807</v>
      </c>
      <c r="B154" s="2" t="s">
        <v>809</v>
      </c>
      <c r="C154" s="2" t="s">
        <v>68</v>
      </c>
      <c r="D154" s="2" t="s">
        <v>812</v>
      </c>
      <c r="E154" s="2" t="s">
        <v>805</v>
      </c>
      <c r="F154" s="2" t="s">
        <v>77</v>
      </c>
      <c r="G154" s="32" t="s">
        <v>603</v>
      </c>
      <c r="H154" s="32" t="s">
        <v>7179</v>
      </c>
      <c r="I154" s="32" t="s">
        <v>7497</v>
      </c>
      <c r="J154" s="32"/>
      <c r="K154" s="33" t="s">
        <v>7294</v>
      </c>
      <c r="L154" s="32" t="s">
        <v>7390</v>
      </c>
      <c r="M154" t="s">
        <v>7165</v>
      </c>
      <c r="N154" t="s">
        <v>7165</v>
      </c>
      <c r="O154" t="s">
        <v>7464</v>
      </c>
    </row>
    <row r="155" spans="1:15" x14ac:dyDescent="0.2">
      <c r="A155" s="27" t="s">
        <v>5076</v>
      </c>
      <c r="B155" s="2" t="s">
        <v>5077</v>
      </c>
      <c r="C155" s="2" t="s">
        <v>68</v>
      </c>
      <c r="D155" s="2" t="s">
        <v>5080</v>
      </c>
      <c r="E155" s="2" t="s">
        <v>5075</v>
      </c>
      <c r="F155" s="2" t="s">
        <v>77</v>
      </c>
      <c r="G155" s="32" t="s">
        <v>5058</v>
      </c>
      <c r="H155" s="32" t="s">
        <v>7158</v>
      </c>
      <c r="I155" s="32" t="s">
        <v>7505</v>
      </c>
      <c r="J155" s="32"/>
      <c r="K155" s="33" t="s">
        <v>7333</v>
      </c>
      <c r="L155" s="32" t="s">
        <v>7402</v>
      </c>
      <c r="M155" t="s">
        <v>7165</v>
      </c>
      <c r="N155" t="s">
        <v>7165</v>
      </c>
      <c r="O155" t="s">
        <v>7360</v>
      </c>
    </row>
    <row r="156" spans="1:15" x14ac:dyDescent="0.2">
      <c r="A156" s="27" t="s">
        <v>6911</v>
      </c>
      <c r="B156" s="2" t="s">
        <v>6913</v>
      </c>
      <c r="C156" s="2" t="s">
        <v>68</v>
      </c>
      <c r="D156" s="2" t="s">
        <v>6916</v>
      </c>
      <c r="E156" s="2" t="s">
        <v>6910</v>
      </c>
      <c r="F156" s="2" t="s">
        <v>77</v>
      </c>
      <c r="G156" s="32" t="s">
        <v>6764</v>
      </c>
      <c r="H156" s="32" t="s">
        <v>7154</v>
      </c>
      <c r="I156" s="32" t="s">
        <v>7508</v>
      </c>
      <c r="J156" s="32"/>
      <c r="K156" s="33" t="s">
        <v>7327</v>
      </c>
      <c r="L156" s="32" t="s">
        <v>7385</v>
      </c>
      <c r="M156" t="s">
        <v>60</v>
      </c>
      <c r="N156" t="s">
        <v>60</v>
      </c>
      <c r="O156" t="s">
        <v>7353</v>
      </c>
    </row>
    <row r="157" spans="1:15" x14ac:dyDescent="0.2">
      <c r="A157" s="27" t="s">
        <v>446</v>
      </c>
      <c r="B157" s="2" t="s">
        <v>452</v>
      </c>
      <c r="C157" s="2" t="s">
        <v>68</v>
      </c>
      <c r="D157" s="2" t="s">
        <v>455</v>
      </c>
      <c r="E157" s="2" t="s">
        <v>444</v>
      </c>
      <c r="F157" s="2" t="s">
        <v>77</v>
      </c>
      <c r="G157" s="32" t="s">
        <v>448</v>
      </c>
      <c r="H157" s="32" t="s">
        <v>7244</v>
      </c>
      <c r="I157" s="32" t="s">
        <v>7499</v>
      </c>
      <c r="J157" s="32"/>
      <c r="K157" s="33" t="s">
        <v>7214</v>
      </c>
      <c r="L157" s="32" t="s">
        <v>7408</v>
      </c>
      <c r="M157" t="s">
        <v>7165</v>
      </c>
      <c r="N157" t="s">
        <v>7165</v>
      </c>
      <c r="O157" t="s">
        <v>7460</v>
      </c>
    </row>
    <row r="158" spans="1:15" x14ac:dyDescent="0.2">
      <c r="A158" s="27" t="s">
        <v>5905</v>
      </c>
      <c r="B158" s="2" t="s">
        <v>5909</v>
      </c>
      <c r="C158" s="2" t="s">
        <v>68</v>
      </c>
      <c r="D158" s="2" t="s">
        <v>5912</v>
      </c>
      <c r="E158" s="2" t="s">
        <v>5903</v>
      </c>
      <c r="F158" s="2" t="s">
        <v>77</v>
      </c>
      <c r="G158" s="32" t="s">
        <v>3903</v>
      </c>
      <c r="H158" s="32" t="s">
        <v>7275</v>
      </c>
      <c r="I158" s="32" t="s">
        <v>7515</v>
      </c>
      <c r="J158" s="32"/>
      <c r="K158" s="33" t="s">
        <v>7208</v>
      </c>
      <c r="L158" s="32" t="s">
        <v>7385</v>
      </c>
      <c r="M158" t="s">
        <v>7165</v>
      </c>
      <c r="N158" t="s">
        <v>7165</v>
      </c>
      <c r="O158" t="s">
        <v>7353</v>
      </c>
    </row>
    <row r="159" spans="1:15" x14ac:dyDescent="0.2">
      <c r="A159" s="27" t="s">
        <v>4613</v>
      </c>
      <c r="B159" s="2" t="s">
        <v>4615</v>
      </c>
      <c r="C159" s="2" t="s">
        <v>68</v>
      </c>
      <c r="D159" s="2" t="s">
        <v>4618</v>
      </c>
      <c r="E159" s="2" t="s">
        <v>4612</v>
      </c>
      <c r="F159" s="2" t="s">
        <v>77</v>
      </c>
      <c r="G159" s="32" t="s">
        <v>4600</v>
      </c>
      <c r="H159" s="32" t="s">
        <v>7288</v>
      </c>
      <c r="I159" s="32" t="s">
        <v>7510</v>
      </c>
      <c r="J159" s="32"/>
      <c r="K159" s="33" t="s">
        <v>7296</v>
      </c>
      <c r="L159" s="32" t="s">
        <v>7405</v>
      </c>
      <c r="M159" t="s">
        <v>7169</v>
      </c>
      <c r="N159" t="s">
        <v>7169</v>
      </c>
      <c r="O159" t="s">
        <v>7464</v>
      </c>
    </row>
    <row r="160" spans="1:15" x14ac:dyDescent="0.2">
      <c r="A160" s="27" t="s">
        <v>1537</v>
      </c>
      <c r="B160" s="2" t="s">
        <v>1538</v>
      </c>
      <c r="C160" s="2" t="s">
        <v>68</v>
      </c>
      <c r="D160" s="2" t="s">
        <v>1541</v>
      </c>
      <c r="E160" s="2" t="s">
        <v>1535</v>
      </c>
      <c r="F160" s="2" t="s">
        <v>77</v>
      </c>
      <c r="G160" s="32" t="s">
        <v>603</v>
      </c>
      <c r="H160" s="32" t="s">
        <v>7179</v>
      </c>
      <c r="I160" s="32" t="s">
        <v>7497</v>
      </c>
      <c r="J160" s="32"/>
      <c r="K160" s="33" t="s">
        <v>7339</v>
      </c>
      <c r="L160" s="32" t="s">
        <v>7398</v>
      </c>
      <c r="M160" t="s">
        <v>7165</v>
      </c>
      <c r="N160" t="s">
        <v>7165</v>
      </c>
      <c r="O160" t="s">
        <v>7356</v>
      </c>
    </row>
    <row r="161" spans="1:15" x14ac:dyDescent="0.2">
      <c r="A161" s="27" t="s">
        <v>4388</v>
      </c>
      <c r="B161" s="2" t="s">
        <v>4390</v>
      </c>
      <c r="C161" s="2" t="s">
        <v>68</v>
      </c>
      <c r="D161" s="2" t="s">
        <v>4393</v>
      </c>
      <c r="E161" s="2" t="s">
        <v>4386</v>
      </c>
      <c r="F161" s="2" t="s">
        <v>77</v>
      </c>
      <c r="G161" s="32" t="s">
        <v>603</v>
      </c>
      <c r="H161" s="32" t="s">
        <v>7179</v>
      </c>
      <c r="I161" s="32" t="s">
        <v>7497</v>
      </c>
      <c r="J161" s="32"/>
      <c r="K161" s="33" t="s">
        <v>7211</v>
      </c>
      <c r="L161" s="32" t="s">
        <v>7387</v>
      </c>
      <c r="M161" t="s">
        <v>7165</v>
      </c>
      <c r="N161" t="s">
        <v>7165</v>
      </c>
      <c r="O161" t="s">
        <v>7463</v>
      </c>
    </row>
    <row r="162" spans="1:15" x14ac:dyDescent="0.2">
      <c r="A162" s="27" t="s">
        <v>3059</v>
      </c>
      <c r="B162" s="2" t="s">
        <v>3060</v>
      </c>
      <c r="C162" s="2" t="s">
        <v>68</v>
      </c>
      <c r="D162" s="2" t="s">
        <v>3063</v>
      </c>
      <c r="E162" s="2" t="s">
        <v>3058</v>
      </c>
      <c r="F162" s="2" t="s">
        <v>77</v>
      </c>
      <c r="G162" s="32" t="s">
        <v>353</v>
      </c>
      <c r="H162" s="32" t="s">
        <v>7288</v>
      </c>
      <c r="I162" s="32" t="s">
        <v>7498</v>
      </c>
      <c r="J162" s="32"/>
      <c r="K162" s="33" t="s">
        <v>7198</v>
      </c>
      <c r="L162" s="32" t="s">
        <v>7412</v>
      </c>
      <c r="M162" t="s">
        <v>7172</v>
      </c>
      <c r="N162" t="s">
        <v>7165</v>
      </c>
      <c r="O162" t="s">
        <v>7362</v>
      </c>
    </row>
    <row r="163" spans="1:15" x14ac:dyDescent="0.2">
      <c r="A163" s="27" t="s">
        <v>796</v>
      </c>
      <c r="B163" s="2" t="s">
        <v>797</v>
      </c>
      <c r="C163" s="2" t="s">
        <v>68</v>
      </c>
      <c r="D163" s="2" t="s">
        <v>800</v>
      </c>
      <c r="E163" s="2" t="s">
        <v>794</v>
      </c>
      <c r="F163" s="2" t="s">
        <v>77</v>
      </c>
      <c r="G163" s="32" t="s">
        <v>603</v>
      </c>
      <c r="H163" s="32" t="s">
        <v>7179</v>
      </c>
      <c r="I163" s="32" t="s">
        <v>7497</v>
      </c>
      <c r="J163" s="32"/>
      <c r="K163" s="33" t="s">
        <v>7194</v>
      </c>
      <c r="L163" s="32" t="s">
        <v>7390</v>
      </c>
      <c r="M163" t="s">
        <v>7165</v>
      </c>
      <c r="N163" t="s">
        <v>7165</v>
      </c>
      <c r="O163" t="s">
        <v>7464</v>
      </c>
    </row>
    <row r="164" spans="1:15" x14ac:dyDescent="0.2">
      <c r="A164" s="27" t="s">
        <v>4234</v>
      </c>
      <c r="B164" s="2" t="s">
        <v>4235</v>
      </c>
      <c r="C164" s="2" t="s">
        <v>68</v>
      </c>
      <c r="D164" s="2" t="s">
        <v>4238</v>
      </c>
      <c r="E164" s="2" t="s">
        <v>4232</v>
      </c>
      <c r="F164" s="2" t="s">
        <v>77</v>
      </c>
      <c r="G164" s="32" t="s">
        <v>603</v>
      </c>
      <c r="H164" s="32" t="s">
        <v>7179</v>
      </c>
      <c r="I164" s="32" t="s">
        <v>7497</v>
      </c>
      <c r="J164" s="32"/>
      <c r="K164" s="33" t="s">
        <v>7220</v>
      </c>
      <c r="L164" s="32" t="s">
        <v>7383</v>
      </c>
      <c r="M164" t="s">
        <v>7165</v>
      </c>
      <c r="N164" t="s">
        <v>7165</v>
      </c>
      <c r="O164" t="s">
        <v>7354</v>
      </c>
    </row>
    <row r="165" spans="1:15" x14ac:dyDescent="0.2">
      <c r="A165" s="27" t="s">
        <v>418</v>
      </c>
      <c r="B165" s="2" t="s">
        <v>419</v>
      </c>
      <c r="C165" s="2" t="s">
        <v>68</v>
      </c>
      <c r="D165" s="2" t="s">
        <v>422</v>
      </c>
      <c r="E165" s="2" t="s">
        <v>416</v>
      </c>
      <c r="F165" s="2" t="s">
        <v>77</v>
      </c>
      <c r="G165" s="32" t="s">
        <v>390</v>
      </c>
      <c r="H165" s="32" t="s">
        <v>7248</v>
      </c>
      <c r="I165" s="32" t="s">
        <v>7502</v>
      </c>
      <c r="J165" s="32"/>
      <c r="K165" s="33" t="s">
        <v>7197</v>
      </c>
      <c r="L165" s="32" t="s">
        <v>7378</v>
      </c>
      <c r="M165" t="s">
        <v>7165</v>
      </c>
      <c r="N165" t="s">
        <v>7165</v>
      </c>
      <c r="O165" t="s">
        <v>7357</v>
      </c>
    </row>
    <row r="166" spans="1:15" x14ac:dyDescent="0.2">
      <c r="A166" s="27" t="s">
        <v>3875</v>
      </c>
      <c r="B166" s="2" t="s">
        <v>3877</v>
      </c>
      <c r="C166" s="2" t="s">
        <v>68</v>
      </c>
      <c r="D166" s="2" t="s">
        <v>3880</v>
      </c>
      <c r="E166" s="2" t="s">
        <v>3873</v>
      </c>
      <c r="F166" s="2" t="s">
        <v>77</v>
      </c>
      <c r="G166" s="32" t="s">
        <v>183</v>
      </c>
      <c r="H166" s="32" t="s">
        <v>7286</v>
      </c>
      <c r="I166" s="32" t="s">
        <v>7500</v>
      </c>
      <c r="J166" s="32"/>
      <c r="K166" s="33" t="s">
        <v>7311</v>
      </c>
      <c r="L166" s="32" t="s">
        <v>7382</v>
      </c>
      <c r="M166" t="s">
        <v>7165</v>
      </c>
      <c r="N166" t="s">
        <v>7165</v>
      </c>
      <c r="O166" t="s">
        <v>7462</v>
      </c>
    </row>
    <row r="167" spans="1:15" x14ac:dyDescent="0.2">
      <c r="A167" s="27" t="s">
        <v>6183</v>
      </c>
      <c r="B167" s="2" t="s">
        <v>6188</v>
      </c>
      <c r="C167" s="2" t="s">
        <v>68</v>
      </c>
      <c r="D167" s="2" t="s">
        <v>6191</v>
      </c>
      <c r="E167" s="2" t="s">
        <v>6181</v>
      </c>
      <c r="F167" s="2" t="s">
        <v>77</v>
      </c>
      <c r="G167" s="32" t="s">
        <v>6185</v>
      </c>
      <c r="H167" s="32" t="s">
        <v>7281</v>
      </c>
      <c r="I167" s="32" t="s">
        <v>7506</v>
      </c>
      <c r="J167" s="32"/>
      <c r="K167" s="33" t="s">
        <v>7317</v>
      </c>
      <c r="L167" s="32" t="s">
        <v>7425</v>
      </c>
      <c r="M167" t="s">
        <v>7172</v>
      </c>
      <c r="N167" t="s">
        <v>7165</v>
      </c>
      <c r="O167" t="s">
        <v>7360</v>
      </c>
    </row>
    <row r="168" spans="1:15" x14ac:dyDescent="0.2">
      <c r="A168" s="27" t="s">
        <v>2073</v>
      </c>
      <c r="B168" s="2" t="s">
        <v>2074</v>
      </c>
      <c r="C168" s="2" t="s">
        <v>68</v>
      </c>
      <c r="D168" s="2" t="s">
        <v>2077</v>
      </c>
      <c r="E168" s="2" t="s">
        <v>2071</v>
      </c>
      <c r="F168" s="2" t="s">
        <v>77</v>
      </c>
      <c r="G168" s="32" t="s">
        <v>603</v>
      </c>
      <c r="H168" s="32" t="s">
        <v>7179</v>
      </c>
      <c r="I168" s="32" t="s">
        <v>7497</v>
      </c>
      <c r="J168" s="32"/>
      <c r="K168" s="33" t="s">
        <v>7194</v>
      </c>
      <c r="L168" s="32" t="s">
        <v>7390</v>
      </c>
      <c r="M168" t="s">
        <v>7165</v>
      </c>
      <c r="N168" t="s">
        <v>7165</v>
      </c>
      <c r="O168" t="s">
        <v>7464</v>
      </c>
    </row>
    <row r="169" spans="1:15" x14ac:dyDescent="0.2">
      <c r="A169" s="27" t="s">
        <v>5136</v>
      </c>
      <c r="B169" s="2" t="s">
        <v>5141</v>
      </c>
      <c r="C169" s="2" t="s">
        <v>68</v>
      </c>
      <c r="D169" s="2" t="s">
        <v>5144</v>
      </c>
      <c r="E169" s="2" t="s">
        <v>5134</v>
      </c>
      <c r="F169" s="2" t="s">
        <v>77</v>
      </c>
      <c r="G169" s="32" t="s">
        <v>183</v>
      </c>
      <c r="H169" s="32" t="s">
        <v>7286</v>
      </c>
      <c r="I169" s="32" t="s">
        <v>7500</v>
      </c>
      <c r="J169" s="32"/>
      <c r="K169" s="33" t="s">
        <v>7327</v>
      </c>
      <c r="L169" s="32" t="s">
        <v>7385</v>
      </c>
      <c r="M169" t="s">
        <v>7165</v>
      </c>
      <c r="N169" t="s">
        <v>7165</v>
      </c>
      <c r="O169" t="s">
        <v>7353</v>
      </c>
    </row>
    <row r="170" spans="1:15" x14ac:dyDescent="0.2">
      <c r="A170" s="27" t="s">
        <v>1011</v>
      </c>
      <c r="B170" s="2" t="s">
        <v>1013</v>
      </c>
      <c r="C170" s="2" t="s">
        <v>68</v>
      </c>
      <c r="D170" s="2" t="s">
        <v>1016</v>
      </c>
      <c r="E170" s="2" t="s">
        <v>1009</v>
      </c>
      <c r="F170" s="2" t="s">
        <v>77</v>
      </c>
      <c r="G170" s="32" t="s">
        <v>603</v>
      </c>
      <c r="H170" s="32" t="s">
        <v>7179</v>
      </c>
      <c r="I170" s="32" t="s">
        <v>7497</v>
      </c>
      <c r="J170" s="32"/>
      <c r="K170" s="33" t="s">
        <v>7194</v>
      </c>
      <c r="L170" s="32" t="s">
        <v>7390</v>
      </c>
      <c r="M170" t="s">
        <v>7165</v>
      </c>
      <c r="N170" t="s">
        <v>7165</v>
      </c>
      <c r="O170" t="s">
        <v>7464</v>
      </c>
    </row>
    <row r="171" spans="1:15" x14ac:dyDescent="0.2">
      <c r="A171" s="27" t="s">
        <v>3822</v>
      </c>
      <c r="B171" s="2" t="s">
        <v>3825</v>
      </c>
      <c r="C171" s="2" t="s">
        <v>68</v>
      </c>
      <c r="D171" s="2" t="s">
        <v>3828</v>
      </c>
      <c r="E171" s="2" t="s">
        <v>3820</v>
      </c>
      <c r="F171" s="2" t="s">
        <v>77</v>
      </c>
      <c r="G171" s="32" t="s">
        <v>3823</v>
      </c>
      <c r="H171" s="32" t="s">
        <v>7250</v>
      </c>
      <c r="I171" s="32" t="s">
        <v>7508</v>
      </c>
      <c r="J171" s="32"/>
      <c r="K171" s="33" t="s">
        <v>7226</v>
      </c>
      <c r="L171" s="32" t="s">
        <v>7426</v>
      </c>
      <c r="M171" t="s">
        <v>7165</v>
      </c>
      <c r="N171" t="s">
        <v>7165</v>
      </c>
      <c r="O171" t="s">
        <v>7358</v>
      </c>
    </row>
    <row r="172" spans="1:15" x14ac:dyDescent="0.2">
      <c r="A172" s="27" t="s">
        <v>4202</v>
      </c>
      <c r="B172" s="2" t="s">
        <v>4203</v>
      </c>
      <c r="C172" s="2" t="s">
        <v>68</v>
      </c>
      <c r="D172" s="2" t="s">
        <v>4206</v>
      </c>
      <c r="E172" s="2" t="s">
        <v>4200</v>
      </c>
      <c r="F172" s="2" t="s">
        <v>77</v>
      </c>
      <c r="G172" s="32" t="s">
        <v>390</v>
      </c>
      <c r="H172" s="32" t="s">
        <v>7248</v>
      </c>
      <c r="I172" s="32" t="s">
        <v>7502</v>
      </c>
      <c r="J172" s="32"/>
      <c r="K172" s="33" t="s">
        <v>7197</v>
      </c>
      <c r="L172" s="32" t="s">
        <v>7378</v>
      </c>
      <c r="M172" t="s">
        <v>7172</v>
      </c>
      <c r="N172" t="s">
        <v>7165</v>
      </c>
      <c r="O172" t="s">
        <v>7357</v>
      </c>
    </row>
    <row r="173" spans="1:15" x14ac:dyDescent="0.2">
      <c r="A173" s="27" t="s">
        <v>5216</v>
      </c>
      <c r="B173" s="2" t="s">
        <v>5219</v>
      </c>
      <c r="C173" s="2" t="s">
        <v>68</v>
      </c>
      <c r="D173" s="2" t="s">
        <v>5222</v>
      </c>
      <c r="E173" s="2" t="s">
        <v>5214</v>
      </c>
      <c r="F173" s="2" t="s">
        <v>77</v>
      </c>
      <c r="G173" s="32" t="s">
        <v>5217</v>
      </c>
      <c r="H173" s="32" t="s">
        <v>7253</v>
      </c>
      <c r="I173" s="32" t="s">
        <v>7504</v>
      </c>
      <c r="J173" s="32"/>
      <c r="K173" s="33" t="s">
        <v>7327</v>
      </c>
      <c r="L173" s="32" t="s">
        <v>7385</v>
      </c>
      <c r="M173" t="s">
        <v>7165</v>
      </c>
      <c r="N173" t="s">
        <v>7165</v>
      </c>
      <c r="O173" t="s">
        <v>7353</v>
      </c>
    </row>
    <row r="174" spans="1:15" x14ac:dyDescent="0.2">
      <c r="A174" s="34" t="s">
        <v>6377</v>
      </c>
      <c r="B174" s="2" t="s">
        <v>6381</v>
      </c>
      <c r="C174" s="2" t="s">
        <v>68</v>
      </c>
      <c r="D174" s="2" t="s">
        <v>6384</v>
      </c>
      <c r="E174" s="2" t="s">
        <v>6374</v>
      </c>
      <c r="F174" s="2" t="s">
        <v>77</v>
      </c>
      <c r="G174" s="32" t="s">
        <v>6379</v>
      </c>
      <c r="H174" s="32" t="s">
        <v>7281</v>
      </c>
      <c r="I174" s="32" t="s">
        <v>7508</v>
      </c>
      <c r="J174" s="32"/>
      <c r="K174" s="33" t="s">
        <v>7198</v>
      </c>
      <c r="L174" s="32" t="s">
        <v>7412</v>
      </c>
      <c r="M174" t="s">
        <v>7172</v>
      </c>
      <c r="N174" t="s">
        <v>7165</v>
      </c>
      <c r="O174" t="s">
        <v>7362</v>
      </c>
    </row>
    <row r="175" spans="1:15" x14ac:dyDescent="0.2">
      <c r="A175" s="27" t="s">
        <v>3945</v>
      </c>
      <c r="B175" s="2" t="s">
        <v>3947</v>
      </c>
      <c r="C175" s="2" t="s">
        <v>68</v>
      </c>
      <c r="D175" s="2" t="s">
        <v>3950</v>
      </c>
      <c r="E175" s="2" t="s">
        <v>3943</v>
      </c>
      <c r="F175" s="2" t="s">
        <v>77</v>
      </c>
      <c r="G175" s="32" t="s">
        <v>448</v>
      </c>
      <c r="H175" s="32" t="s">
        <v>7244</v>
      </c>
      <c r="I175" s="32" t="s">
        <v>7499</v>
      </c>
      <c r="J175" s="32"/>
      <c r="K175" s="33" t="s">
        <v>7214</v>
      </c>
      <c r="L175" s="32" t="s">
        <v>7408</v>
      </c>
      <c r="M175" t="s">
        <v>7165</v>
      </c>
      <c r="N175" t="s">
        <v>7165</v>
      </c>
      <c r="O175" t="s">
        <v>7460</v>
      </c>
    </row>
    <row r="176" spans="1:15" x14ac:dyDescent="0.2">
      <c r="A176" s="27" t="s">
        <v>6897</v>
      </c>
      <c r="B176" s="2" t="s">
        <v>6899</v>
      </c>
      <c r="C176" s="2" t="s">
        <v>68</v>
      </c>
      <c r="D176" s="2" t="s">
        <v>6902</v>
      </c>
      <c r="E176" s="2" t="s">
        <v>6895</v>
      </c>
      <c r="F176" s="2" t="s">
        <v>77</v>
      </c>
      <c r="G176" s="32" t="s">
        <v>6764</v>
      </c>
      <c r="H176" s="32" t="s">
        <v>7154</v>
      </c>
      <c r="I176" s="32" t="s">
        <v>7508</v>
      </c>
      <c r="J176" s="32"/>
      <c r="K176" s="33" t="s">
        <v>7327</v>
      </c>
      <c r="L176" s="32" t="s">
        <v>7385</v>
      </c>
      <c r="M176" t="s">
        <v>60</v>
      </c>
      <c r="N176" t="s">
        <v>60</v>
      </c>
      <c r="O176" t="s">
        <v>7353</v>
      </c>
    </row>
    <row r="177" spans="1:15" x14ac:dyDescent="0.2">
      <c r="A177" s="27" t="s">
        <v>2769</v>
      </c>
      <c r="B177" s="2" t="s">
        <v>2772</v>
      </c>
      <c r="C177" s="2" t="s">
        <v>68</v>
      </c>
      <c r="D177" s="2" t="s">
        <v>2775</v>
      </c>
      <c r="E177" s="2" t="s">
        <v>2768</v>
      </c>
      <c r="F177" s="2" t="s">
        <v>77</v>
      </c>
      <c r="G177" s="32" t="s">
        <v>603</v>
      </c>
      <c r="H177" s="32" t="s">
        <v>7179</v>
      </c>
      <c r="I177" s="32" t="s">
        <v>7497</v>
      </c>
      <c r="J177" s="32"/>
      <c r="K177" s="33" t="s">
        <v>7220</v>
      </c>
      <c r="L177" s="32" t="s">
        <v>7383</v>
      </c>
      <c r="M177" t="s">
        <v>7165</v>
      </c>
      <c r="N177" t="s">
        <v>7165</v>
      </c>
      <c r="O177" t="s">
        <v>7354</v>
      </c>
    </row>
    <row r="178" spans="1:15" x14ac:dyDescent="0.2">
      <c r="A178" s="27" t="s">
        <v>2021</v>
      </c>
      <c r="B178" s="2" t="s">
        <v>2023</v>
      </c>
      <c r="C178" s="2" t="s">
        <v>68</v>
      </c>
      <c r="D178" s="2" t="s">
        <v>2026</v>
      </c>
      <c r="E178" s="2" t="s">
        <v>2019</v>
      </c>
      <c r="F178" s="2" t="s">
        <v>77</v>
      </c>
      <c r="G178" s="32" t="s">
        <v>603</v>
      </c>
      <c r="H178" s="32" t="s">
        <v>7179</v>
      </c>
      <c r="I178" s="32" t="s">
        <v>7497</v>
      </c>
      <c r="J178" s="32"/>
      <c r="K178" s="33" t="s">
        <v>7339</v>
      </c>
      <c r="L178" s="32" t="s">
        <v>7398</v>
      </c>
      <c r="M178" t="s">
        <v>7165</v>
      </c>
      <c r="N178" t="s">
        <v>7165</v>
      </c>
      <c r="O178" t="s">
        <v>7356</v>
      </c>
    </row>
    <row r="179" spans="1:15" x14ac:dyDescent="0.2">
      <c r="A179" s="27" t="s">
        <v>163</v>
      </c>
      <c r="B179" s="2" t="s">
        <v>171</v>
      </c>
      <c r="C179" s="2" t="s">
        <v>68</v>
      </c>
      <c r="D179" s="2" t="s">
        <v>174</v>
      </c>
      <c r="E179" s="2" t="s">
        <v>161</v>
      </c>
      <c r="F179" s="2" t="s">
        <v>77</v>
      </c>
      <c r="G179" s="32" t="s">
        <v>164</v>
      </c>
      <c r="H179" s="32" t="s">
        <v>7266</v>
      </c>
      <c r="I179" s="32" t="s">
        <v>7516</v>
      </c>
      <c r="J179" s="32"/>
      <c r="K179" s="33" t="s">
        <v>7197</v>
      </c>
      <c r="L179" s="32" t="s">
        <v>7378</v>
      </c>
      <c r="M179" t="s">
        <v>60</v>
      </c>
      <c r="N179" t="s">
        <v>60</v>
      </c>
      <c r="O179" t="s">
        <v>7357</v>
      </c>
    </row>
    <row r="180" spans="1:15" x14ac:dyDescent="0.2">
      <c r="A180" s="27" t="s">
        <v>1309</v>
      </c>
      <c r="B180" s="2" t="s">
        <v>1312</v>
      </c>
      <c r="C180" s="2" t="s">
        <v>68</v>
      </c>
      <c r="D180" s="2" t="s">
        <v>1315</v>
      </c>
      <c r="E180" s="2" t="s">
        <v>1307</v>
      </c>
      <c r="F180" s="2" t="s">
        <v>77</v>
      </c>
      <c r="G180" s="32" t="s">
        <v>603</v>
      </c>
      <c r="H180" s="32" t="s">
        <v>7179</v>
      </c>
      <c r="I180" s="32" t="s">
        <v>7497</v>
      </c>
      <c r="J180" s="32"/>
      <c r="K180" s="33" t="s">
        <v>7319</v>
      </c>
      <c r="L180" s="32" t="s">
        <v>7416</v>
      </c>
      <c r="M180" t="s">
        <v>7165</v>
      </c>
      <c r="N180" t="s">
        <v>7165</v>
      </c>
      <c r="O180" t="s">
        <v>7468</v>
      </c>
    </row>
    <row r="181" spans="1:15" x14ac:dyDescent="0.2">
      <c r="A181" s="27" t="s">
        <v>5782</v>
      </c>
      <c r="B181" s="2" t="s">
        <v>5785</v>
      </c>
      <c r="C181" s="2" t="s">
        <v>68</v>
      </c>
      <c r="D181" s="2" t="s">
        <v>5788</v>
      </c>
      <c r="E181" s="2" t="s">
        <v>5780</v>
      </c>
      <c r="F181" s="2" t="s">
        <v>77</v>
      </c>
      <c r="G181" s="32" t="s">
        <v>142</v>
      </c>
      <c r="H181" s="32" t="s">
        <v>7258</v>
      </c>
      <c r="I181" s="32" t="s">
        <v>7499</v>
      </c>
      <c r="J181" s="32"/>
      <c r="K181" s="33" t="s">
        <v>7203</v>
      </c>
      <c r="L181" s="32" t="s">
        <v>7391</v>
      </c>
      <c r="M181" t="s">
        <v>7165</v>
      </c>
      <c r="N181" t="s">
        <v>7165</v>
      </c>
      <c r="O181" t="s">
        <v>7355</v>
      </c>
    </row>
    <row r="182" spans="1:15" x14ac:dyDescent="0.2">
      <c r="A182" s="27" t="s">
        <v>2931</v>
      </c>
      <c r="B182" s="2" t="s">
        <v>2932</v>
      </c>
      <c r="C182" s="2" t="s">
        <v>68</v>
      </c>
      <c r="D182" s="2" t="s">
        <v>2935</v>
      </c>
      <c r="E182" s="2" t="s">
        <v>2930</v>
      </c>
      <c r="F182" s="2" t="s">
        <v>77</v>
      </c>
      <c r="G182" s="32" t="s">
        <v>603</v>
      </c>
      <c r="H182" s="32" t="s">
        <v>7179</v>
      </c>
      <c r="I182" s="32" t="s">
        <v>7497</v>
      </c>
      <c r="J182" s="32"/>
      <c r="K182" s="33" t="s">
        <v>7211</v>
      </c>
      <c r="L182" s="32" t="s">
        <v>7387</v>
      </c>
      <c r="M182" t="s">
        <v>7165</v>
      </c>
      <c r="N182" t="s">
        <v>7165</v>
      </c>
      <c r="O182" t="s">
        <v>7463</v>
      </c>
    </row>
    <row r="183" spans="1:15" x14ac:dyDescent="0.2">
      <c r="A183" s="27" t="s">
        <v>3347</v>
      </c>
      <c r="B183" s="2" t="s">
        <v>3352</v>
      </c>
      <c r="C183" s="2" t="s">
        <v>68</v>
      </c>
      <c r="D183" s="2" t="s">
        <v>3355</v>
      </c>
      <c r="E183" s="2" t="s">
        <v>3345</v>
      </c>
      <c r="F183" s="2" t="s">
        <v>77</v>
      </c>
      <c r="G183" s="32" t="s">
        <v>448</v>
      </c>
      <c r="H183" s="32" t="s">
        <v>7244</v>
      </c>
      <c r="I183" s="32" t="s">
        <v>7499</v>
      </c>
      <c r="J183" s="32"/>
      <c r="K183" s="33" t="s">
        <v>7298</v>
      </c>
      <c r="L183" s="32" t="s">
        <v>7427</v>
      </c>
      <c r="M183" t="s">
        <v>7165</v>
      </c>
      <c r="N183" t="s">
        <v>7165</v>
      </c>
      <c r="O183" t="s">
        <v>7474</v>
      </c>
    </row>
    <row r="184" spans="1:15" x14ac:dyDescent="0.2">
      <c r="A184" s="27" t="s">
        <v>1231</v>
      </c>
      <c r="B184" s="2" t="s">
        <v>1232</v>
      </c>
      <c r="C184" s="2" t="s">
        <v>68</v>
      </c>
      <c r="D184" s="2" t="s">
        <v>1235</v>
      </c>
      <c r="E184" s="2" t="s">
        <v>1230</v>
      </c>
      <c r="F184" s="2" t="s">
        <v>77</v>
      </c>
      <c r="G184" s="32" t="s">
        <v>603</v>
      </c>
      <c r="H184" s="32" t="s">
        <v>7179</v>
      </c>
      <c r="I184" s="32" t="s">
        <v>7497</v>
      </c>
      <c r="J184" s="32"/>
      <c r="K184" s="33" t="s">
        <v>7211</v>
      </c>
      <c r="L184" s="32" t="s">
        <v>7387</v>
      </c>
      <c r="M184" t="s">
        <v>7165</v>
      </c>
      <c r="N184" t="s">
        <v>7165</v>
      </c>
      <c r="O184" t="s">
        <v>7463</v>
      </c>
    </row>
    <row r="185" spans="1:15" x14ac:dyDescent="0.2">
      <c r="A185" s="27" t="s">
        <v>4138</v>
      </c>
      <c r="B185" s="2" t="s">
        <v>4139</v>
      </c>
      <c r="C185" s="2" t="s">
        <v>68</v>
      </c>
      <c r="D185" s="2" t="s">
        <v>4142</v>
      </c>
      <c r="E185" s="2" t="s">
        <v>4136</v>
      </c>
      <c r="F185" s="2" t="s">
        <v>77</v>
      </c>
      <c r="G185" s="32" t="s">
        <v>603</v>
      </c>
      <c r="H185" s="32" t="s">
        <v>7179</v>
      </c>
      <c r="I185" s="32" t="s">
        <v>7497</v>
      </c>
      <c r="J185" s="32"/>
      <c r="K185" s="33" t="s">
        <v>7220</v>
      </c>
      <c r="L185" s="32" t="s">
        <v>7383</v>
      </c>
      <c r="M185" t="s">
        <v>7165</v>
      </c>
      <c r="N185" t="s">
        <v>7165</v>
      </c>
      <c r="O185" t="s">
        <v>7354</v>
      </c>
    </row>
    <row r="186" spans="1:15" x14ac:dyDescent="0.2">
      <c r="A186" s="27" t="s">
        <v>5931</v>
      </c>
      <c r="B186" s="2" t="s">
        <v>5932</v>
      </c>
      <c r="C186" s="2" t="s">
        <v>68</v>
      </c>
      <c r="D186" s="2" t="s">
        <v>5935</v>
      </c>
      <c r="E186" s="2" t="s">
        <v>5930</v>
      </c>
      <c r="F186" s="2" t="s">
        <v>77</v>
      </c>
      <c r="G186" s="32" t="s">
        <v>208</v>
      </c>
      <c r="H186" s="32" t="s">
        <v>7279</v>
      </c>
      <c r="I186" s="32" t="s">
        <v>7504</v>
      </c>
      <c r="J186" s="32"/>
      <c r="K186" s="33" t="s">
        <v>7201</v>
      </c>
      <c r="L186" s="32" t="s">
        <v>7428</v>
      </c>
      <c r="M186" t="s">
        <v>7165</v>
      </c>
      <c r="N186" t="s">
        <v>7165</v>
      </c>
      <c r="O186" t="s">
        <v>7357</v>
      </c>
    </row>
    <row r="187" spans="1:15" x14ac:dyDescent="0.2">
      <c r="A187" s="27" t="s">
        <v>3473</v>
      </c>
      <c r="B187" s="2" t="s">
        <v>3479</v>
      </c>
      <c r="C187" s="2" t="s">
        <v>68</v>
      </c>
      <c r="D187" s="2" t="s">
        <v>3482</v>
      </c>
      <c r="E187" s="2" t="s">
        <v>3471</v>
      </c>
      <c r="F187" s="2" t="s">
        <v>77</v>
      </c>
      <c r="G187" s="32" t="s">
        <v>3475</v>
      </c>
      <c r="H187" s="32" t="s">
        <v>7249</v>
      </c>
      <c r="I187" s="32" t="s">
        <v>7511</v>
      </c>
      <c r="J187" s="32"/>
      <c r="K187" s="33" t="s">
        <v>7205</v>
      </c>
      <c r="L187" s="32" t="s">
        <v>7429</v>
      </c>
      <c r="M187" t="s">
        <v>7165</v>
      </c>
      <c r="N187" t="s">
        <v>7165</v>
      </c>
      <c r="O187" t="s">
        <v>7361</v>
      </c>
    </row>
    <row r="188" spans="1:15" x14ac:dyDescent="0.2">
      <c r="A188" s="27" t="s">
        <v>55</v>
      </c>
      <c r="B188" s="2" t="s">
        <v>66</v>
      </c>
      <c r="C188" s="2" t="s">
        <v>68</v>
      </c>
      <c r="D188" s="2" t="s">
        <v>70</v>
      </c>
      <c r="E188" s="2" t="s">
        <v>53</v>
      </c>
      <c r="F188" s="2" t="s">
        <v>77</v>
      </c>
      <c r="G188" s="32" t="s">
        <v>61</v>
      </c>
      <c r="H188" s="32" t="s">
        <v>7158</v>
      </c>
      <c r="I188" s="32" t="s">
        <v>7504</v>
      </c>
      <c r="J188" s="32"/>
      <c r="K188" s="33" t="s">
        <v>7231</v>
      </c>
      <c r="L188" s="32" t="s">
        <v>7383</v>
      </c>
      <c r="M188" t="s">
        <v>60</v>
      </c>
      <c r="N188" t="s">
        <v>60</v>
      </c>
      <c r="O188" t="s">
        <v>7354</v>
      </c>
    </row>
    <row r="189" spans="1:15" x14ac:dyDescent="0.2">
      <c r="A189" s="27" t="s">
        <v>4598</v>
      </c>
      <c r="B189" s="2" t="s">
        <v>4602</v>
      </c>
      <c r="C189" s="2" t="s">
        <v>68</v>
      </c>
      <c r="D189" s="2" t="s">
        <v>4605</v>
      </c>
      <c r="E189" s="2" t="s">
        <v>4596</v>
      </c>
      <c r="F189" s="2" t="s">
        <v>77</v>
      </c>
      <c r="G189" s="32" t="s">
        <v>4600</v>
      </c>
      <c r="H189" s="32" t="s">
        <v>7288</v>
      </c>
      <c r="I189" s="32" t="s">
        <v>7510</v>
      </c>
      <c r="J189" s="32"/>
      <c r="K189" s="33" t="s">
        <v>7296</v>
      </c>
      <c r="L189" s="32" t="s">
        <v>7405</v>
      </c>
      <c r="M189" t="s">
        <v>7169</v>
      </c>
      <c r="N189" t="s">
        <v>7169</v>
      </c>
      <c r="O189" t="s">
        <v>7464</v>
      </c>
    </row>
    <row r="190" spans="1:15" x14ac:dyDescent="0.2">
      <c r="A190" s="27" t="s">
        <v>738</v>
      </c>
      <c r="B190" s="2" t="s">
        <v>739</v>
      </c>
      <c r="C190" s="2" t="s">
        <v>68</v>
      </c>
      <c r="D190" s="2" t="s">
        <v>742</v>
      </c>
      <c r="E190" s="2" t="s">
        <v>736</v>
      </c>
      <c r="F190" s="2" t="s">
        <v>77</v>
      </c>
      <c r="G190" s="32" t="s">
        <v>603</v>
      </c>
      <c r="H190" s="32" t="s">
        <v>7179</v>
      </c>
      <c r="I190" s="32" t="s">
        <v>7497</v>
      </c>
      <c r="J190" s="32"/>
      <c r="K190" s="33" t="s">
        <v>7194</v>
      </c>
      <c r="L190" s="32" t="s">
        <v>7390</v>
      </c>
      <c r="M190" t="s">
        <v>7165</v>
      </c>
      <c r="N190" t="s">
        <v>7165</v>
      </c>
      <c r="O190" t="s">
        <v>7464</v>
      </c>
    </row>
    <row r="191" spans="1:15" x14ac:dyDescent="0.2">
      <c r="A191" s="27" t="s">
        <v>749</v>
      </c>
      <c r="B191" s="2" t="s">
        <v>752</v>
      </c>
      <c r="C191" s="2" t="s">
        <v>68</v>
      </c>
      <c r="D191" s="2" t="s">
        <v>755</v>
      </c>
      <c r="E191" s="2" t="s">
        <v>747</v>
      </c>
      <c r="F191" s="2" t="s">
        <v>77</v>
      </c>
      <c r="G191" s="32" t="s">
        <v>603</v>
      </c>
      <c r="H191" s="32" t="s">
        <v>7179</v>
      </c>
      <c r="I191" s="32" t="s">
        <v>7497</v>
      </c>
      <c r="J191" s="32"/>
      <c r="K191" s="33" t="s">
        <v>7207</v>
      </c>
      <c r="L191" s="32" t="s">
        <v>7385</v>
      </c>
      <c r="M191" t="s">
        <v>7165</v>
      </c>
      <c r="N191" t="s">
        <v>7165</v>
      </c>
      <c r="O191" t="s">
        <v>7353</v>
      </c>
    </row>
    <row r="192" spans="1:15" x14ac:dyDescent="0.2">
      <c r="A192" s="27" t="s">
        <v>3738</v>
      </c>
      <c r="B192" s="2" t="s">
        <v>3741</v>
      </c>
      <c r="C192" s="2" t="s">
        <v>68</v>
      </c>
      <c r="D192" s="2" t="s">
        <v>3744</v>
      </c>
      <c r="E192" s="2" t="s">
        <v>3736</v>
      </c>
      <c r="F192" s="2" t="s">
        <v>77</v>
      </c>
      <c r="G192" s="32" t="s">
        <v>3739</v>
      </c>
      <c r="H192" s="32" t="s">
        <v>7263</v>
      </c>
      <c r="I192" s="32" t="s">
        <v>7511</v>
      </c>
      <c r="J192" s="32"/>
      <c r="K192" s="33" t="s">
        <v>7196</v>
      </c>
      <c r="L192" s="32" t="s">
        <v>7430</v>
      </c>
      <c r="M192" t="s">
        <v>7165</v>
      </c>
      <c r="N192" t="s">
        <v>7165</v>
      </c>
      <c r="O192" t="s">
        <v>7460</v>
      </c>
    </row>
    <row r="193" spans="1:15" x14ac:dyDescent="0.2">
      <c r="A193" s="27" t="s">
        <v>5040</v>
      </c>
      <c r="B193" s="2" t="s">
        <v>5044</v>
      </c>
      <c r="C193" s="2" t="s">
        <v>68</v>
      </c>
      <c r="D193" s="2" t="s">
        <v>5047</v>
      </c>
      <c r="E193" s="2" t="s">
        <v>5038</v>
      </c>
      <c r="F193" s="2" t="s">
        <v>77</v>
      </c>
      <c r="G193" s="32" t="s">
        <v>4502</v>
      </c>
      <c r="H193" s="32" t="s">
        <v>7288</v>
      </c>
      <c r="I193" s="32" t="s">
        <v>7517</v>
      </c>
      <c r="J193" s="32"/>
      <c r="K193" s="33" t="s">
        <v>7316</v>
      </c>
      <c r="L193" s="32" t="s">
        <v>7431</v>
      </c>
      <c r="M193" t="s">
        <v>7165</v>
      </c>
      <c r="N193" t="s">
        <v>7165</v>
      </c>
      <c r="O193" t="s">
        <v>7360</v>
      </c>
    </row>
    <row r="194" spans="1:15" x14ac:dyDescent="0.2">
      <c r="A194" s="27" t="s">
        <v>232</v>
      </c>
      <c r="B194" s="2" t="s">
        <v>236</v>
      </c>
      <c r="C194" s="2" t="s">
        <v>68</v>
      </c>
      <c r="D194" s="2" t="s">
        <v>239</v>
      </c>
      <c r="E194" s="2" t="s">
        <v>230</v>
      </c>
      <c r="F194" s="2" t="s">
        <v>77</v>
      </c>
      <c r="G194" s="32" t="s">
        <v>208</v>
      </c>
      <c r="H194" s="32" t="s">
        <v>7279</v>
      </c>
      <c r="I194" s="32" t="s">
        <v>7504</v>
      </c>
      <c r="J194" s="32"/>
      <c r="K194" s="33" t="s">
        <v>7201</v>
      </c>
      <c r="L194" s="32" t="s">
        <v>7428</v>
      </c>
      <c r="M194" t="s">
        <v>7165</v>
      </c>
      <c r="N194" t="s">
        <v>7165</v>
      </c>
      <c r="O194" t="s">
        <v>7357</v>
      </c>
    </row>
    <row r="195" spans="1:15" x14ac:dyDescent="0.2">
      <c r="A195" s="27" t="s">
        <v>1154</v>
      </c>
      <c r="B195" s="2" t="s">
        <v>1155</v>
      </c>
      <c r="C195" s="2" t="s">
        <v>68</v>
      </c>
      <c r="D195" s="2" t="s">
        <v>1158</v>
      </c>
      <c r="E195" s="2" t="s">
        <v>1152</v>
      </c>
      <c r="F195" s="2" t="s">
        <v>77</v>
      </c>
      <c r="G195" s="32" t="s">
        <v>603</v>
      </c>
      <c r="H195" s="32" t="s">
        <v>7179</v>
      </c>
      <c r="I195" s="32" t="s">
        <v>7497</v>
      </c>
      <c r="J195" s="32"/>
      <c r="K195" s="33" t="s">
        <v>7194</v>
      </c>
      <c r="L195" s="32" t="s">
        <v>7390</v>
      </c>
      <c r="M195" t="s">
        <v>7165</v>
      </c>
      <c r="N195" t="s">
        <v>7165</v>
      </c>
      <c r="O195" t="s">
        <v>7464</v>
      </c>
    </row>
    <row r="196" spans="1:15" x14ac:dyDescent="0.2">
      <c r="A196" s="27" t="s">
        <v>1523</v>
      </c>
      <c r="B196" s="2" t="s">
        <v>1524</v>
      </c>
      <c r="C196" s="2" t="s">
        <v>68</v>
      </c>
      <c r="D196" s="2" t="s">
        <v>1527</v>
      </c>
      <c r="E196" s="2" t="s">
        <v>1521</v>
      </c>
      <c r="F196" s="2" t="s">
        <v>77</v>
      </c>
      <c r="G196" s="32" t="s">
        <v>603</v>
      </c>
      <c r="H196" s="32" t="s">
        <v>7179</v>
      </c>
      <c r="I196" s="32" t="s">
        <v>7497</v>
      </c>
      <c r="J196" s="32"/>
      <c r="K196" s="33" t="s">
        <v>7339</v>
      </c>
      <c r="L196" s="32" t="s">
        <v>7398</v>
      </c>
      <c r="M196" t="s">
        <v>7165</v>
      </c>
      <c r="N196" t="s">
        <v>7165</v>
      </c>
      <c r="O196" t="s">
        <v>7356</v>
      </c>
    </row>
    <row r="197" spans="1:15" x14ac:dyDescent="0.2">
      <c r="A197" s="27" t="s">
        <v>6580</v>
      </c>
      <c r="B197" s="2" t="s">
        <v>6581</v>
      </c>
      <c r="C197" s="2" t="s">
        <v>68</v>
      </c>
      <c r="D197" s="2" t="s">
        <v>6584</v>
      </c>
      <c r="E197" s="2" t="s">
        <v>6578</v>
      </c>
      <c r="F197" s="2" t="s">
        <v>77</v>
      </c>
      <c r="G197" s="32" t="s">
        <v>61</v>
      </c>
      <c r="H197" s="32" t="s">
        <v>7158</v>
      </c>
      <c r="I197" s="32" t="s">
        <v>7504</v>
      </c>
      <c r="J197" s="32"/>
      <c r="K197" s="33" t="s">
        <v>7231</v>
      </c>
      <c r="L197" s="32" t="s">
        <v>7383</v>
      </c>
      <c r="M197" t="s">
        <v>60</v>
      </c>
      <c r="N197" t="s">
        <v>60</v>
      </c>
      <c r="O197" t="s">
        <v>7354</v>
      </c>
    </row>
    <row r="198" spans="1:15" x14ac:dyDescent="0.2">
      <c r="A198" s="27" t="s">
        <v>785</v>
      </c>
      <c r="B198" s="2" t="s">
        <v>786</v>
      </c>
      <c r="C198" s="2" t="s">
        <v>68</v>
      </c>
      <c r="D198" s="2" t="s">
        <v>789</v>
      </c>
      <c r="E198" s="2" t="s">
        <v>783</v>
      </c>
      <c r="F198" s="2" t="s">
        <v>77</v>
      </c>
      <c r="G198" s="32" t="s">
        <v>603</v>
      </c>
      <c r="H198" s="32" t="s">
        <v>7179</v>
      </c>
      <c r="I198" s="32" t="s">
        <v>7497</v>
      </c>
      <c r="J198" s="32"/>
      <c r="K198" s="33" t="s">
        <v>7220</v>
      </c>
      <c r="L198" s="32" t="s">
        <v>7383</v>
      </c>
      <c r="M198" t="s">
        <v>7165</v>
      </c>
      <c r="N198" t="s">
        <v>7165</v>
      </c>
      <c r="O198" t="s">
        <v>7354</v>
      </c>
    </row>
    <row r="199" spans="1:15" x14ac:dyDescent="0.2">
      <c r="A199" s="27" t="s">
        <v>1599</v>
      </c>
      <c r="B199" s="2" t="s">
        <v>1600</v>
      </c>
      <c r="C199" s="2" t="s">
        <v>68</v>
      </c>
      <c r="D199" s="2" t="s">
        <v>1602</v>
      </c>
      <c r="E199" s="2" t="s">
        <v>1597</v>
      </c>
      <c r="F199" s="2" t="s">
        <v>77</v>
      </c>
      <c r="G199" s="32" t="s">
        <v>603</v>
      </c>
      <c r="H199" s="32" t="s">
        <v>7179</v>
      </c>
      <c r="I199" s="32" t="s">
        <v>7497</v>
      </c>
      <c r="J199" s="32"/>
      <c r="K199" s="33" t="s">
        <v>7211</v>
      </c>
      <c r="L199" s="32" t="s">
        <v>7387</v>
      </c>
      <c r="M199" t="s">
        <v>7165</v>
      </c>
      <c r="N199" t="s">
        <v>7165</v>
      </c>
      <c r="O199" t="s">
        <v>7463</v>
      </c>
    </row>
    <row r="200" spans="1:15" x14ac:dyDescent="0.2">
      <c r="A200" s="27" t="s">
        <v>3491</v>
      </c>
      <c r="B200" s="2" t="s">
        <v>3493</v>
      </c>
      <c r="C200" s="2" t="s">
        <v>68</v>
      </c>
      <c r="D200" s="2" t="s">
        <v>3496</v>
      </c>
      <c r="E200" s="2" t="s">
        <v>3489</v>
      </c>
      <c r="F200" s="2" t="s">
        <v>77</v>
      </c>
      <c r="G200" s="32" t="s">
        <v>448</v>
      </c>
      <c r="H200" s="32" t="s">
        <v>7244</v>
      </c>
      <c r="I200" s="32" t="s">
        <v>7499</v>
      </c>
      <c r="J200" s="32"/>
      <c r="K200" s="33" t="s">
        <v>7200</v>
      </c>
      <c r="L200" s="32" t="s">
        <v>7380</v>
      </c>
      <c r="M200" t="s">
        <v>7165</v>
      </c>
      <c r="N200" t="s">
        <v>7165</v>
      </c>
      <c r="O200" t="s">
        <v>7460</v>
      </c>
    </row>
    <row r="201" spans="1:15" x14ac:dyDescent="0.2">
      <c r="A201" s="27" t="s">
        <v>5261</v>
      </c>
      <c r="B201" s="2" t="s">
        <v>5262</v>
      </c>
      <c r="C201" s="2" t="s">
        <v>68</v>
      </c>
      <c r="D201" s="2" t="s">
        <v>5265</v>
      </c>
      <c r="E201" s="2" t="s">
        <v>5259</v>
      </c>
      <c r="F201" s="2" t="s">
        <v>77</v>
      </c>
      <c r="G201" s="32" t="s">
        <v>3210</v>
      </c>
      <c r="H201" s="32" t="s">
        <v>7245</v>
      </c>
      <c r="I201" s="32" t="s">
        <v>7510</v>
      </c>
      <c r="J201" s="32"/>
      <c r="K201" s="33" t="s">
        <v>7220</v>
      </c>
      <c r="L201" s="32" t="s">
        <v>7383</v>
      </c>
      <c r="M201" t="s">
        <v>7165</v>
      </c>
      <c r="N201" t="s">
        <v>7165</v>
      </c>
      <c r="O201" t="s">
        <v>7354</v>
      </c>
    </row>
    <row r="202" spans="1:15" x14ac:dyDescent="0.2">
      <c r="A202" s="27" t="s">
        <v>479</v>
      </c>
      <c r="B202" s="2" t="s">
        <v>484</v>
      </c>
      <c r="C202" s="2" t="s">
        <v>68</v>
      </c>
      <c r="D202" s="2" t="s">
        <v>487</v>
      </c>
      <c r="E202" s="2" t="s">
        <v>477</v>
      </c>
      <c r="F202" s="2" t="s">
        <v>77</v>
      </c>
      <c r="G202" s="32" t="s">
        <v>481</v>
      </c>
      <c r="H202" s="32" t="s">
        <v>7262</v>
      </c>
      <c r="I202" s="32" t="s">
        <v>7497</v>
      </c>
      <c r="J202" s="32"/>
      <c r="K202" s="33" t="s">
        <v>7201</v>
      </c>
      <c r="L202" s="32" t="s">
        <v>7428</v>
      </c>
      <c r="M202" t="s">
        <v>7165</v>
      </c>
      <c r="N202" t="s">
        <v>7165</v>
      </c>
      <c r="O202" t="s">
        <v>7357</v>
      </c>
    </row>
    <row r="203" spans="1:15" x14ac:dyDescent="0.2">
      <c r="A203" s="27" t="s">
        <v>3726</v>
      </c>
      <c r="B203" s="2" t="s">
        <v>3728</v>
      </c>
      <c r="C203" s="2" t="s">
        <v>68</v>
      </c>
      <c r="D203" s="2" t="s">
        <v>3731</v>
      </c>
      <c r="E203" s="2" t="s">
        <v>3724</v>
      </c>
      <c r="F203" s="2" t="s">
        <v>77</v>
      </c>
      <c r="G203" s="32" t="s">
        <v>448</v>
      </c>
      <c r="H203" s="32" t="s">
        <v>7244</v>
      </c>
      <c r="I203" s="32" t="s">
        <v>7499</v>
      </c>
      <c r="J203" s="32"/>
      <c r="K203" s="33" t="s">
        <v>7199</v>
      </c>
      <c r="L203" s="32" t="s">
        <v>7432</v>
      </c>
      <c r="M203" t="s">
        <v>7165</v>
      </c>
      <c r="N203" t="s">
        <v>7165</v>
      </c>
      <c r="O203" t="s">
        <v>7460</v>
      </c>
    </row>
    <row r="204" spans="1:15" x14ac:dyDescent="0.2">
      <c r="A204" s="27" t="s">
        <v>3787</v>
      </c>
      <c r="B204" s="2" t="s">
        <v>3788</v>
      </c>
      <c r="C204" s="2" t="s">
        <v>68</v>
      </c>
      <c r="D204" s="2" t="s">
        <v>3791</v>
      </c>
      <c r="E204" s="2" t="s">
        <v>3785</v>
      </c>
      <c r="F204" s="2" t="s">
        <v>77</v>
      </c>
      <c r="G204" s="32" t="s">
        <v>183</v>
      </c>
      <c r="H204" s="32" t="s">
        <v>7286</v>
      </c>
      <c r="I204" s="32" t="s">
        <v>7500</v>
      </c>
      <c r="J204" s="32"/>
      <c r="K204" s="33" t="s">
        <v>7230</v>
      </c>
      <c r="L204" s="32" t="s">
        <v>7404</v>
      </c>
      <c r="M204" t="s">
        <v>7165</v>
      </c>
      <c r="N204" t="s">
        <v>7165</v>
      </c>
      <c r="O204" t="s">
        <v>7358</v>
      </c>
    </row>
    <row r="205" spans="1:15" x14ac:dyDescent="0.2">
      <c r="A205" s="27" t="s">
        <v>549</v>
      </c>
      <c r="B205" s="2" t="s">
        <v>550</v>
      </c>
      <c r="C205" s="2" t="s">
        <v>68</v>
      </c>
      <c r="D205" s="2" t="s">
        <v>553</v>
      </c>
      <c r="E205" s="2" t="s">
        <v>548</v>
      </c>
      <c r="F205" s="2" t="s">
        <v>77</v>
      </c>
      <c r="G205" s="32" t="s">
        <v>183</v>
      </c>
      <c r="H205" s="32" t="s">
        <v>7286</v>
      </c>
      <c r="I205" s="32" t="s">
        <v>7500</v>
      </c>
      <c r="J205" s="32"/>
      <c r="K205" s="33" t="s">
        <v>7210</v>
      </c>
      <c r="L205" s="32" t="s">
        <v>7382</v>
      </c>
      <c r="M205" t="s">
        <v>7165</v>
      </c>
      <c r="N205" t="s">
        <v>7165</v>
      </c>
      <c r="O205" t="s">
        <v>7462</v>
      </c>
    </row>
    <row r="206" spans="1:15" x14ac:dyDescent="0.2">
      <c r="A206" s="27" t="s">
        <v>4680</v>
      </c>
      <c r="B206" s="2" t="s">
        <v>4682</v>
      </c>
      <c r="C206" s="2" t="s">
        <v>68</v>
      </c>
      <c r="D206" s="2" t="s">
        <v>4685</v>
      </c>
      <c r="E206" s="2" t="s">
        <v>4678</v>
      </c>
      <c r="F206" s="2" t="s">
        <v>77</v>
      </c>
      <c r="G206" s="32" t="s">
        <v>4666</v>
      </c>
      <c r="H206" s="32" t="s">
        <v>7255</v>
      </c>
      <c r="I206" s="32" t="s">
        <v>7502</v>
      </c>
      <c r="J206" s="32"/>
      <c r="K206" s="33" t="s">
        <v>7231</v>
      </c>
      <c r="L206" s="32" t="s">
        <v>7383</v>
      </c>
      <c r="M206" t="s">
        <v>7169</v>
      </c>
      <c r="N206" t="s">
        <v>7169</v>
      </c>
      <c r="O206" t="s">
        <v>7354</v>
      </c>
    </row>
    <row r="207" spans="1:15" x14ac:dyDescent="0.2">
      <c r="A207" s="27" t="s">
        <v>6605</v>
      </c>
      <c r="B207" s="2" t="s">
        <v>6606</v>
      </c>
      <c r="C207" s="2" t="s">
        <v>68</v>
      </c>
      <c r="D207" s="2" t="s">
        <v>6609</v>
      </c>
      <c r="E207" s="2" t="s">
        <v>6603</v>
      </c>
      <c r="F207" s="2" t="s">
        <v>77</v>
      </c>
      <c r="G207" s="32" t="s">
        <v>95</v>
      </c>
      <c r="H207" s="32" t="s">
        <v>7281</v>
      </c>
      <c r="I207" s="32" t="s">
        <v>7518</v>
      </c>
      <c r="J207" s="32"/>
      <c r="K207" s="33" t="s">
        <v>7331</v>
      </c>
      <c r="L207" s="32" t="s">
        <v>7396</v>
      </c>
      <c r="M207" t="s">
        <v>60</v>
      </c>
      <c r="N207" t="s">
        <v>60</v>
      </c>
      <c r="O207" t="s">
        <v>7354</v>
      </c>
    </row>
    <row r="208" spans="1:15" x14ac:dyDescent="0.2">
      <c r="A208" s="27" t="s">
        <v>6732</v>
      </c>
      <c r="B208" s="2" t="s">
        <v>6734</v>
      </c>
      <c r="C208" s="2" t="s">
        <v>68</v>
      </c>
      <c r="D208" s="2" t="s">
        <v>6737</v>
      </c>
      <c r="E208" s="2" t="s">
        <v>6730</v>
      </c>
      <c r="F208" s="2" t="s">
        <v>77</v>
      </c>
      <c r="G208" s="32" t="s">
        <v>5551</v>
      </c>
      <c r="H208" s="32" t="s">
        <v>7237</v>
      </c>
      <c r="I208" s="32" t="s">
        <v>7511</v>
      </c>
      <c r="J208" s="32"/>
      <c r="K208" s="33" t="s">
        <v>7231</v>
      </c>
      <c r="L208" s="32" t="s">
        <v>7383</v>
      </c>
      <c r="M208" t="s">
        <v>7165</v>
      </c>
      <c r="N208" t="s">
        <v>7165</v>
      </c>
      <c r="O208" t="s">
        <v>7354</v>
      </c>
    </row>
    <row r="209" spans="1:15" x14ac:dyDescent="0.2">
      <c r="A209" s="27" t="s">
        <v>1199</v>
      </c>
      <c r="B209" s="2" t="s">
        <v>1201</v>
      </c>
      <c r="C209" s="2" t="s">
        <v>68</v>
      </c>
      <c r="D209" s="2" t="s">
        <v>1204</v>
      </c>
      <c r="E209" s="2" t="s">
        <v>1198</v>
      </c>
      <c r="F209" s="2" t="s">
        <v>77</v>
      </c>
      <c r="G209" s="32" t="s">
        <v>603</v>
      </c>
      <c r="H209" s="32" t="s">
        <v>7179</v>
      </c>
      <c r="I209" s="32" t="s">
        <v>7497</v>
      </c>
      <c r="J209" s="32"/>
      <c r="K209" s="33" t="s">
        <v>7194</v>
      </c>
      <c r="L209" s="32" t="s">
        <v>7390</v>
      </c>
      <c r="M209" t="s">
        <v>7165</v>
      </c>
      <c r="N209" t="s">
        <v>7165</v>
      </c>
      <c r="O209" t="s">
        <v>7464</v>
      </c>
    </row>
    <row r="210" spans="1:15" x14ac:dyDescent="0.2">
      <c r="A210" s="27" t="s">
        <v>6530</v>
      </c>
      <c r="B210" s="2" t="s">
        <v>6532</v>
      </c>
      <c r="C210" s="2" t="s">
        <v>68</v>
      </c>
      <c r="D210" s="2" t="s">
        <v>6535</v>
      </c>
      <c r="E210" s="2" t="s">
        <v>6528</v>
      </c>
      <c r="F210" s="2" t="s">
        <v>77</v>
      </c>
      <c r="G210" s="32" t="s">
        <v>4502</v>
      </c>
      <c r="H210" s="32" t="s">
        <v>7288</v>
      </c>
      <c r="I210" s="32" t="s">
        <v>7517</v>
      </c>
      <c r="J210" s="32"/>
      <c r="K210" s="33" t="s">
        <v>7195</v>
      </c>
      <c r="L210" s="32" t="s">
        <v>7423</v>
      </c>
      <c r="M210" t="s">
        <v>7172</v>
      </c>
      <c r="N210" t="s">
        <v>7165</v>
      </c>
      <c r="O210" t="s">
        <v>7460</v>
      </c>
    </row>
    <row r="211" spans="1:15" x14ac:dyDescent="0.2">
      <c r="A211" s="27" t="s">
        <v>586</v>
      </c>
      <c r="B211" s="2" t="s">
        <v>589</v>
      </c>
      <c r="C211" s="2" t="s">
        <v>68</v>
      </c>
      <c r="D211" s="2" t="s">
        <v>592</v>
      </c>
      <c r="E211" s="2" t="s">
        <v>584</v>
      </c>
      <c r="F211" s="2" t="s">
        <v>77</v>
      </c>
      <c r="G211" s="32" t="s">
        <v>448</v>
      </c>
      <c r="H211" s="32" t="s">
        <v>7244</v>
      </c>
      <c r="I211" s="32" t="s">
        <v>7499</v>
      </c>
      <c r="J211" s="32"/>
      <c r="K211" s="33" t="s">
        <v>7337</v>
      </c>
      <c r="L211" s="32" t="s">
        <v>7433</v>
      </c>
      <c r="M211" t="s">
        <v>7165</v>
      </c>
      <c r="N211" t="s">
        <v>7165</v>
      </c>
      <c r="O211" t="s">
        <v>7460</v>
      </c>
    </row>
    <row r="212" spans="1:15" x14ac:dyDescent="0.2">
      <c r="A212" s="27" t="s">
        <v>5284</v>
      </c>
      <c r="B212" s="2" t="s">
        <v>5285</v>
      </c>
      <c r="C212" s="2" t="s">
        <v>68</v>
      </c>
      <c r="D212" s="2" t="s">
        <v>5288</v>
      </c>
      <c r="E212" s="2" t="s">
        <v>5283</v>
      </c>
      <c r="F212" s="2" t="s">
        <v>77</v>
      </c>
      <c r="G212" s="32" t="s">
        <v>3210</v>
      </c>
      <c r="H212" s="32" t="s">
        <v>7245</v>
      </c>
      <c r="I212" s="32" t="s">
        <v>7510</v>
      </c>
      <c r="J212" s="32"/>
      <c r="K212" s="33" t="s">
        <v>7220</v>
      </c>
      <c r="L212" s="32" t="s">
        <v>7383</v>
      </c>
      <c r="M212" t="s">
        <v>7165</v>
      </c>
      <c r="N212" t="s">
        <v>7165</v>
      </c>
      <c r="O212" t="s">
        <v>7354</v>
      </c>
    </row>
    <row r="213" spans="1:15" x14ac:dyDescent="0.2">
      <c r="A213" s="27" t="s">
        <v>4100</v>
      </c>
      <c r="B213" s="2" t="s">
        <v>4101</v>
      </c>
      <c r="C213" s="2" t="s">
        <v>68</v>
      </c>
      <c r="D213" s="2" t="s">
        <v>4104</v>
      </c>
      <c r="E213" s="2" t="s">
        <v>4098</v>
      </c>
      <c r="F213" s="2" t="s">
        <v>77</v>
      </c>
      <c r="G213" s="32" t="s">
        <v>603</v>
      </c>
      <c r="H213" s="32" t="s">
        <v>7179</v>
      </c>
      <c r="I213" s="32" t="s">
        <v>7497</v>
      </c>
      <c r="J213" s="32"/>
      <c r="K213" s="33" t="s">
        <v>7220</v>
      </c>
      <c r="L213" s="32" t="s">
        <v>7383</v>
      </c>
      <c r="M213" t="s">
        <v>7165</v>
      </c>
      <c r="N213" t="s">
        <v>7165</v>
      </c>
      <c r="O213" t="s">
        <v>7354</v>
      </c>
    </row>
    <row r="214" spans="1:15" x14ac:dyDescent="0.2">
      <c r="A214" s="27" t="s">
        <v>4887</v>
      </c>
      <c r="B214" s="2" t="s">
        <v>4888</v>
      </c>
      <c r="C214" s="2" t="s">
        <v>68</v>
      </c>
      <c r="D214" s="2" t="s">
        <v>4891</v>
      </c>
      <c r="E214" s="2" t="s">
        <v>4885</v>
      </c>
      <c r="F214" s="2" t="s">
        <v>77</v>
      </c>
      <c r="G214" s="32" t="s">
        <v>4872</v>
      </c>
      <c r="H214" s="32" t="s">
        <v>7235</v>
      </c>
      <c r="I214" s="32" t="s">
        <v>7498</v>
      </c>
      <c r="J214" s="32"/>
      <c r="K214" s="33" t="s">
        <v>7344</v>
      </c>
      <c r="L214" s="32" t="s">
        <v>7424</v>
      </c>
      <c r="M214" t="s">
        <v>7165</v>
      </c>
      <c r="N214" t="s">
        <v>7165</v>
      </c>
      <c r="O214" t="s">
        <v>7355</v>
      </c>
    </row>
    <row r="215" spans="1:15" x14ac:dyDescent="0.2">
      <c r="A215" s="27" t="s">
        <v>5825</v>
      </c>
      <c r="B215" s="2" t="s">
        <v>5828</v>
      </c>
      <c r="C215" s="2" t="s">
        <v>68</v>
      </c>
      <c r="D215" s="2" t="s">
        <v>5831</v>
      </c>
      <c r="E215" s="2" t="s">
        <v>5823</v>
      </c>
      <c r="F215" s="2" t="s">
        <v>77</v>
      </c>
      <c r="G215" s="32" t="s">
        <v>4768</v>
      </c>
      <c r="H215" s="32" t="s">
        <v>7288</v>
      </c>
      <c r="I215" s="32" t="s">
        <v>7519</v>
      </c>
      <c r="J215" s="32"/>
      <c r="K215" s="33" t="s">
        <v>7297</v>
      </c>
      <c r="L215" s="32" t="s">
        <v>7434</v>
      </c>
      <c r="M215" t="s">
        <v>7165</v>
      </c>
      <c r="N215" t="s">
        <v>7165</v>
      </c>
      <c r="O215" t="s">
        <v>7354</v>
      </c>
    </row>
    <row r="216" spans="1:15" x14ac:dyDescent="0.2">
      <c r="A216" s="27" t="s">
        <v>1665</v>
      </c>
      <c r="B216" s="2" t="s">
        <v>1666</v>
      </c>
      <c r="C216" s="2" t="s">
        <v>68</v>
      </c>
      <c r="D216" s="2" t="s">
        <v>1668</v>
      </c>
      <c r="E216" s="2" t="s">
        <v>1663</v>
      </c>
      <c r="F216" s="2" t="s">
        <v>77</v>
      </c>
      <c r="G216" s="32" t="s">
        <v>603</v>
      </c>
      <c r="H216" s="32" t="s">
        <v>7179</v>
      </c>
      <c r="I216" s="32" t="s">
        <v>7497</v>
      </c>
      <c r="J216" s="32"/>
      <c r="K216" s="33" t="s">
        <v>7211</v>
      </c>
      <c r="L216" s="32" t="s">
        <v>7387</v>
      </c>
      <c r="M216" t="s">
        <v>7165</v>
      </c>
      <c r="N216" t="s">
        <v>7165</v>
      </c>
      <c r="O216" t="s">
        <v>7463</v>
      </c>
    </row>
    <row r="217" spans="1:15" x14ac:dyDescent="0.2">
      <c r="A217" s="27" t="s">
        <v>3666</v>
      </c>
      <c r="B217" s="2" t="s">
        <v>3667</v>
      </c>
      <c r="C217" s="2" t="s">
        <v>68</v>
      </c>
      <c r="D217" s="2" t="s">
        <v>3670</v>
      </c>
      <c r="E217" s="2" t="s">
        <v>3664</v>
      </c>
      <c r="F217" s="2" t="s">
        <v>77</v>
      </c>
      <c r="G217" s="32" t="s">
        <v>3461</v>
      </c>
      <c r="H217" s="32" t="s">
        <v>7271</v>
      </c>
      <c r="I217" s="32" t="s">
        <v>7517</v>
      </c>
      <c r="J217" s="32"/>
      <c r="K217" s="33" t="s">
        <v>7200</v>
      </c>
      <c r="L217" s="32" t="s">
        <v>7380</v>
      </c>
      <c r="M217" t="s">
        <v>7165</v>
      </c>
      <c r="N217" t="s">
        <v>7165</v>
      </c>
      <c r="O217" t="s">
        <v>7460</v>
      </c>
    </row>
    <row r="218" spans="1:15" x14ac:dyDescent="0.2">
      <c r="A218" s="27" t="s">
        <v>5770</v>
      </c>
      <c r="B218" s="2" t="s">
        <v>5771</v>
      </c>
      <c r="C218" s="2" t="s">
        <v>68</v>
      </c>
      <c r="D218" s="2" t="s">
        <v>5774</v>
      </c>
      <c r="E218" s="2" t="s">
        <v>5769</v>
      </c>
      <c r="F218" s="2" t="s">
        <v>77</v>
      </c>
      <c r="G218" s="32" t="s">
        <v>4285</v>
      </c>
      <c r="H218" s="32" t="s">
        <v>7286</v>
      </c>
      <c r="I218" s="32" t="s">
        <v>7498</v>
      </c>
      <c r="J218" s="32"/>
      <c r="K218" s="33" t="s">
        <v>7295</v>
      </c>
      <c r="L218" s="32" t="s">
        <v>7435</v>
      </c>
      <c r="M218" t="s">
        <v>7165</v>
      </c>
      <c r="N218" t="s">
        <v>7165</v>
      </c>
      <c r="O218" t="s">
        <v>7464</v>
      </c>
    </row>
    <row r="219" spans="1:15" x14ac:dyDescent="0.2">
      <c r="A219" s="27" t="s">
        <v>5430</v>
      </c>
      <c r="B219" s="2" t="s">
        <v>5431</v>
      </c>
      <c r="C219" s="2" t="s">
        <v>68</v>
      </c>
      <c r="D219" s="2" t="s">
        <v>5434</v>
      </c>
      <c r="E219" s="2" t="s">
        <v>5429</v>
      </c>
      <c r="F219" s="2" t="s">
        <v>77</v>
      </c>
      <c r="G219" s="32" t="s">
        <v>5416</v>
      </c>
      <c r="H219" s="32" t="s">
        <v>7262</v>
      </c>
      <c r="I219" s="32" t="s">
        <v>7504</v>
      </c>
      <c r="J219" s="32"/>
      <c r="K219" s="33" t="s">
        <v>7300</v>
      </c>
      <c r="L219" s="32" t="s">
        <v>7436</v>
      </c>
      <c r="M219" t="s">
        <v>7165</v>
      </c>
      <c r="N219" t="s">
        <v>7165</v>
      </c>
      <c r="O219" t="s">
        <v>7464</v>
      </c>
    </row>
    <row r="220" spans="1:15" x14ac:dyDescent="0.2">
      <c r="A220" s="27" t="s">
        <v>6697</v>
      </c>
      <c r="B220" s="2" t="s">
        <v>6698</v>
      </c>
      <c r="C220" s="2" t="s">
        <v>68</v>
      </c>
      <c r="D220" s="2" t="s">
        <v>6701</v>
      </c>
      <c r="E220" s="2" t="s">
        <v>6695</v>
      </c>
      <c r="F220" s="2" t="s">
        <v>77</v>
      </c>
      <c r="G220" s="32" t="s">
        <v>61</v>
      </c>
      <c r="H220" s="32" t="s">
        <v>7158</v>
      </c>
      <c r="I220" s="32" t="s">
        <v>7504</v>
      </c>
      <c r="J220" s="32"/>
      <c r="K220" s="33" t="s">
        <v>7231</v>
      </c>
      <c r="L220" s="32" t="s">
        <v>7383</v>
      </c>
      <c r="M220" t="s">
        <v>60</v>
      </c>
      <c r="N220" t="s">
        <v>60</v>
      </c>
      <c r="O220" t="s">
        <v>7354</v>
      </c>
    </row>
    <row r="221" spans="1:15" x14ac:dyDescent="0.2">
      <c r="A221" s="27" t="s">
        <v>309</v>
      </c>
      <c r="B221" s="2" t="s">
        <v>315</v>
      </c>
      <c r="C221" s="2" t="s">
        <v>68</v>
      </c>
      <c r="D221" s="2" t="s">
        <v>318</v>
      </c>
      <c r="E221" s="2" t="s">
        <v>307</v>
      </c>
      <c r="F221" s="2" t="s">
        <v>77</v>
      </c>
      <c r="G221" s="32" t="s">
        <v>311</v>
      </c>
      <c r="H221" s="32" t="s">
        <v>7256</v>
      </c>
      <c r="I221" s="32" t="s">
        <v>7510</v>
      </c>
      <c r="J221" s="32"/>
      <c r="K221" s="33" t="s">
        <v>7345</v>
      </c>
      <c r="L221" s="32" t="s">
        <v>7411</v>
      </c>
      <c r="M221" t="s">
        <v>7167</v>
      </c>
      <c r="N221" t="s">
        <v>7167</v>
      </c>
      <c r="O221" t="s">
        <v>7355</v>
      </c>
    </row>
    <row r="222" spans="1:15" x14ac:dyDescent="0.2">
      <c r="A222" s="27" t="s">
        <v>1454</v>
      </c>
      <c r="B222" s="2" t="s">
        <v>1455</v>
      </c>
      <c r="C222" s="2" t="s">
        <v>68</v>
      </c>
      <c r="D222" s="2" t="s">
        <v>1457</v>
      </c>
      <c r="E222" s="2" t="s">
        <v>1452</v>
      </c>
      <c r="F222" s="2" t="s">
        <v>77</v>
      </c>
      <c r="G222" s="32" t="s">
        <v>603</v>
      </c>
      <c r="H222" s="32" t="s">
        <v>7179</v>
      </c>
      <c r="I222" s="32" t="s">
        <v>7497</v>
      </c>
      <c r="J222" s="32"/>
      <c r="K222" s="33" t="s">
        <v>7211</v>
      </c>
      <c r="L222" s="32" t="s">
        <v>7387</v>
      </c>
      <c r="M222" t="s">
        <v>7165</v>
      </c>
      <c r="N222" t="s">
        <v>7165</v>
      </c>
      <c r="O222" t="s">
        <v>7463</v>
      </c>
    </row>
    <row r="223" spans="1:15" x14ac:dyDescent="0.2">
      <c r="A223" s="27" t="s">
        <v>388</v>
      </c>
      <c r="B223" s="2" t="s">
        <v>393</v>
      </c>
      <c r="C223" s="2" t="s">
        <v>68</v>
      </c>
      <c r="D223" s="2" t="s">
        <v>396</v>
      </c>
      <c r="E223" s="2" t="s">
        <v>386</v>
      </c>
      <c r="F223" s="2" t="s">
        <v>77</v>
      </c>
      <c r="G223" s="32" t="s">
        <v>390</v>
      </c>
      <c r="H223" s="32" t="s">
        <v>7248</v>
      </c>
      <c r="I223" s="32" t="s">
        <v>7502</v>
      </c>
      <c r="J223" s="32"/>
      <c r="K223" s="33" t="s">
        <v>7197</v>
      </c>
      <c r="L223" s="32" t="s">
        <v>7378</v>
      </c>
      <c r="M223" t="s">
        <v>7165</v>
      </c>
      <c r="N223" t="s">
        <v>7165</v>
      </c>
      <c r="O223" t="s">
        <v>7357</v>
      </c>
    </row>
    <row r="224" spans="1:15" x14ac:dyDescent="0.2">
      <c r="A224" s="27" t="s">
        <v>3105</v>
      </c>
      <c r="B224" s="2" t="s">
        <v>3107</v>
      </c>
      <c r="C224" s="2" t="s">
        <v>68</v>
      </c>
      <c r="D224" s="2" t="s">
        <v>3110</v>
      </c>
      <c r="E224" s="2" t="s">
        <v>3103</v>
      </c>
      <c r="F224" s="2" t="s">
        <v>77</v>
      </c>
      <c r="G224" s="32" t="s">
        <v>390</v>
      </c>
      <c r="H224" s="32" t="s">
        <v>7248</v>
      </c>
      <c r="I224" s="32" t="s">
        <v>7502</v>
      </c>
      <c r="J224" s="32"/>
      <c r="K224" s="33" t="s">
        <v>7197</v>
      </c>
      <c r="L224" s="32" t="s">
        <v>7378</v>
      </c>
      <c r="M224" t="s">
        <v>7165</v>
      </c>
      <c r="N224" t="s">
        <v>7165</v>
      </c>
      <c r="O224" t="s">
        <v>7357</v>
      </c>
    </row>
    <row r="225" spans="1:15" x14ac:dyDescent="0.2">
      <c r="A225" s="27" t="s">
        <v>3031</v>
      </c>
      <c r="B225" s="2" t="s">
        <v>3032</v>
      </c>
      <c r="C225" s="2" t="s">
        <v>68</v>
      </c>
      <c r="D225" s="2" t="s">
        <v>3035</v>
      </c>
      <c r="E225" s="2" t="s">
        <v>3030</v>
      </c>
      <c r="F225" s="2" t="s">
        <v>77</v>
      </c>
      <c r="G225" s="32" t="s">
        <v>603</v>
      </c>
      <c r="H225" s="32" t="s">
        <v>7179</v>
      </c>
      <c r="I225" s="32" t="s">
        <v>7497</v>
      </c>
      <c r="J225" s="32"/>
      <c r="K225" s="33" t="s">
        <v>7211</v>
      </c>
      <c r="L225" s="32" t="s">
        <v>7387</v>
      </c>
      <c r="M225" t="s">
        <v>7165</v>
      </c>
      <c r="N225" t="s">
        <v>7165</v>
      </c>
      <c r="O225" t="s">
        <v>7463</v>
      </c>
    </row>
    <row r="226" spans="1:15" x14ac:dyDescent="0.2">
      <c r="A226" s="27" t="s">
        <v>4162</v>
      </c>
      <c r="B226" s="2" t="s">
        <v>4163</v>
      </c>
      <c r="C226" s="2" t="s">
        <v>68</v>
      </c>
      <c r="D226" s="2" t="s">
        <v>4166</v>
      </c>
      <c r="E226" s="2" t="s">
        <v>4160</v>
      </c>
      <c r="F226" s="2" t="s">
        <v>77</v>
      </c>
      <c r="G226" s="32" t="s">
        <v>603</v>
      </c>
      <c r="H226" s="32" t="s">
        <v>7179</v>
      </c>
      <c r="I226" s="32" t="s">
        <v>7497</v>
      </c>
      <c r="J226" s="32"/>
      <c r="K226" s="33" t="s">
        <v>7220</v>
      </c>
      <c r="L226" s="32" t="s">
        <v>7383</v>
      </c>
      <c r="M226" t="s">
        <v>7165</v>
      </c>
      <c r="N226" t="s">
        <v>7165</v>
      </c>
      <c r="O226" t="s">
        <v>7354</v>
      </c>
    </row>
    <row r="227" spans="1:15" x14ac:dyDescent="0.2">
      <c r="A227" s="27" t="s">
        <v>3634</v>
      </c>
      <c r="B227" s="2" t="s">
        <v>3636</v>
      </c>
      <c r="C227" s="2" t="s">
        <v>68</v>
      </c>
      <c r="D227" s="2" t="s">
        <v>3639</v>
      </c>
      <c r="E227" s="2" t="s">
        <v>3632</v>
      </c>
      <c r="F227" s="2" t="s">
        <v>77</v>
      </c>
      <c r="G227" s="32" t="s">
        <v>3635</v>
      </c>
      <c r="H227" s="32" t="s">
        <v>7274</v>
      </c>
      <c r="I227" s="32" t="s">
        <v>7504</v>
      </c>
      <c r="J227" s="32"/>
      <c r="K227" s="33" t="s">
        <v>7201</v>
      </c>
      <c r="L227" s="32" t="s">
        <v>7428</v>
      </c>
      <c r="M227" t="s">
        <v>7165</v>
      </c>
      <c r="N227" t="s">
        <v>7165</v>
      </c>
      <c r="O227" t="s">
        <v>7357</v>
      </c>
    </row>
    <row r="228" spans="1:15" x14ac:dyDescent="0.2">
      <c r="A228" s="27" t="s">
        <v>3690</v>
      </c>
      <c r="B228" s="2" t="s">
        <v>3691</v>
      </c>
      <c r="C228" s="2" t="s">
        <v>68</v>
      </c>
      <c r="D228" s="2" t="s">
        <v>3694</v>
      </c>
      <c r="E228" s="2" t="s">
        <v>3688</v>
      </c>
      <c r="F228" s="2" t="s">
        <v>77</v>
      </c>
      <c r="G228" s="32" t="s">
        <v>390</v>
      </c>
      <c r="H228" s="32" t="s">
        <v>7248</v>
      </c>
      <c r="I228" s="32" t="s">
        <v>7502</v>
      </c>
      <c r="J228" s="32"/>
      <c r="K228" s="33" t="s">
        <v>7197</v>
      </c>
      <c r="L228" s="32" t="s">
        <v>7378</v>
      </c>
      <c r="M228" t="s">
        <v>7165</v>
      </c>
      <c r="N228" t="s">
        <v>7165</v>
      </c>
      <c r="O228" t="s">
        <v>7357</v>
      </c>
    </row>
    <row r="229" spans="1:15" x14ac:dyDescent="0.2">
      <c r="A229" s="27" t="s">
        <v>5865</v>
      </c>
      <c r="B229" s="2" t="s">
        <v>5866</v>
      </c>
      <c r="C229" s="2" t="s">
        <v>68</v>
      </c>
      <c r="D229" s="2" t="s">
        <v>5869</v>
      </c>
      <c r="E229" s="2" t="s">
        <v>5863</v>
      </c>
      <c r="F229" s="2" t="s">
        <v>77</v>
      </c>
      <c r="G229" s="32" t="s">
        <v>448</v>
      </c>
      <c r="H229" s="32" t="s">
        <v>7244</v>
      </c>
      <c r="I229" s="32" t="s">
        <v>7499</v>
      </c>
      <c r="J229" s="32"/>
      <c r="K229" s="33" t="s">
        <v>7214</v>
      </c>
      <c r="L229" s="32" t="s">
        <v>7408</v>
      </c>
      <c r="M229" t="s">
        <v>7165</v>
      </c>
      <c r="N229" t="s">
        <v>7165</v>
      </c>
      <c r="O229" t="s">
        <v>7460</v>
      </c>
    </row>
    <row r="230" spans="1:15" x14ac:dyDescent="0.2">
      <c r="A230" s="27" t="s">
        <v>4037</v>
      </c>
      <c r="B230" s="2" t="s">
        <v>4040</v>
      </c>
      <c r="C230" s="2" t="s">
        <v>68</v>
      </c>
      <c r="D230" s="2" t="s">
        <v>4043</v>
      </c>
      <c r="E230" s="2" t="s">
        <v>4036</v>
      </c>
      <c r="F230" s="2" t="s">
        <v>77</v>
      </c>
      <c r="G230" s="32" t="s">
        <v>4039</v>
      </c>
      <c r="H230" s="32" t="s">
        <v>7285</v>
      </c>
      <c r="I230" s="32" t="s">
        <v>7514</v>
      </c>
      <c r="J230" s="32"/>
      <c r="K230" s="33" t="s">
        <v>7198</v>
      </c>
      <c r="L230" s="32" t="s">
        <v>7412</v>
      </c>
      <c r="M230" t="s">
        <v>7172</v>
      </c>
      <c r="N230" t="s">
        <v>7165</v>
      </c>
      <c r="O230" t="s">
        <v>7362</v>
      </c>
    </row>
    <row r="231" spans="1:15" x14ac:dyDescent="0.2">
      <c r="A231" s="27" t="s">
        <v>4898</v>
      </c>
      <c r="B231" s="2" t="s">
        <v>4904</v>
      </c>
      <c r="C231" s="2" t="s">
        <v>68</v>
      </c>
      <c r="D231" s="2" t="s">
        <v>4907</v>
      </c>
      <c r="E231" s="2" t="s">
        <v>4896</v>
      </c>
      <c r="F231" s="2" t="s">
        <v>77</v>
      </c>
      <c r="G231" s="32" t="s">
        <v>4900</v>
      </c>
      <c r="H231" s="32" t="s">
        <v>7248</v>
      </c>
      <c r="I231" s="32" t="s">
        <v>7507</v>
      </c>
      <c r="J231" s="32"/>
      <c r="K231" s="33" t="s">
        <v>7334</v>
      </c>
      <c r="L231" s="32" t="s">
        <v>7437</v>
      </c>
      <c r="M231" t="s">
        <v>7168</v>
      </c>
      <c r="N231" t="s">
        <v>7168</v>
      </c>
      <c r="O231" t="s">
        <v>7354</v>
      </c>
    </row>
    <row r="232" spans="1:15" x14ac:dyDescent="0.2">
      <c r="A232" s="27" t="s">
        <v>5205</v>
      </c>
      <c r="B232" s="2" t="s">
        <v>5206</v>
      </c>
      <c r="C232" s="2" t="s">
        <v>68</v>
      </c>
      <c r="D232" s="2" t="s">
        <v>5209</v>
      </c>
      <c r="E232" s="2" t="s">
        <v>5204</v>
      </c>
      <c r="F232" s="2" t="s">
        <v>77</v>
      </c>
      <c r="G232" s="32" t="s">
        <v>183</v>
      </c>
      <c r="H232" s="32" t="s">
        <v>7286</v>
      </c>
      <c r="I232" s="32" t="s">
        <v>7500</v>
      </c>
      <c r="J232" s="32"/>
      <c r="K232" s="33" t="s">
        <v>7327</v>
      </c>
      <c r="L232" s="32" t="s">
        <v>7385</v>
      </c>
      <c r="M232" t="s">
        <v>7165</v>
      </c>
      <c r="N232" t="s">
        <v>7165</v>
      </c>
      <c r="O232" t="s">
        <v>7353</v>
      </c>
    </row>
    <row r="233" spans="1:15" x14ac:dyDescent="0.2">
      <c r="A233" s="27" t="s">
        <v>5631</v>
      </c>
      <c r="B233" s="2" t="s">
        <v>5635</v>
      </c>
      <c r="C233" s="2" t="s">
        <v>68</v>
      </c>
      <c r="D233" s="2" t="s">
        <v>5638</v>
      </c>
      <c r="E233" s="2" t="s">
        <v>5629</v>
      </c>
      <c r="F233" s="2" t="s">
        <v>77</v>
      </c>
      <c r="G233" s="32" t="s">
        <v>3903</v>
      </c>
      <c r="H233" s="32" t="s">
        <v>7275</v>
      </c>
      <c r="I233" s="32" t="s">
        <v>7515</v>
      </c>
      <c r="J233" s="32"/>
      <c r="K233" s="33" t="s">
        <v>7208</v>
      </c>
      <c r="L233" s="32" t="s">
        <v>7385</v>
      </c>
      <c r="M233" t="s">
        <v>7165</v>
      </c>
      <c r="N233" t="s">
        <v>7165</v>
      </c>
      <c r="O233" t="s">
        <v>7353</v>
      </c>
    </row>
    <row r="234" spans="1:15" x14ac:dyDescent="0.2">
      <c r="A234" s="27" t="s">
        <v>2698</v>
      </c>
      <c r="B234" s="2" t="s">
        <v>2699</v>
      </c>
      <c r="C234" s="2" t="s">
        <v>68</v>
      </c>
      <c r="D234" s="2" t="s">
        <v>2702</v>
      </c>
      <c r="E234" s="2" t="s">
        <v>2696</v>
      </c>
      <c r="F234" s="2" t="s">
        <v>77</v>
      </c>
      <c r="G234" s="32" t="s">
        <v>603</v>
      </c>
      <c r="H234" s="32" t="s">
        <v>7179</v>
      </c>
      <c r="I234" s="32" t="s">
        <v>7497</v>
      </c>
      <c r="J234" s="32"/>
      <c r="K234" s="33" t="s">
        <v>7340</v>
      </c>
      <c r="L234" s="32" t="s">
        <v>7395</v>
      </c>
      <c r="M234" t="s">
        <v>7165</v>
      </c>
      <c r="N234" t="s">
        <v>7165</v>
      </c>
      <c r="O234" t="s">
        <v>7465</v>
      </c>
    </row>
    <row r="235" spans="1:15" x14ac:dyDescent="0.2">
      <c r="A235" s="27" t="s">
        <v>1487</v>
      </c>
      <c r="B235" s="2" t="s">
        <v>1489</v>
      </c>
      <c r="C235" s="2" t="s">
        <v>68</v>
      </c>
      <c r="D235" s="2" t="s">
        <v>1492</v>
      </c>
      <c r="E235" s="2" t="s">
        <v>1486</v>
      </c>
      <c r="F235" s="2" t="s">
        <v>77</v>
      </c>
      <c r="G235" s="32" t="s">
        <v>603</v>
      </c>
      <c r="H235" s="32" t="s">
        <v>7179</v>
      </c>
      <c r="I235" s="32" t="s">
        <v>7497</v>
      </c>
      <c r="J235" s="32"/>
      <c r="K235" s="33" t="s">
        <v>7194</v>
      </c>
      <c r="L235" s="32" t="s">
        <v>7390</v>
      </c>
      <c r="M235" t="s">
        <v>7165</v>
      </c>
      <c r="N235" t="s">
        <v>7165</v>
      </c>
      <c r="O235" t="s">
        <v>7464</v>
      </c>
    </row>
    <row r="236" spans="1:15" x14ac:dyDescent="0.2">
      <c r="A236" s="27" t="s">
        <v>2264</v>
      </c>
      <c r="B236" s="2" t="s">
        <v>2265</v>
      </c>
      <c r="C236" s="2" t="s">
        <v>68</v>
      </c>
      <c r="D236" s="2" t="s">
        <v>2268</v>
      </c>
      <c r="E236" s="2" t="s">
        <v>2263</v>
      </c>
      <c r="F236" s="2" t="s">
        <v>77</v>
      </c>
      <c r="G236" s="32" t="s">
        <v>603</v>
      </c>
      <c r="H236" s="32" t="s">
        <v>7179</v>
      </c>
      <c r="I236" s="32" t="s">
        <v>7497</v>
      </c>
      <c r="J236" s="32"/>
      <c r="K236" s="33" t="s">
        <v>7339</v>
      </c>
      <c r="L236" s="32" t="s">
        <v>7398</v>
      </c>
      <c r="M236" t="s">
        <v>7165</v>
      </c>
      <c r="N236" t="s">
        <v>7165</v>
      </c>
      <c r="O236" t="s">
        <v>7356</v>
      </c>
    </row>
    <row r="237" spans="1:15" x14ac:dyDescent="0.2">
      <c r="A237" s="27" t="s">
        <v>2321</v>
      </c>
      <c r="B237" s="2" t="s">
        <v>2322</v>
      </c>
      <c r="C237" s="2" t="s">
        <v>68</v>
      </c>
      <c r="D237" s="2" t="s">
        <v>2325</v>
      </c>
      <c r="E237" s="2" t="s">
        <v>2319</v>
      </c>
      <c r="F237" s="2" t="s">
        <v>77</v>
      </c>
      <c r="G237" s="32" t="s">
        <v>603</v>
      </c>
      <c r="H237" s="32" t="s">
        <v>7179</v>
      </c>
      <c r="I237" s="32" t="s">
        <v>7497</v>
      </c>
      <c r="J237" s="32"/>
      <c r="K237" s="33" t="s">
        <v>7339</v>
      </c>
      <c r="L237" s="32" t="s">
        <v>7398</v>
      </c>
      <c r="M237" t="s">
        <v>7170</v>
      </c>
      <c r="N237" t="s">
        <v>7170</v>
      </c>
      <c r="O237" t="s">
        <v>7356</v>
      </c>
    </row>
    <row r="238" spans="1:15" x14ac:dyDescent="0.2">
      <c r="A238" s="27" t="s">
        <v>5877</v>
      </c>
      <c r="B238" s="2" t="s">
        <v>5882</v>
      </c>
      <c r="C238" s="2" t="s">
        <v>68</v>
      </c>
      <c r="D238" s="2" t="s">
        <v>5885</v>
      </c>
      <c r="E238" s="2" t="s">
        <v>5875</v>
      </c>
      <c r="F238" s="2" t="s">
        <v>77</v>
      </c>
      <c r="G238" s="32" t="s">
        <v>5461</v>
      </c>
      <c r="H238" s="32" t="s">
        <v>7234</v>
      </c>
      <c r="I238" s="32" t="s">
        <v>7512</v>
      </c>
      <c r="J238" s="32"/>
      <c r="K238" s="33" t="s">
        <v>7223</v>
      </c>
      <c r="L238" s="32" t="s">
        <v>7385</v>
      </c>
      <c r="M238" t="s">
        <v>7165</v>
      </c>
      <c r="N238" t="s">
        <v>7165</v>
      </c>
      <c r="O238" t="s">
        <v>7353</v>
      </c>
    </row>
    <row r="239" spans="1:15" x14ac:dyDescent="0.2">
      <c r="A239" s="27" t="s">
        <v>2164</v>
      </c>
      <c r="B239" s="2" t="s">
        <v>2167</v>
      </c>
      <c r="C239" s="2" t="s">
        <v>68</v>
      </c>
      <c r="D239" s="2" t="s">
        <v>2170</v>
      </c>
      <c r="E239" s="2" t="s">
        <v>2162</v>
      </c>
      <c r="F239" s="2" t="s">
        <v>77</v>
      </c>
      <c r="G239" s="32" t="s">
        <v>603</v>
      </c>
      <c r="H239" s="32" t="s">
        <v>7179</v>
      </c>
      <c r="I239" s="32" t="s">
        <v>7497</v>
      </c>
      <c r="J239" s="32"/>
      <c r="K239" s="33" t="s">
        <v>7339</v>
      </c>
      <c r="L239" s="32" t="s">
        <v>7398</v>
      </c>
      <c r="M239" t="s">
        <v>7165</v>
      </c>
      <c r="N239" t="s">
        <v>7165</v>
      </c>
      <c r="O239" t="s">
        <v>7356</v>
      </c>
    </row>
    <row r="240" spans="1:15" x14ac:dyDescent="0.2">
      <c r="A240" s="27" t="s">
        <v>2193</v>
      </c>
      <c r="B240" s="2" t="s">
        <v>2195</v>
      </c>
      <c r="C240" s="2" t="s">
        <v>68</v>
      </c>
      <c r="D240" s="2" t="s">
        <v>2198</v>
      </c>
      <c r="E240" s="2" t="s">
        <v>2191</v>
      </c>
      <c r="F240" s="2" t="s">
        <v>77</v>
      </c>
      <c r="G240" s="32" t="s">
        <v>603</v>
      </c>
      <c r="H240" s="32" t="s">
        <v>7179</v>
      </c>
      <c r="I240" s="32" t="s">
        <v>7497</v>
      </c>
      <c r="J240" s="32"/>
      <c r="K240" s="33" t="s">
        <v>7339</v>
      </c>
      <c r="L240" s="32" t="s">
        <v>7398</v>
      </c>
      <c r="M240" t="s">
        <v>7165</v>
      </c>
      <c r="N240" t="s">
        <v>7165</v>
      </c>
      <c r="O240" t="s">
        <v>7356</v>
      </c>
    </row>
    <row r="241" spans="1:15" x14ac:dyDescent="0.2">
      <c r="A241" s="27" t="s">
        <v>2216</v>
      </c>
      <c r="B241" s="2" t="s">
        <v>2218</v>
      </c>
      <c r="C241" s="2" t="s">
        <v>68</v>
      </c>
      <c r="D241" s="2" t="s">
        <v>2221</v>
      </c>
      <c r="E241" s="2" t="s">
        <v>2214</v>
      </c>
      <c r="F241" s="2" t="s">
        <v>77</v>
      </c>
      <c r="G241" s="32" t="s">
        <v>603</v>
      </c>
      <c r="H241" s="32" t="s">
        <v>7179</v>
      </c>
      <c r="I241" s="32" t="s">
        <v>7497</v>
      </c>
      <c r="J241" s="32"/>
      <c r="K241" s="33" t="s">
        <v>7339</v>
      </c>
      <c r="L241" s="32" t="s">
        <v>7398</v>
      </c>
      <c r="M241" t="s">
        <v>7165</v>
      </c>
      <c r="N241" t="s">
        <v>7165</v>
      </c>
      <c r="O241" t="s">
        <v>7356</v>
      </c>
    </row>
    <row r="242" spans="1:15" x14ac:dyDescent="0.2">
      <c r="A242" s="27" t="s">
        <v>503</v>
      </c>
      <c r="B242" s="2" t="s">
        <v>504</v>
      </c>
      <c r="C242" s="2" t="s">
        <v>68</v>
      </c>
      <c r="D242" s="2" t="s">
        <v>507</v>
      </c>
      <c r="E242" s="2" t="s">
        <v>502</v>
      </c>
      <c r="F242" s="2" t="s">
        <v>77</v>
      </c>
      <c r="G242" s="32" t="s">
        <v>481</v>
      </c>
      <c r="H242" s="32" t="s">
        <v>7262</v>
      </c>
      <c r="I242" s="32" t="s">
        <v>7497</v>
      </c>
      <c r="J242" s="32"/>
      <c r="K242" s="33" t="s">
        <v>7326</v>
      </c>
      <c r="L242" s="32" t="s">
        <v>7378</v>
      </c>
      <c r="M242" t="s">
        <v>7165</v>
      </c>
      <c r="N242" t="s">
        <v>7165</v>
      </c>
      <c r="O242" t="s">
        <v>7357</v>
      </c>
    </row>
    <row r="243" spans="1:15" x14ac:dyDescent="0.2">
      <c r="A243" s="27" t="s">
        <v>3291</v>
      </c>
      <c r="B243" s="2" t="s">
        <v>3293</v>
      </c>
      <c r="C243" s="2" t="s">
        <v>68</v>
      </c>
      <c r="D243" s="2" t="s">
        <v>3296</v>
      </c>
      <c r="E243" s="2" t="s">
        <v>3289</v>
      </c>
      <c r="F243" s="2" t="s">
        <v>77</v>
      </c>
      <c r="G243" s="32" t="s">
        <v>124</v>
      </c>
      <c r="H243" s="32" t="s">
        <v>7284</v>
      </c>
      <c r="I243" s="32" t="s">
        <v>7508</v>
      </c>
      <c r="J243" s="32"/>
      <c r="K243" s="33" t="s">
        <v>7209</v>
      </c>
      <c r="L243" s="32" t="s">
        <v>7438</v>
      </c>
      <c r="M243" t="s">
        <v>7165</v>
      </c>
      <c r="N243" t="s">
        <v>7165</v>
      </c>
      <c r="O243" t="s">
        <v>7464</v>
      </c>
    </row>
    <row r="244" spans="1:15" x14ac:dyDescent="0.2">
      <c r="A244" s="27" t="s">
        <v>5812</v>
      </c>
      <c r="B244" s="2" t="s">
        <v>5814</v>
      </c>
      <c r="C244" s="2" t="s">
        <v>68</v>
      </c>
      <c r="D244" s="2" t="s">
        <v>5817</v>
      </c>
      <c r="E244" s="2" t="s">
        <v>5810</v>
      </c>
      <c r="F244" s="2" t="s">
        <v>77</v>
      </c>
      <c r="G244" s="32" t="s">
        <v>4872</v>
      </c>
      <c r="H244" s="32" t="s">
        <v>7235</v>
      </c>
      <c r="I244" s="32" t="s">
        <v>7498</v>
      </c>
      <c r="J244" s="32"/>
      <c r="K244" s="33" t="s">
        <v>7332</v>
      </c>
      <c r="L244" s="32" t="s">
        <v>7439</v>
      </c>
      <c r="M244" t="s">
        <v>7165</v>
      </c>
      <c r="N244" t="s">
        <v>7165</v>
      </c>
      <c r="O244" t="s">
        <v>7354</v>
      </c>
    </row>
    <row r="245" spans="1:15" x14ac:dyDescent="0.2">
      <c r="A245" s="27" t="s">
        <v>1588</v>
      </c>
      <c r="B245" s="2" t="s">
        <v>1590</v>
      </c>
      <c r="C245" s="2" t="s">
        <v>68</v>
      </c>
      <c r="D245" s="2" t="s">
        <v>1592</v>
      </c>
      <c r="E245" s="2" t="s">
        <v>1586</v>
      </c>
      <c r="F245" s="2" t="s">
        <v>77</v>
      </c>
      <c r="G245" s="32" t="s">
        <v>603</v>
      </c>
      <c r="H245" s="32" t="s">
        <v>7179</v>
      </c>
      <c r="I245" s="32" t="s">
        <v>7497</v>
      </c>
      <c r="J245" s="32"/>
      <c r="K245" s="33" t="s">
        <v>7211</v>
      </c>
      <c r="L245" s="32" t="s">
        <v>7387</v>
      </c>
      <c r="M245" t="s">
        <v>7165</v>
      </c>
      <c r="N245" t="s">
        <v>7165</v>
      </c>
      <c r="O245" t="s">
        <v>7463</v>
      </c>
    </row>
    <row r="246" spans="1:15" x14ac:dyDescent="0.2">
      <c r="A246" s="27" t="s">
        <v>999</v>
      </c>
      <c r="B246" s="2" t="s">
        <v>1000</v>
      </c>
      <c r="C246" s="2" t="s">
        <v>68</v>
      </c>
      <c r="D246" s="2" t="s">
        <v>1003</v>
      </c>
      <c r="E246" s="2" t="s">
        <v>998</v>
      </c>
      <c r="F246" s="2" t="s">
        <v>77</v>
      </c>
      <c r="G246" s="32" t="s">
        <v>603</v>
      </c>
      <c r="H246" s="32" t="s">
        <v>7179</v>
      </c>
      <c r="I246" s="32" t="s">
        <v>7497</v>
      </c>
      <c r="J246" s="32"/>
      <c r="K246" s="33" t="s">
        <v>7194</v>
      </c>
      <c r="L246" s="32" t="s">
        <v>7390</v>
      </c>
      <c r="M246" t="s">
        <v>7165</v>
      </c>
      <c r="N246" t="s">
        <v>7165</v>
      </c>
      <c r="O246" t="s">
        <v>7464</v>
      </c>
    </row>
    <row r="247" spans="1:15" x14ac:dyDescent="0.2">
      <c r="A247" s="27" t="s">
        <v>1386</v>
      </c>
      <c r="B247" s="2" t="s">
        <v>1388</v>
      </c>
      <c r="C247" s="2" t="s">
        <v>68</v>
      </c>
      <c r="D247" s="2" t="s">
        <v>1391</v>
      </c>
      <c r="E247" s="2" t="s">
        <v>1384</v>
      </c>
      <c r="F247" s="2" t="s">
        <v>77</v>
      </c>
      <c r="G247" s="32" t="s">
        <v>603</v>
      </c>
      <c r="H247" s="32" t="s">
        <v>7179</v>
      </c>
      <c r="I247" s="32" t="s">
        <v>7497</v>
      </c>
      <c r="J247" s="32"/>
      <c r="K247" s="33" t="s">
        <v>7194</v>
      </c>
      <c r="L247" s="32" t="s">
        <v>7390</v>
      </c>
      <c r="M247" t="s">
        <v>7165</v>
      </c>
      <c r="N247" t="s">
        <v>7165</v>
      </c>
      <c r="O247" t="s">
        <v>7464</v>
      </c>
    </row>
    <row r="248" spans="1:15" x14ac:dyDescent="0.2">
      <c r="A248" s="27" t="s">
        <v>1431</v>
      </c>
      <c r="B248" s="2" t="s">
        <v>1432</v>
      </c>
      <c r="C248" s="2" t="s">
        <v>68</v>
      </c>
      <c r="D248" s="2" t="s">
        <v>1435</v>
      </c>
      <c r="E248" s="2" t="s">
        <v>1429</v>
      </c>
      <c r="F248" s="2" t="s">
        <v>77</v>
      </c>
      <c r="G248" s="32" t="s">
        <v>603</v>
      </c>
      <c r="H248" s="32" t="s">
        <v>7179</v>
      </c>
      <c r="I248" s="32" t="s">
        <v>7497</v>
      </c>
      <c r="J248" s="32"/>
      <c r="K248" s="33" t="s">
        <v>7194</v>
      </c>
      <c r="L248" s="32" t="s">
        <v>7390</v>
      </c>
      <c r="M248" t="s">
        <v>7165</v>
      </c>
      <c r="N248" t="s">
        <v>7165</v>
      </c>
      <c r="O248" t="s">
        <v>7464</v>
      </c>
    </row>
    <row r="249" spans="1:15" x14ac:dyDescent="0.2">
      <c r="A249" s="27" t="s">
        <v>1780</v>
      </c>
      <c r="B249" s="2" t="s">
        <v>1781</v>
      </c>
      <c r="C249" s="2" t="s">
        <v>68</v>
      </c>
      <c r="D249" s="2" t="s">
        <v>1783</v>
      </c>
      <c r="E249" s="2" t="s">
        <v>1778</v>
      </c>
      <c r="F249" s="2" t="s">
        <v>77</v>
      </c>
      <c r="G249" s="32" t="s">
        <v>603</v>
      </c>
      <c r="H249" s="32" t="s">
        <v>7179</v>
      </c>
      <c r="I249" s="32" t="s">
        <v>7497</v>
      </c>
      <c r="J249" s="32"/>
      <c r="K249" s="33" t="s">
        <v>7211</v>
      </c>
      <c r="L249" s="32" t="s">
        <v>7387</v>
      </c>
      <c r="M249" t="s">
        <v>7165</v>
      </c>
      <c r="N249" t="s">
        <v>7165</v>
      </c>
      <c r="O249" t="s">
        <v>7463</v>
      </c>
    </row>
    <row r="250" spans="1:15" x14ac:dyDescent="0.2">
      <c r="A250" s="27" t="s">
        <v>2840</v>
      </c>
      <c r="B250" s="2" t="s">
        <v>2841</v>
      </c>
      <c r="C250" s="2" t="s">
        <v>68</v>
      </c>
      <c r="D250" s="2" t="s">
        <v>2844</v>
      </c>
      <c r="E250" s="2" t="s">
        <v>2839</v>
      </c>
      <c r="F250" s="2" t="s">
        <v>77</v>
      </c>
      <c r="G250" s="32" t="s">
        <v>603</v>
      </c>
      <c r="H250" s="32" t="s">
        <v>7179</v>
      </c>
      <c r="I250" s="32" t="s">
        <v>7497</v>
      </c>
      <c r="J250" s="32"/>
      <c r="K250" s="33" t="s">
        <v>169</v>
      </c>
      <c r="L250" s="32" t="s">
        <v>169</v>
      </c>
      <c r="M250" t="s">
        <v>7165</v>
      </c>
      <c r="N250" t="s">
        <v>7165</v>
      </c>
      <c r="O250" t="s">
        <v>169</v>
      </c>
    </row>
    <row r="251" spans="1:15" x14ac:dyDescent="0.2">
      <c r="A251" s="27" t="s">
        <v>2942</v>
      </c>
      <c r="B251" s="2" t="s">
        <v>2943</v>
      </c>
      <c r="C251" s="2" t="s">
        <v>68</v>
      </c>
      <c r="D251" s="2" t="s">
        <v>2946</v>
      </c>
      <c r="E251" s="2" t="s">
        <v>2940</v>
      </c>
      <c r="F251" s="2" t="s">
        <v>77</v>
      </c>
      <c r="G251" s="32" t="s">
        <v>603</v>
      </c>
      <c r="H251" s="32" t="s">
        <v>7179</v>
      </c>
      <c r="I251" s="32" t="s">
        <v>7497</v>
      </c>
      <c r="J251" s="32"/>
      <c r="K251" s="33" t="s">
        <v>7211</v>
      </c>
      <c r="L251" s="32" t="s">
        <v>7387</v>
      </c>
      <c r="M251" t="s">
        <v>7165</v>
      </c>
      <c r="N251" t="s">
        <v>7165</v>
      </c>
      <c r="O251" t="s">
        <v>7463</v>
      </c>
    </row>
    <row r="252" spans="1:15" x14ac:dyDescent="0.2">
      <c r="A252" s="27" t="s">
        <v>1024</v>
      </c>
      <c r="B252" s="2" t="s">
        <v>1026</v>
      </c>
      <c r="C252" s="2" t="s">
        <v>68</v>
      </c>
      <c r="D252" s="2" t="s">
        <v>1029</v>
      </c>
      <c r="E252" s="2" t="s">
        <v>1022</v>
      </c>
      <c r="F252" s="2" t="s">
        <v>77</v>
      </c>
      <c r="G252" s="32" t="s">
        <v>603</v>
      </c>
      <c r="H252" s="32" t="s">
        <v>7179</v>
      </c>
      <c r="I252" s="32" t="s">
        <v>7497</v>
      </c>
      <c r="J252" s="32"/>
      <c r="K252" s="33" t="s">
        <v>7220</v>
      </c>
      <c r="L252" s="32" t="s">
        <v>7383</v>
      </c>
      <c r="M252" t="s">
        <v>7165</v>
      </c>
      <c r="N252" t="s">
        <v>7165</v>
      </c>
      <c r="O252" t="s">
        <v>7354</v>
      </c>
    </row>
    <row r="253" spans="1:15" x14ac:dyDescent="0.2">
      <c r="A253" s="27" t="s">
        <v>1364</v>
      </c>
      <c r="B253" s="2" t="s">
        <v>1365</v>
      </c>
      <c r="C253" s="2" t="s">
        <v>68</v>
      </c>
      <c r="D253" s="2" t="s">
        <v>1367</v>
      </c>
      <c r="E253" s="2" t="s">
        <v>1362</v>
      </c>
      <c r="F253" s="2" t="s">
        <v>77</v>
      </c>
      <c r="G253" s="32" t="s">
        <v>603</v>
      </c>
      <c r="H253" s="32" t="s">
        <v>7179</v>
      </c>
      <c r="I253" s="32" t="s">
        <v>7497</v>
      </c>
      <c r="J253" s="32"/>
      <c r="K253" s="33" t="s">
        <v>7194</v>
      </c>
      <c r="L253" s="32" t="s">
        <v>7390</v>
      </c>
      <c r="M253" t="s">
        <v>7165</v>
      </c>
      <c r="N253" t="s">
        <v>7165</v>
      </c>
      <c r="O253" t="s">
        <v>7464</v>
      </c>
    </row>
    <row r="254" spans="1:15" x14ac:dyDescent="0.2">
      <c r="A254" s="27" t="s">
        <v>1748</v>
      </c>
      <c r="B254" s="2" t="s">
        <v>1749</v>
      </c>
      <c r="C254" s="2" t="s">
        <v>68</v>
      </c>
      <c r="D254" s="2" t="s">
        <v>1751</v>
      </c>
      <c r="E254" s="2" t="s">
        <v>1746</v>
      </c>
      <c r="F254" s="2" t="s">
        <v>77</v>
      </c>
      <c r="G254" s="32" t="s">
        <v>603</v>
      </c>
      <c r="H254" s="32" t="s">
        <v>7179</v>
      </c>
      <c r="I254" s="32" t="s">
        <v>7497</v>
      </c>
      <c r="J254" s="32"/>
      <c r="K254" s="33" t="s">
        <v>7211</v>
      </c>
      <c r="L254" s="32" t="s">
        <v>7387</v>
      </c>
      <c r="M254" t="s">
        <v>7165</v>
      </c>
      <c r="N254" t="s">
        <v>7165</v>
      </c>
      <c r="O254" t="s">
        <v>7463</v>
      </c>
    </row>
    <row r="255" spans="1:15" x14ac:dyDescent="0.2">
      <c r="A255" s="27" t="s">
        <v>1853</v>
      </c>
      <c r="B255" s="2" t="s">
        <v>1854</v>
      </c>
      <c r="C255" s="2" t="s">
        <v>68</v>
      </c>
      <c r="D255" s="2" t="s">
        <v>1856</v>
      </c>
      <c r="E255" s="2" t="s">
        <v>1851</v>
      </c>
      <c r="F255" s="2" t="s">
        <v>77</v>
      </c>
      <c r="G255" s="32" t="s">
        <v>603</v>
      </c>
      <c r="H255" s="32" t="s">
        <v>7179</v>
      </c>
      <c r="I255" s="32" t="s">
        <v>7497</v>
      </c>
      <c r="J255" s="32"/>
      <c r="K255" s="33" t="s">
        <v>7211</v>
      </c>
      <c r="L255" s="32" t="s">
        <v>7387</v>
      </c>
      <c r="M255" t="s">
        <v>7165</v>
      </c>
      <c r="N255" t="s">
        <v>7165</v>
      </c>
      <c r="O255" t="s">
        <v>7463</v>
      </c>
    </row>
    <row r="256" spans="1:15" x14ac:dyDescent="0.2">
      <c r="A256" s="27" t="s">
        <v>5246</v>
      </c>
      <c r="B256" s="2" t="s">
        <v>5249</v>
      </c>
      <c r="C256" s="2" t="s">
        <v>68</v>
      </c>
      <c r="D256" s="2" t="s">
        <v>5252</v>
      </c>
      <c r="E256" s="2" t="s">
        <v>5244</v>
      </c>
      <c r="F256" s="2" t="s">
        <v>77</v>
      </c>
      <c r="G256" s="32" t="s">
        <v>183</v>
      </c>
      <c r="H256" s="32" t="s">
        <v>7286</v>
      </c>
      <c r="I256" s="32" t="s">
        <v>7500</v>
      </c>
      <c r="J256" s="32"/>
      <c r="K256" s="33" t="s">
        <v>7327</v>
      </c>
      <c r="L256" s="32" t="s">
        <v>7385</v>
      </c>
      <c r="M256" t="s">
        <v>7165</v>
      </c>
      <c r="N256" t="s">
        <v>7165</v>
      </c>
      <c r="O256" t="s">
        <v>7353</v>
      </c>
    </row>
    <row r="257" spans="1:15" x14ac:dyDescent="0.2">
      <c r="A257" s="27" t="s">
        <v>5503</v>
      </c>
      <c r="B257" s="2" t="s">
        <v>5504</v>
      </c>
      <c r="C257" s="2" t="s">
        <v>68</v>
      </c>
      <c r="D257" s="2" t="s">
        <v>5507</v>
      </c>
      <c r="E257" s="2" t="s">
        <v>5502</v>
      </c>
      <c r="F257" s="2" t="s">
        <v>77</v>
      </c>
      <c r="G257" s="32" t="s">
        <v>5479</v>
      </c>
      <c r="H257" s="32" t="s">
        <v>7281</v>
      </c>
      <c r="I257" s="32" t="s">
        <v>7499</v>
      </c>
      <c r="J257" s="32"/>
      <c r="K257" s="33" t="s">
        <v>7336</v>
      </c>
      <c r="L257" s="32" t="s">
        <v>7440</v>
      </c>
      <c r="M257" t="s">
        <v>7165</v>
      </c>
      <c r="N257" t="s">
        <v>7165</v>
      </c>
      <c r="O257" t="s">
        <v>7358</v>
      </c>
    </row>
    <row r="258" spans="1:15" x14ac:dyDescent="0.2">
      <c r="A258" s="27" t="s">
        <v>3623</v>
      </c>
      <c r="B258" s="2" t="s">
        <v>3624</v>
      </c>
      <c r="C258" s="2" t="s">
        <v>68</v>
      </c>
      <c r="D258" s="2" t="s">
        <v>3627</v>
      </c>
      <c r="E258" s="2" t="s">
        <v>3621</v>
      </c>
      <c r="F258" s="2" t="s">
        <v>77</v>
      </c>
      <c r="G258" s="32" t="s">
        <v>448</v>
      </c>
      <c r="H258" s="32" t="s">
        <v>7244</v>
      </c>
      <c r="I258" s="32" t="s">
        <v>7499</v>
      </c>
      <c r="J258" s="32"/>
      <c r="K258" s="33" t="s">
        <v>7200</v>
      </c>
      <c r="L258" s="32" t="s">
        <v>7380</v>
      </c>
      <c r="M258" t="s">
        <v>7165</v>
      </c>
      <c r="N258" t="s">
        <v>7165</v>
      </c>
      <c r="O258" t="s">
        <v>7460</v>
      </c>
    </row>
    <row r="259" spans="1:15" x14ac:dyDescent="0.2">
      <c r="A259" s="27" t="s">
        <v>3460</v>
      </c>
      <c r="B259" s="2" t="s">
        <v>3462</v>
      </c>
      <c r="C259" s="2" t="s">
        <v>68</v>
      </c>
      <c r="D259" s="2" t="s">
        <v>3465</v>
      </c>
      <c r="E259" s="2" t="s">
        <v>3458</v>
      </c>
      <c r="F259" s="2" t="s">
        <v>77</v>
      </c>
      <c r="G259" s="32" t="s">
        <v>3461</v>
      </c>
      <c r="H259" s="32" t="s">
        <v>7271</v>
      </c>
      <c r="I259" s="32" t="s">
        <v>7517</v>
      </c>
      <c r="J259" s="32"/>
      <c r="K259" s="33" t="s">
        <v>7214</v>
      </c>
      <c r="L259" s="32" t="s">
        <v>7408</v>
      </c>
      <c r="M259" t="s">
        <v>7165</v>
      </c>
      <c r="N259" t="s">
        <v>7165</v>
      </c>
      <c r="O259" t="s">
        <v>7460</v>
      </c>
    </row>
    <row r="260" spans="1:15" x14ac:dyDescent="0.2">
      <c r="A260" s="27" t="s">
        <v>6821</v>
      </c>
      <c r="B260" s="2" t="s">
        <v>6825</v>
      </c>
      <c r="C260" s="2" t="s">
        <v>68</v>
      </c>
      <c r="D260" s="2" t="s">
        <v>6828</v>
      </c>
      <c r="E260" s="2" t="s">
        <v>6819</v>
      </c>
      <c r="F260" s="2" t="s">
        <v>77</v>
      </c>
      <c r="G260" s="32" t="s">
        <v>465</v>
      </c>
      <c r="H260" s="32" t="s">
        <v>7278</v>
      </c>
      <c r="I260" s="32" t="s">
        <v>7502</v>
      </c>
      <c r="J260" s="32"/>
      <c r="K260" s="33" t="s">
        <v>7195</v>
      </c>
      <c r="L260" s="32" t="s">
        <v>7423</v>
      </c>
      <c r="M260" t="s">
        <v>7172</v>
      </c>
      <c r="N260" t="s">
        <v>7165</v>
      </c>
      <c r="O260" t="s">
        <v>7460</v>
      </c>
    </row>
    <row r="261" spans="1:15" x14ac:dyDescent="0.2">
      <c r="A261" s="27" t="s">
        <v>1477</v>
      </c>
      <c r="B261" s="2" t="s">
        <v>1478</v>
      </c>
      <c r="C261" s="2" t="s">
        <v>68</v>
      </c>
      <c r="D261" s="2" t="s">
        <v>1480</v>
      </c>
      <c r="E261" s="2" t="s">
        <v>1475</v>
      </c>
      <c r="F261" s="2" t="s">
        <v>77</v>
      </c>
      <c r="G261" s="32" t="s">
        <v>603</v>
      </c>
      <c r="H261" s="32" t="s">
        <v>7179</v>
      </c>
      <c r="I261" s="32" t="s">
        <v>7497</v>
      </c>
      <c r="J261" s="32"/>
      <c r="K261" s="33" t="s">
        <v>7194</v>
      </c>
      <c r="L261" s="32" t="s">
        <v>7390</v>
      </c>
      <c r="M261" t="s">
        <v>7165</v>
      </c>
      <c r="N261" t="s">
        <v>7165</v>
      </c>
      <c r="O261" t="s">
        <v>7464</v>
      </c>
    </row>
    <row r="262" spans="1:15" x14ac:dyDescent="0.2">
      <c r="A262" s="27" t="s">
        <v>3050</v>
      </c>
      <c r="B262" s="2" t="s">
        <v>3051</v>
      </c>
      <c r="C262" s="2" t="s">
        <v>68</v>
      </c>
      <c r="D262" s="2" t="s">
        <v>3054</v>
      </c>
      <c r="E262" s="2" t="s">
        <v>3049</v>
      </c>
      <c r="F262" s="2" t="s">
        <v>77</v>
      </c>
      <c r="G262" s="32" t="s">
        <v>353</v>
      </c>
      <c r="H262" s="32" t="s">
        <v>7288</v>
      </c>
      <c r="I262" s="32" t="s">
        <v>7498</v>
      </c>
      <c r="J262" s="32"/>
      <c r="K262" s="33" t="s">
        <v>7198</v>
      </c>
      <c r="L262" s="32" t="s">
        <v>7412</v>
      </c>
      <c r="M262" t="s">
        <v>7172</v>
      </c>
      <c r="N262" t="s">
        <v>7165</v>
      </c>
      <c r="O262" t="s">
        <v>7362</v>
      </c>
    </row>
    <row r="263" spans="1:15" x14ac:dyDescent="0.2">
      <c r="A263" s="27" t="s">
        <v>4871</v>
      </c>
      <c r="B263" s="2" t="s">
        <v>4875</v>
      </c>
      <c r="C263" s="2" t="s">
        <v>68</v>
      </c>
      <c r="D263" s="2" t="s">
        <v>4878</v>
      </c>
      <c r="E263" s="2" t="s">
        <v>4869</v>
      </c>
      <c r="F263" s="2" t="s">
        <v>77</v>
      </c>
      <c r="G263" s="32" t="s">
        <v>4872</v>
      </c>
      <c r="H263" s="32" t="s">
        <v>7235</v>
      </c>
      <c r="I263" s="32" t="s">
        <v>7498</v>
      </c>
      <c r="J263" s="32"/>
      <c r="K263" s="33" t="s">
        <v>7344</v>
      </c>
      <c r="L263" s="32" t="s">
        <v>7424</v>
      </c>
      <c r="M263" t="s">
        <v>7165</v>
      </c>
      <c r="N263" t="s">
        <v>7165</v>
      </c>
      <c r="O263" t="s">
        <v>7355</v>
      </c>
    </row>
    <row r="264" spans="1:15" x14ac:dyDescent="0.2">
      <c r="A264" s="27" t="s">
        <v>1800</v>
      </c>
      <c r="B264" s="2" t="s">
        <v>1801</v>
      </c>
      <c r="C264" s="2" t="s">
        <v>68</v>
      </c>
      <c r="D264" s="2" t="s">
        <v>1803</v>
      </c>
      <c r="E264" s="2" t="s">
        <v>1798</v>
      </c>
      <c r="F264" s="2" t="s">
        <v>77</v>
      </c>
      <c r="G264" s="32" t="s">
        <v>603</v>
      </c>
      <c r="H264" s="32" t="s">
        <v>7179</v>
      </c>
      <c r="I264" s="32" t="s">
        <v>7497</v>
      </c>
      <c r="J264" s="32"/>
      <c r="K264" s="33" t="s">
        <v>7211</v>
      </c>
      <c r="L264" s="32" t="s">
        <v>7387</v>
      </c>
      <c r="M264" t="s">
        <v>7165</v>
      </c>
      <c r="N264" t="s">
        <v>7165</v>
      </c>
      <c r="O264" t="s">
        <v>7463</v>
      </c>
    </row>
    <row r="265" spans="1:15" x14ac:dyDescent="0.2">
      <c r="A265" s="27" t="s">
        <v>2010</v>
      </c>
      <c r="B265" s="2" t="s">
        <v>2011</v>
      </c>
      <c r="C265" s="2" t="s">
        <v>68</v>
      </c>
      <c r="D265" s="2" t="s">
        <v>2014</v>
      </c>
      <c r="E265" s="2" t="s">
        <v>2008</v>
      </c>
      <c r="F265" s="2" t="s">
        <v>77</v>
      </c>
      <c r="G265" s="32" t="s">
        <v>603</v>
      </c>
      <c r="H265" s="32" t="s">
        <v>7179</v>
      </c>
      <c r="I265" s="32" t="s">
        <v>7497</v>
      </c>
      <c r="J265" s="32"/>
      <c r="K265" s="33" t="s">
        <v>7194</v>
      </c>
      <c r="L265" s="32" t="s">
        <v>7390</v>
      </c>
      <c r="M265" t="s">
        <v>7165</v>
      </c>
      <c r="N265" t="s">
        <v>7165</v>
      </c>
      <c r="O265" t="s">
        <v>7464</v>
      </c>
    </row>
    <row r="266" spans="1:15" x14ac:dyDescent="0.2">
      <c r="A266" s="27" t="s">
        <v>405</v>
      </c>
      <c r="B266" s="2" t="s">
        <v>408</v>
      </c>
      <c r="C266" s="2" t="s">
        <v>68</v>
      </c>
      <c r="D266" s="2" t="s">
        <v>411</v>
      </c>
      <c r="E266" s="2" t="s">
        <v>404</v>
      </c>
      <c r="F266" s="2" t="s">
        <v>77</v>
      </c>
      <c r="G266" s="32" t="s">
        <v>390</v>
      </c>
      <c r="H266" s="32" t="s">
        <v>7248</v>
      </c>
      <c r="I266" s="32" t="s">
        <v>7502</v>
      </c>
      <c r="J266" s="32"/>
      <c r="K266" s="33" t="s">
        <v>7197</v>
      </c>
      <c r="L266" s="32" t="s">
        <v>7378</v>
      </c>
      <c r="M266" t="s">
        <v>7165</v>
      </c>
      <c r="N266" t="s">
        <v>7165</v>
      </c>
      <c r="O266" t="s">
        <v>7357</v>
      </c>
    </row>
    <row r="267" spans="1:15" x14ac:dyDescent="0.2">
      <c r="A267" s="27" t="s">
        <v>763</v>
      </c>
      <c r="B267" s="2" t="s">
        <v>764</v>
      </c>
      <c r="C267" s="2" t="s">
        <v>68</v>
      </c>
      <c r="D267" s="2" t="s">
        <v>767</v>
      </c>
      <c r="E267" s="2" t="s">
        <v>761</v>
      </c>
      <c r="F267" s="2" t="s">
        <v>77</v>
      </c>
      <c r="G267" s="32" t="s">
        <v>603</v>
      </c>
      <c r="H267" s="32" t="s">
        <v>7179</v>
      </c>
      <c r="I267" s="32" t="s">
        <v>7497</v>
      </c>
      <c r="J267" s="32"/>
      <c r="K267" s="33" t="s">
        <v>7194</v>
      </c>
      <c r="L267" s="32" t="s">
        <v>7390</v>
      </c>
      <c r="M267" t="s">
        <v>7165</v>
      </c>
      <c r="N267" t="s">
        <v>7165</v>
      </c>
      <c r="O267" t="s">
        <v>7464</v>
      </c>
    </row>
    <row r="268" spans="1:15" x14ac:dyDescent="0.2">
      <c r="A268" s="27" t="s">
        <v>6088</v>
      </c>
      <c r="B268" s="2" t="s">
        <v>6091</v>
      </c>
      <c r="C268" s="2" t="s">
        <v>68</v>
      </c>
      <c r="D268" s="2" t="s">
        <v>6094</v>
      </c>
      <c r="E268" s="2" t="s">
        <v>6086</v>
      </c>
      <c r="F268" s="2" t="s">
        <v>77</v>
      </c>
      <c r="G268" s="32" t="s">
        <v>268</v>
      </c>
      <c r="H268" s="32" t="s">
        <v>7259</v>
      </c>
      <c r="I268" s="32" t="s">
        <v>7498</v>
      </c>
      <c r="J268" s="32"/>
      <c r="K268" s="33" t="s">
        <v>7221</v>
      </c>
      <c r="L268" s="32" t="s">
        <v>7392</v>
      </c>
      <c r="M268" t="s">
        <v>7165</v>
      </c>
      <c r="N268" t="s">
        <v>7165</v>
      </c>
      <c r="O268" t="s">
        <v>7356</v>
      </c>
    </row>
    <row r="269" spans="1:15" x14ac:dyDescent="0.2">
      <c r="A269" s="27" t="s">
        <v>298</v>
      </c>
      <c r="B269" s="2" t="s">
        <v>299</v>
      </c>
      <c r="C269" s="2" t="s">
        <v>68</v>
      </c>
      <c r="D269" s="2" t="s">
        <v>302</v>
      </c>
      <c r="E269" s="2" t="s">
        <v>296</v>
      </c>
      <c r="F269" s="2" t="s">
        <v>77</v>
      </c>
      <c r="G269" s="32" t="s">
        <v>268</v>
      </c>
      <c r="H269" s="32" t="s">
        <v>7259</v>
      </c>
      <c r="I269" s="32" t="s">
        <v>7498</v>
      </c>
      <c r="J269" s="32"/>
      <c r="K269" s="33" t="s">
        <v>7221</v>
      </c>
      <c r="L269" s="32" t="s">
        <v>7392</v>
      </c>
      <c r="M269" t="s">
        <v>7165</v>
      </c>
      <c r="N269" t="s">
        <v>7165</v>
      </c>
      <c r="O269" t="s">
        <v>7356</v>
      </c>
    </row>
    <row r="270" spans="1:15" x14ac:dyDescent="0.2">
      <c r="A270" s="27" t="s">
        <v>3149</v>
      </c>
      <c r="B270" s="2" t="s">
        <v>3152</v>
      </c>
      <c r="C270" s="2" t="s">
        <v>68</v>
      </c>
      <c r="D270" s="2" t="s">
        <v>3155</v>
      </c>
      <c r="E270" s="2" t="s">
        <v>3147</v>
      </c>
      <c r="F270" s="2" t="s">
        <v>77</v>
      </c>
      <c r="G270" s="32" t="s">
        <v>3150</v>
      </c>
      <c r="H270" s="32" t="s">
        <v>7252</v>
      </c>
      <c r="I270" s="32" t="s">
        <v>7504</v>
      </c>
      <c r="J270" s="32"/>
      <c r="K270" s="33" t="s">
        <v>7331</v>
      </c>
      <c r="L270" s="32" t="s">
        <v>7396</v>
      </c>
      <c r="M270" t="s">
        <v>60</v>
      </c>
      <c r="N270" t="s">
        <v>60</v>
      </c>
      <c r="O270" t="s">
        <v>7354</v>
      </c>
    </row>
    <row r="271" spans="1:15" x14ac:dyDescent="0.2">
      <c r="A271" s="27" t="s">
        <v>2852</v>
      </c>
      <c r="B271" s="2" t="s">
        <v>2853</v>
      </c>
      <c r="C271" s="2" t="s">
        <v>68</v>
      </c>
      <c r="D271" s="2" t="s">
        <v>2856</v>
      </c>
      <c r="E271" s="2" t="s">
        <v>2850</v>
      </c>
      <c r="F271" s="2" t="s">
        <v>77</v>
      </c>
      <c r="G271" s="32" t="s">
        <v>603</v>
      </c>
      <c r="H271" s="32" t="s">
        <v>7179</v>
      </c>
      <c r="I271" s="32" t="s">
        <v>7497</v>
      </c>
      <c r="J271" s="32"/>
      <c r="K271" s="33" t="s">
        <v>7194</v>
      </c>
      <c r="L271" s="32" t="s">
        <v>7390</v>
      </c>
      <c r="M271" t="s">
        <v>7165</v>
      </c>
      <c r="N271" t="s">
        <v>7165</v>
      </c>
      <c r="O271" t="s">
        <v>7464</v>
      </c>
    </row>
    <row r="272" spans="1:15" x14ac:dyDescent="0.2">
      <c r="A272" s="27" t="s">
        <v>6049</v>
      </c>
      <c r="B272" s="2" t="s">
        <v>6050</v>
      </c>
      <c r="C272" s="2" t="s">
        <v>68</v>
      </c>
      <c r="D272" s="2" t="s">
        <v>6053</v>
      </c>
      <c r="E272" s="2" t="s">
        <v>6048</v>
      </c>
      <c r="F272" s="2" t="s">
        <v>77</v>
      </c>
      <c r="G272" s="32" t="s">
        <v>3194</v>
      </c>
      <c r="H272" s="32" t="s">
        <v>7232</v>
      </c>
      <c r="I272" s="32" t="s">
        <v>7497</v>
      </c>
      <c r="J272" s="32"/>
      <c r="K272" s="33" t="s">
        <v>7197</v>
      </c>
      <c r="L272" s="32" t="s">
        <v>7378</v>
      </c>
      <c r="M272" t="s">
        <v>7172</v>
      </c>
      <c r="N272" t="s">
        <v>7165</v>
      </c>
      <c r="O272" t="s">
        <v>7357</v>
      </c>
    </row>
    <row r="273" spans="1:15" x14ac:dyDescent="0.2">
      <c r="A273" s="27" t="s">
        <v>6873</v>
      </c>
      <c r="B273" s="2" t="s">
        <v>6876</v>
      </c>
      <c r="C273" s="2" t="s">
        <v>68</v>
      </c>
      <c r="D273" s="2" t="s">
        <v>6879</v>
      </c>
      <c r="E273" s="2" t="s">
        <v>6871</v>
      </c>
      <c r="F273" s="2" t="s">
        <v>77</v>
      </c>
      <c r="G273" s="32" t="s">
        <v>3194</v>
      </c>
      <c r="H273" s="32" t="s">
        <v>7232</v>
      </c>
      <c r="I273" s="32" t="s">
        <v>7497</v>
      </c>
      <c r="J273" s="32"/>
      <c r="K273" s="33" t="s">
        <v>7197</v>
      </c>
      <c r="L273" s="32" t="s">
        <v>7378</v>
      </c>
      <c r="M273" t="s">
        <v>7172</v>
      </c>
      <c r="N273" t="s">
        <v>7165</v>
      </c>
      <c r="O273" t="s">
        <v>7357</v>
      </c>
    </row>
    <row r="274" spans="1:15" x14ac:dyDescent="0.2">
      <c r="A274" s="27" t="s">
        <v>4245</v>
      </c>
      <c r="B274" s="2" t="s">
        <v>4246</v>
      </c>
      <c r="C274" s="2" t="s">
        <v>68</v>
      </c>
      <c r="D274" s="2" t="s">
        <v>4249</v>
      </c>
      <c r="E274" s="2" t="s">
        <v>4243</v>
      </c>
      <c r="F274" s="2" t="s">
        <v>77</v>
      </c>
      <c r="G274" s="32" t="s">
        <v>603</v>
      </c>
      <c r="H274" s="32" t="s">
        <v>7179</v>
      </c>
      <c r="I274" s="32" t="s">
        <v>7497</v>
      </c>
      <c r="J274" s="32"/>
      <c r="K274" s="33" t="s">
        <v>7220</v>
      </c>
      <c r="L274" s="32" t="s">
        <v>7383</v>
      </c>
      <c r="M274" t="s">
        <v>7165</v>
      </c>
      <c r="N274" t="s">
        <v>7165</v>
      </c>
      <c r="O274" t="s">
        <v>7354</v>
      </c>
    </row>
    <row r="275" spans="1:15" x14ac:dyDescent="0.2">
      <c r="A275" s="27" t="s">
        <v>1736</v>
      </c>
      <c r="B275" s="2" t="s">
        <v>1738</v>
      </c>
      <c r="C275" s="2" t="s">
        <v>68</v>
      </c>
      <c r="D275" s="2" t="s">
        <v>1741</v>
      </c>
      <c r="E275" s="2" t="s">
        <v>1734</v>
      </c>
      <c r="F275" s="2" t="s">
        <v>77</v>
      </c>
      <c r="G275" s="32" t="s">
        <v>603</v>
      </c>
      <c r="H275" s="32" t="s">
        <v>7179</v>
      </c>
      <c r="I275" s="32" t="s">
        <v>7497</v>
      </c>
      <c r="J275" s="32"/>
      <c r="K275" s="33" t="s">
        <v>7211</v>
      </c>
      <c r="L275" s="32" t="s">
        <v>7387</v>
      </c>
      <c r="M275" t="s">
        <v>7165</v>
      </c>
      <c r="N275" t="s">
        <v>7165</v>
      </c>
      <c r="O275" t="s">
        <v>7463</v>
      </c>
    </row>
    <row r="276" spans="1:15" x14ac:dyDescent="0.2">
      <c r="A276" s="27" t="s">
        <v>5610</v>
      </c>
      <c r="B276" s="2" t="s">
        <v>5616</v>
      </c>
      <c r="C276" s="2" t="s">
        <v>68</v>
      </c>
      <c r="D276" s="2" t="s">
        <v>5619</v>
      </c>
      <c r="E276" s="2" t="s">
        <v>5608</v>
      </c>
      <c r="F276" s="2" t="s">
        <v>77</v>
      </c>
      <c r="G276" s="32" t="s">
        <v>5613</v>
      </c>
      <c r="H276" s="32" t="s">
        <v>7238</v>
      </c>
      <c r="I276" s="32" t="s">
        <v>7499</v>
      </c>
      <c r="J276" s="32"/>
      <c r="K276" s="33" t="s">
        <v>7207</v>
      </c>
      <c r="L276" s="32" t="s">
        <v>7385</v>
      </c>
      <c r="M276" t="s">
        <v>7165</v>
      </c>
      <c r="N276" t="s">
        <v>7165</v>
      </c>
      <c r="O276" t="s">
        <v>7353</v>
      </c>
    </row>
    <row r="277" spans="1:15" x14ac:dyDescent="0.2">
      <c r="A277" s="27" t="s">
        <v>5524</v>
      </c>
      <c r="B277" s="2" t="s">
        <v>5525</v>
      </c>
      <c r="C277" s="2" t="s">
        <v>68</v>
      </c>
      <c r="D277" s="2" t="s">
        <v>5528</v>
      </c>
      <c r="E277" s="2" t="s">
        <v>5523</v>
      </c>
      <c r="F277" s="2" t="s">
        <v>77</v>
      </c>
      <c r="G277" s="32" t="s">
        <v>5479</v>
      </c>
      <c r="H277" s="32" t="s">
        <v>7281</v>
      </c>
      <c r="I277" s="32" t="s">
        <v>7499</v>
      </c>
      <c r="J277" s="32"/>
      <c r="K277" s="33" t="s">
        <v>7336</v>
      </c>
      <c r="L277" s="32" t="s">
        <v>7440</v>
      </c>
      <c r="M277" t="s">
        <v>7165</v>
      </c>
      <c r="N277" t="s">
        <v>7165</v>
      </c>
      <c r="O277" t="s">
        <v>7358</v>
      </c>
    </row>
    <row r="278" spans="1:15" x14ac:dyDescent="0.2">
      <c r="A278" s="27" t="s">
        <v>1375</v>
      </c>
      <c r="B278" s="2" t="s">
        <v>1376</v>
      </c>
      <c r="C278" s="2" t="s">
        <v>68</v>
      </c>
      <c r="D278" s="2" t="s">
        <v>1378</v>
      </c>
      <c r="E278" s="2" t="s">
        <v>1373</v>
      </c>
      <c r="F278" s="2" t="s">
        <v>77</v>
      </c>
      <c r="G278" s="32" t="s">
        <v>603</v>
      </c>
      <c r="H278" s="32" t="s">
        <v>7179</v>
      </c>
      <c r="I278" s="32" t="s">
        <v>7497</v>
      </c>
      <c r="J278" s="32"/>
      <c r="K278" s="33" t="s">
        <v>7194</v>
      </c>
      <c r="L278" s="32" t="s">
        <v>7390</v>
      </c>
      <c r="M278" t="s">
        <v>7165</v>
      </c>
      <c r="N278" t="s">
        <v>7165</v>
      </c>
      <c r="O278" t="s">
        <v>7464</v>
      </c>
    </row>
    <row r="279" spans="1:15" x14ac:dyDescent="0.2">
      <c r="A279" s="27" t="s">
        <v>6501</v>
      </c>
      <c r="B279" s="2" t="s">
        <v>6502</v>
      </c>
      <c r="C279" s="2" t="s">
        <v>68</v>
      </c>
      <c r="D279" s="2" t="s">
        <v>6505</v>
      </c>
      <c r="E279" s="2" t="s">
        <v>6499</v>
      </c>
      <c r="F279" s="2" t="s">
        <v>77</v>
      </c>
      <c r="G279" s="32" t="s">
        <v>448</v>
      </c>
      <c r="H279" s="32" t="s">
        <v>7244</v>
      </c>
      <c r="I279" s="32" t="s">
        <v>7499</v>
      </c>
      <c r="J279" s="32"/>
      <c r="K279" s="33" t="s">
        <v>7200</v>
      </c>
      <c r="L279" s="32" t="s">
        <v>7380</v>
      </c>
      <c r="M279" t="s">
        <v>7172</v>
      </c>
      <c r="N279" t="s">
        <v>7165</v>
      </c>
      <c r="O279" t="s">
        <v>7460</v>
      </c>
    </row>
    <row r="280" spans="1:15" x14ac:dyDescent="0.2">
      <c r="A280" s="27" t="s">
        <v>2287</v>
      </c>
      <c r="B280" s="2" t="s">
        <v>2288</v>
      </c>
      <c r="C280" s="2" t="s">
        <v>68</v>
      </c>
      <c r="D280" s="2" t="s">
        <v>2291</v>
      </c>
      <c r="E280" s="2" t="s">
        <v>2286</v>
      </c>
      <c r="F280" s="2" t="s">
        <v>77</v>
      </c>
      <c r="G280" s="32" t="s">
        <v>603</v>
      </c>
      <c r="H280" s="32" t="s">
        <v>7179</v>
      </c>
      <c r="I280" s="32" t="s">
        <v>7497</v>
      </c>
      <c r="J280" s="32"/>
      <c r="K280" s="33" t="s">
        <v>7339</v>
      </c>
      <c r="L280" s="32" t="s">
        <v>7398</v>
      </c>
      <c r="M280" t="s">
        <v>7170</v>
      </c>
      <c r="N280" t="s">
        <v>7170</v>
      </c>
      <c r="O280" t="s">
        <v>7356</v>
      </c>
    </row>
    <row r="281" spans="1:15" x14ac:dyDescent="0.2">
      <c r="A281" s="27" t="s">
        <v>2685</v>
      </c>
      <c r="B281" s="2" t="s">
        <v>2687</v>
      </c>
      <c r="C281" s="2" t="s">
        <v>68</v>
      </c>
      <c r="D281" s="2" t="s">
        <v>2690</v>
      </c>
      <c r="E281" s="2" t="s">
        <v>2683</v>
      </c>
      <c r="F281" s="2" t="s">
        <v>77</v>
      </c>
      <c r="G281" s="32" t="s">
        <v>603</v>
      </c>
      <c r="H281" s="32" t="s">
        <v>7179</v>
      </c>
      <c r="I281" s="32" t="s">
        <v>7497</v>
      </c>
      <c r="J281" s="32"/>
      <c r="K281" s="33" t="s">
        <v>7220</v>
      </c>
      <c r="L281" s="32" t="s">
        <v>7383</v>
      </c>
      <c r="M281" t="s">
        <v>7165</v>
      </c>
      <c r="N281" t="s">
        <v>7165</v>
      </c>
      <c r="O281" t="s">
        <v>7354</v>
      </c>
    </row>
    <row r="282" spans="1:15" x14ac:dyDescent="0.2">
      <c r="A282" s="27" t="s">
        <v>5969</v>
      </c>
      <c r="B282" s="2" t="s">
        <v>5971</v>
      </c>
      <c r="C282" s="2" t="s">
        <v>68</v>
      </c>
      <c r="D282" s="2" t="s">
        <v>5974</v>
      </c>
      <c r="E282" s="2" t="s">
        <v>5967</v>
      </c>
      <c r="F282" s="2" t="s">
        <v>77</v>
      </c>
      <c r="G282" s="32" t="s">
        <v>183</v>
      </c>
      <c r="H282" s="32" t="s">
        <v>7286</v>
      </c>
      <c r="I282" s="32" t="s">
        <v>7500</v>
      </c>
      <c r="J282" s="32"/>
      <c r="K282" s="33" t="s">
        <v>7210</v>
      </c>
      <c r="L282" s="32" t="s">
        <v>7382</v>
      </c>
      <c r="M282" t="s">
        <v>7165</v>
      </c>
      <c r="N282" t="s">
        <v>7165</v>
      </c>
      <c r="O282" t="s">
        <v>7462</v>
      </c>
    </row>
    <row r="283" spans="1:15" x14ac:dyDescent="0.2">
      <c r="A283" s="27" t="s">
        <v>560</v>
      </c>
      <c r="B283" s="2" t="s">
        <v>564</v>
      </c>
      <c r="C283" s="2" t="s">
        <v>68</v>
      </c>
      <c r="D283" s="2" t="s">
        <v>567</v>
      </c>
      <c r="E283" s="2" t="s">
        <v>558</v>
      </c>
      <c r="F283" s="2" t="s">
        <v>77</v>
      </c>
      <c r="G283" s="32" t="s">
        <v>448</v>
      </c>
      <c r="H283" s="32" t="s">
        <v>7244</v>
      </c>
      <c r="I283" s="32" t="s">
        <v>7499</v>
      </c>
      <c r="J283" s="32"/>
      <c r="K283" s="33" t="s">
        <v>7307</v>
      </c>
      <c r="L283" s="32" t="s">
        <v>7441</v>
      </c>
      <c r="M283" t="s">
        <v>7165</v>
      </c>
      <c r="N283" t="s">
        <v>7165</v>
      </c>
      <c r="O283" t="s">
        <v>7460</v>
      </c>
    </row>
    <row r="284" spans="1:15" x14ac:dyDescent="0.2">
      <c r="A284" s="27" t="s">
        <v>574</v>
      </c>
      <c r="B284" s="2" t="s">
        <v>575</v>
      </c>
      <c r="C284" s="2" t="s">
        <v>68</v>
      </c>
      <c r="D284" s="2" t="s">
        <v>578</v>
      </c>
      <c r="E284" s="2" t="s">
        <v>573</v>
      </c>
      <c r="F284" s="2" t="s">
        <v>77</v>
      </c>
      <c r="G284" s="32" t="s">
        <v>448</v>
      </c>
      <c r="H284" s="32" t="s">
        <v>7244</v>
      </c>
      <c r="I284" s="32" t="s">
        <v>7499</v>
      </c>
      <c r="J284" s="32"/>
      <c r="K284" s="33" t="s">
        <v>7307</v>
      </c>
      <c r="L284" s="32" t="s">
        <v>7441</v>
      </c>
      <c r="M284" t="s">
        <v>7165</v>
      </c>
      <c r="N284" t="s">
        <v>7165</v>
      </c>
      <c r="O284" t="s">
        <v>7460</v>
      </c>
    </row>
    <row r="285" spans="1:15" x14ac:dyDescent="0.2">
      <c r="A285" s="27" t="s">
        <v>1326</v>
      </c>
      <c r="B285" s="2" t="s">
        <v>1328</v>
      </c>
      <c r="C285" s="2" t="s">
        <v>68</v>
      </c>
      <c r="D285" s="2" t="s">
        <v>1331</v>
      </c>
      <c r="E285" s="2" t="s">
        <v>1324</v>
      </c>
      <c r="F285" s="2" t="s">
        <v>77</v>
      </c>
      <c r="G285" s="32" t="s">
        <v>603</v>
      </c>
      <c r="H285" s="32" t="s">
        <v>7179</v>
      </c>
      <c r="I285" s="32" t="s">
        <v>7497</v>
      </c>
      <c r="J285" s="32"/>
      <c r="K285" s="33" t="s">
        <v>7194</v>
      </c>
      <c r="L285" s="32" t="s">
        <v>7390</v>
      </c>
      <c r="M285" t="s">
        <v>7165</v>
      </c>
      <c r="N285" t="s">
        <v>7165</v>
      </c>
      <c r="O285" t="s">
        <v>7464</v>
      </c>
    </row>
    <row r="286" spans="1:15" x14ac:dyDescent="0.2">
      <c r="A286" s="27" t="s">
        <v>5183</v>
      </c>
      <c r="B286" s="2" t="s">
        <v>5184</v>
      </c>
      <c r="C286" s="2" t="s">
        <v>68</v>
      </c>
      <c r="D286" s="2" t="s">
        <v>5187</v>
      </c>
      <c r="E286" s="2" t="s">
        <v>5182</v>
      </c>
      <c r="F286" s="2" t="s">
        <v>77</v>
      </c>
      <c r="G286" s="32" t="s">
        <v>183</v>
      </c>
      <c r="H286" s="32" t="s">
        <v>7286</v>
      </c>
      <c r="I286" s="32" t="s">
        <v>7500</v>
      </c>
      <c r="J286" s="32"/>
      <c r="K286" s="33" t="s">
        <v>7327</v>
      </c>
      <c r="L286" s="32" t="s">
        <v>7385</v>
      </c>
      <c r="M286" t="s">
        <v>7165</v>
      </c>
      <c r="N286" t="s">
        <v>7165</v>
      </c>
      <c r="O286" t="s">
        <v>7353</v>
      </c>
    </row>
    <row r="287" spans="1:15" x14ac:dyDescent="0.2">
      <c r="A287" s="27" t="s">
        <v>1284</v>
      </c>
      <c r="B287" s="2" t="s">
        <v>1286</v>
      </c>
      <c r="C287" s="2" t="s">
        <v>68</v>
      </c>
      <c r="D287" s="2" t="s">
        <v>1289</v>
      </c>
      <c r="E287" s="2" t="s">
        <v>1282</v>
      </c>
      <c r="F287" s="2" t="s">
        <v>77</v>
      </c>
      <c r="G287" s="32" t="s">
        <v>603</v>
      </c>
      <c r="H287" s="32" t="s">
        <v>7179</v>
      </c>
      <c r="I287" s="32" t="s">
        <v>7497</v>
      </c>
      <c r="J287" s="32"/>
      <c r="K287" s="33" t="s">
        <v>7293</v>
      </c>
      <c r="L287" s="32" t="s">
        <v>7383</v>
      </c>
      <c r="M287" t="s">
        <v>7165</v>
      </c>
      <c r="N287" t="s">
        <v>7165</v>
      </c>
      <c r="O287" t="s">
        <v>7354</v>
      </c>
    </row>
    <row r="288" spans="1:15" x14ac:dyDescent="0.2">
      <c r="A288" s="27" t="s">
        <v>139</v>
      </c>
      <c r="B288" s="2" t="s">
        <v>147</v>
      </c>
      <c r="C288" s="2" t="s">
        <v>68</v>
      </c>
      <c r="D288" s="2" t="s">
        <v>150</v>
      </c>
      <c r="E288" s="2" t="s">
        <v>137</v>
      </c>
      <c r="F288" s="2" t="s">
        <v>77</v>
      </c>
      <c r="G288" s="32" t="s">
        <v>142</v>
      </c>
      <c r="H288" s="32" t="s">
        <v>7258</v>
      </c>
      <c r="I288" s="32" t="s">
        <v>7499</v>
      </c>
      <c r="J288" s="32"/>
      <c r="K288" s="33" t="s">
        <v>7301</v>
      </c>
      <c r="L288" s="32" t="s">
        <v>7442</v>
      </c>
      <c r="M288" t="s">
        <v>7165</v>
      </c>
      <c r="N288" t="s">
        <v>7165</v>
      </c>
      <c r="O288" t="s">
        <v>7354</v>
      </c>
    </row>
    <row r="289" spans="1:15" x14ac:dyDescent="0.2">
      <c r="A289" s="27" t="s">
        <v>6616</v>
      </c>
      <c r="B289" s="2" t="s">
        <v>6618</v>
      </c>
      <c r="C289" s="2" t="s">
        <v>68</v>
      </c>
      <c r="D289" s="2" t="s">
        <v>6621</v>
      </c>
      <c r="E289" s="2" t="s">
        <v>6614</v>
      </c>
      <c r="F289" s="2" t="s">
        <v>77</v>
      </c>
      <c r="G289" s="32" t="s">
        <v>61</v>
      </c>
      <c r="H289" s="32" t="s">
        <v>7158</v>
      </c>
      <c r="I289" s="32" t="s">
        <v>7504</v>
      </c>
      <c r="J289" s="32"/>
      <c r="K289" s="33" t="s">
        <v>7231</v>
      </c>
      <c r="L289" s="32" t="s">
        <v>7383</v>
      </c>
      <c r="M289" t="s">
        <v>60</v>
      </c>
      <c r="N289" t="s">
        <v>60</v>
      </c>
      <c r="O289" t="s">
        <v>7354</v>
      </c>
    </row>
    <row r="290" spans="1:15" x14ac:dyDescent="0.2">
      <c r="A290" s="27" t="s">
        <v>6652</v>
      </c>
      <c r="B290" s="2" t="s">
        <v>6654</v>
      </c>
      <c r="C290" s="2" t="s">
        <v>68</v>
      </c>
      <c r="D290" s="2" t="s">
        <v>6657</v>
      </c>
      <c r="E290" s="2" t="s">
        <v>6651</v>
      </c>
      <c r="F290" s="2" t="s">
        <v>77</v>
      </c>
      <c r="G290" s="32" t="s">
        <v>61</v>
      </c>
      <c r="H290" s="32" t="s">
        <v>7158</v>
      </c>
      <c r="I290" s="32" t="s">
        <v>7504</v>
      </c>
      <c r="J290" s="32"/>
      <c r="K290" s="33" t="s">
        <v>7231</v>
      </c>
      <c r="L290" s="32" t="s">
        <v>7383</v>
      </c>
      <c r="M290" t="s">
        <v>60</v>
      </c>
      <c r="N290" t="s">
        <v>60</v>
      </c>
      <c r="O290" t="s">
        <v>7354</v>
      </c>
    </row>
    <row r="291" spans="1:15" x14ac:dyDescent="0.2">
      <c r="A291" s="27" t="s">
        <v>6664</v>
      </c>
      <c r="B291" s="2" t="s">
        <v>6665</v>
      </c>
      <c r="C291" s="2" t="s">
        <v>68</v>
      </c>
      <c r="D291" s="2" t="s">
        <v>6668</v>
      </c>
      <c r="E291" s="2" t="s">
        <v>6663</v>
      </c>
      <c r="F291" s="2" t="s">
        <v>77</v>
      </c>
      <c r="G291" s="32" t="s">
        <v>61</v>
      </c>
      <c r="H291" s="32" t="s">
        <v>7158</v>
      </c>
      <c r="I291" s="32" t="s">
        <v>7504</v>
      </c>
      <c r="J291" s="32"/>
      <c r="K291" s="33" t="s">
        <v>7231</v>
      </c>
      <c r="L291" s="32" t="s">
        <v>7383</v>
      </c>
      <c r="M291" t="s">
        <v>60</v>
      </c>
      <c r="N291" t="s">
        <v>60</v>
      </c>
      <c r="O291" t="s">
        <v>7354</v>
      </c>
    </row>
    <row r="292" spans="1:15" x14ac:dyDescent="0.2">
      <c r="A292" s="27" t="s">
        <v>3958</v>
      </c>
      <c r="B292" s="2" t="s">
        <v>3961</v>
      </c>
      <c r="C292" s="2" t="s">
        <v>68</v>
      </c>
      <c r="D292" s="2" t="s">
        <v>3964</v>
      </c>
      <c r="E292" s="2" t="s">
        <v>3956</v>
      </c>
      <c r="F292" s="2" t="s">
        <v>77</v>
      </c>
      <c r="G292" s="32" t="s">
        <v>142</v>
      </c>
      <c r="H292" s="32" t="s">
        <v>7258</v>
      </c>
      <c r="I292" s="32" t="s">
        <v>7499</v>
      </c>
      <c r="J292" s="32"/>
      <c r="K292" s="33" t="s">
        <v>7203</v>
      </c>
      <c r="L292" s="32" t="s">
        <v>7391</v>
      </c>
      <c r="M292" t="s">
        <v>7165</v>
      </c>
      <c r="N292" t="s">
        <v>7165</v>
      </c>
      <c r="O292" t="s">
        <v>7355</v>
      </c>
    </row>
    <row r="293" spans="1:15" x14ac:dyDescent="0.2">
      <c r="A293" s="27" t="s">
        <v>5493</v>
      </c>
      <c r="B293" s="2" t="s">
        <v>5494</v>
      </c>
      <c r="C293" s="2" t="s">
        <v>68</v>
      </c>
      <c r="D293" s="2" t="s">
        <v>5497</v>
      </c>
      <c r="E293" s="2" t="s">
        <v>5492</v>
      </c>
      <c r="F293" s="2" t="s">
        <v>77</v>
      </c>
      <c r="G293" s="32" t="s">
        <v>5479</v>
      </c>
      <c r="H293" s="32" t="s">
        <v>7281</v>
      </c>
      <c r="I293" s="32" t="s">
        <v>7499</v>
      </c>
      <c r="J293" s="32"/>
      <c r="K293" s="33" t="s">
        <v>7336</v>
      </c>
      <c r="L293" s="32" t="s">
        <v>7440</v>
      </c>
      <c r="M293" t="s">
        <v>7165</v>
      </c>
      <c r="N293" t="s">
        <v>7165</v>
      </c>
      <c r="O293" t="s">
        <v>7358</v>
      </c>
    </row>
    <row r="294" spans="1:15" x14ac:dyDescent="0.2">
      <c r="A294" s="27" t="s">
        <v>5677</v>
      </c>
      <c r="B294" s="2" t="s">
        <v>5678</v>
      </c>
      <c r="C294" s="2" t="s">
        <v>68</v>
      </c>
      <c r="D294" s="2" t="s">
        <v>5681</v>
      </c>
      <c r="E294" s="2" t="s">
        <v>5676</v>
      </c>
      <c r="F294" s="2" t="s">
        <v>77</v>
      </c>
      <c r="G294" s="32" t="s">
        <v>3903</v>
      </c>
      <c r="H294" s="32" t="s">
        <v>7275</v>
      </c>
      <c r="I294" s="32" t="s">
        <v>7515</v>
      </c>
      <c r="J294" s="32"/>
      <c r="K294" s="33" t="s">
        <v>7208</v>
      </c>
      <c r="L294" s="32" t="s">
        <v>7385</v>
      </c>
      <c r="M294" t="s">
        <v>7165</v>
      </c>
      <c r="N294" t="s">
        <v>7165</v>
      </c>
      <c r="O294" t="s">
        <v>7353</v>
      </c>
    </row>
    <row r="295" spans="1:15" x14ac:dyDescent="0.2">
      <c r="A295" s="27" t="s">
        <v>3933</v>
      </c>
      <c r="B295" s="2" t="s">
        <v>3935</v>
      </c>
      <c r="C295" s="2" t="s">
        <v>68</v>
      </c>
      <c r="D295" s="2" t="s">
        <v>3938</v>
      </c>
      <c r="E295" s="2" t="s">
        <v>3931</v>
      </c>
      <c r="F295" s="2" t="s">
        <v>77</v>
      </c>
      <c r="G295" s="32" t="s">
        <v>208</v>
      </c>
      <c r="H295" s="32" t="s">
        <v>7279</v>
      </c>
      <c r="I295" s="32" t="s">
        <v>7504</v>
      </c>
      <c r="J295" s="32"/>
      <c r="K295" s="33" t="s">
        <v>7202</v>
      </c>
      <c r="L295" s="32" t="s">
        <v>7426</v>
      </c>
      <c r="M295" t="s">
        <v>7165</v>
      </c>
      <c r="N295" t="s">
        <v>7165</v>
      </c>
      <c r="O295" t="s">
        <v>7358</v>
      </c>
    </row>
    <row r="296" spans="1:15" x14ac:dyDescent="0.2">
      <c r="A296" s="27" t="s">
        <v>6640</v>
      </c>
      <c r="B296" s="2" t="s">
        <v>6641</v>
      </c>
      <c r="C296" s="2" t="s">
        <v>68</v>
      </c>
      <c r="D296" s="2" t="s">
        <v>6644</v>
      </c>
      <c r="E296" s="2" t="s">
        <v>6638</v>
      </c>
      <c r="F296" s="2" t="s">
        <v>77</v>
      </c>
      <c r="G296" s="32" t="s">
        <v>61</v>
      </c>
      <c r="H296" s="32" t="s">
        <v>7158</v>
      </c>
      <c r="I296" s="32" t="s">
        <v>7504</v>
      </c>
      <c r="J296" s="32"/>
      <c r="K296" s="33" t="s">
        <v>7231</v>
      </c>
      <c r="L296" s="32" t="s">
        <v>7383</v>
      </c>
      <c r="M296" t="s">
        <v>60</v>
      </c>
      <c r="N296" t="s">
        <v>60</v>
      </c>
      <c r="O296" t="s">
        <v>7354</v>
      </c>
    </row>
    <row r="297" spans="1:15" x14ac:dyDescent="0.2">
      <c r="A297" s="27" t="s">
        <v>2998</v>
      </c>
      <c r="B297" s="2" t="s">
        <v>2999</v>
      </c>
      <c r="C297" s="2" t="s">
        <v>68</v>
      </c>
      <c r="D297" s="2" t="s">
        <v>3002</v>
      </c>
      <c r="E297" s="2" t="s">
        <v>2996</v>
      </c>
      <c r="F297" s="2" t="s">
        <v>77</v>
      </c>
      <c r="G297" s="32" t="s">
        <v>603</v>
      </c>
      <c r="H297" s="32" t="s">
        <v>7179</v>
      </c>
      <c r="I297" s="32" t="s">
        <v>7497</v>
      </c>
      <c r="J297" s="32"/>
      <c r="K297" s="33" t="s">
        <v>7211</v>
      </c>
      <c r="L297" s="32" t="s">
        <v>7387</v>
      </c>
      <c r="M297" t="s">
        <v>7165</v>
      </c>
      <c r="N297" t="s">
        <v>7165</v>
      </c>
      <c r="O297" t="s">
        <v>7463</v>
      </c>
    </row>
    <row r="298" spans="1:15" x14ac:dyDescent="0.2">
      <c r="A298" s="27" t="s">
        <v>2984</v>
      </c>
      <c r="B298" s="2" t="s">
        <v>2986</v>
      </c>
      <c r="C298" s="2" t="s">
        <v>68</v>
      </c>
      <c r="D298" s="2" t="s">
        <v>2989</v>
      </c>
      <c r="E298" s="2" t="s">
        <v>2983</v>
      </c>
      <c r="F298" s="2" t="s">
        <v>77</v>
      </c>
      <c r="G298" s="32" t="s">
        <v>603</v>
      </c>
      <c r="H298" s="32" t="s">
        <v>7179</v>
      </c>
      <c r="I298" s="32" t="s">
        <v>7497</v>
      </c>
      <c r="J298" s="32"/>
      <c r="K298" s="33" t="s">
        <v>7211</v>
      </c>
      <c r="L298" s="32" t="s">
        <v>7387</v>
      </c>
      <c r="M298" t="s">
        <v>7165</v>
      </c>
      <c r="N298" t="s">
        <v>7165</v>
      </c>
      <c r="O298" t="s">
        <v>7463</v>
      </c>
    </row>
    <row r="299" spans="1:15" x14ac:dyDescent="0.2">
      <c r="A299" s="27" t="s">
        <v>712</v>
      </c>
      <c r="B299" s="2" t="s">
        <v>714</v>
      </c>
      <c r="C299" s="2" t="s">
        <v>68</v>
      </c>
      <c r="D299" s="2" t="s">
        <v>717</v>
      </c>
      <c r="E299" s="2" t="s">
        <v>711</v>
      </c>
      <c r="F299" s="2" t="s">
        <v>77</v>
      </c>
      <c r="G299" s="32" t="s">
        <v>603</v>
      </c>
      <c r="H299" s="32" t="s">
        <v>7179</v>
      </c>
      <c r="I299" s="32" t="s">
        <v>7497</v>
      </c>
      <c r="J299" s="32"/>
      <c r="K299" s="33" t="s">
        <v>7293</v>
      </c>
      <c r="L299" s="32" t="s">
        <v>7383</v>
      </c>
      <c r="M299" t="s">
        <v>7165</v>
      </c>
      <c r="N299" t="s">
        <v>7165</v>
      </c>
      <c r="O299" t="s">
        <v>7354</v>
      </c>
    </row>
    <row r="300" spans="1:15" x14ac:dyDescent="0.2">
      <c r="A300" s="27" t="s">
        <v>6675</v>
      </c>
      <c r="B300" s="2" t="s">
        <v>6676</v>
      </c>
      <c r="C300" s="2" t="s">
        <v>68</v>
      </c>
      <c r="D300" s="2" t="s">
        <v>6679</v>
      </c>
      <c r="E300" s="2" t="s">
        <v>6674</v>
      </c>
      <c r="F300" s="2" t="s">
        <v>77</v>
      </c>
      <c r="G300" s="32" t="s">
        <v>61</v>
      </c>
      <c r="H300" s="32" t="s">
        <v>7158</v>
      </c>
      <c r="I300" s="32" t="s">
        <v>7504</v>
      </c>
      <c r="J300" s="32"/>
      <c r="K300" s="33" t="s">
        <v>7231</v>
      </c>
      <c r="L300" s="32" t="s">
        <v>7383</v>
      </c>
      <c r="M300" t="s">
        <v>60</v>
      </c>
      <c r="N300" t="s">
        <v>60</v>
      </c>
      <c r="O300" t="s">
        <v>7354</v>
      </c>
    </row>
    <row r="301" spans="1:15" x14ac:dyDescent="0.2">
      <c r="A301" s="27" t="s">
        <v>6476</v>
      </c>
      <c r="B301" s="2" t="s">
        <v>6477</v>
      </c>
      <c r="C301" s="2" t="s">
        <v>68</v>
      </c>
      <c r="D301" s="2" t="s">
        <v>6480</v>
      </c>
      <c r="E301" s="2" t="s">
        <v>6475</v>
      </c>
      <c r="F301" s="2" t="s">
        <v>77</v>
      </c>
      <c r="G301" s="32" t="s">
        <v>353</v>
      </c>
      <c r="H301" s="32" t="s">
        <v>7288</v>
      </c>
      <c r="I301" s="32" t="s">
        <v>7498</v>
      </c>
      <c r="J301" s="32"/>
      <c r="K301" s="33" t="s">
        <v>7198</v>
      </c>
      <c r="L301" s="32" t="s">
        <v>7412</v>
      </c>
      <c r="M301" t="s">
        <v>7172</v>
      </c>
      <c r="N301" t="s">
        <v>7165</v>
      </c>
      <c r="O301" t="s">
        <v>7362</v>
      </c>
    </row>
    <row r="302" spans="1:15" x14ac:dyDescent="0.2">
      <c r="A302" s="27" t="s">
        <v>494</v>
      </c>
      <c r="B302" s="2" t="s">
        <v>495</v>
      </c>
      <c r="C302" s="2" t="s">
        <v>68</v>
      </c>
      <c r="D302" s="2" t="s">
        <v>498</v>
      </c>
      <c r="E302" s="2" t="s">
        <v>493</v>
      </c>
      <c r="F302" s="2" t="s">
        <v>77</v>
      </c>
      <c r="G302" s="32" t="s">
        <v>481</v>
      </c>
      <c r="H302" s="32" t="s">
        <v>7262</v>
      </c>
      <c r="I302" s="32" t="s">
        <v>7497</v>
      </c>
      <c r="J302" s="32"/>
      <c r="K302" s="33" t="s">
        <v>7326</v>
      </c>
      <c r="L302" s="32" t="s">
        <v>7378</v>
      </c>
      <c r="M302" t="s">
        <v>7165</v>
      </c>
      <c r="N302" t="s">
        <v>7165</v>
      </c>
      <c r="O302" t="s">
        <v>7357</v>
      </c>
    </row>
    <row r="303" spans="1:15" x14ac:dyDescent="0.2">
      <c r="A303" s="27" t="s">
        <v>512</v>
      </c>
      <c r="B303" s="2" t="s">
        <v>513</v>
      </c>
      <c r="C303" s="2" t="s">
        <v>68</v>
      </c>
      <c r="D303" s="2" t="s">
        <v>516</v>
      </c>
      <c r="E303" s="2" t="s">
        <v>511</v>
      </c>
      <c r="F303" s="2" t="s">
        <v>77</v>
      </c>
      <c r="G303" s="32" t="s">
        <v>481</v>
      </c>
      <c r="H303" s="32" t="s">
        <v>7262</v>
      </c>
      <c r="I303" s="32" t="s">
        <v>7497</v>
      </c>
      <c r="J303" s="32"/>
      <c r="K303" s="33" t="s">
        <v>7326</v>
      </c>
      <c r="L303" s="32" t="s">
        <v>7378</v>
      </c>
      <c r="M303" t="s">
        <v>7165</v>
      </c>
      <c r="N303" t="s">
        <v>7165</v>
      </c>
      <c r="O303" t="s">
        <v>7357</v>
      </c>
    </row>
    <row r="304" spans="1:15" x14ac:dyDescent="0.2">
      <c r="A304" s="27" t="s">
        <v>6628</v>
      </c>
      <c r="B304" s="2" t="s">
        <v>6630</v>
      </c>
      <c r="C304" s="2" t="s">
        <v>68</v>
      </c>
      <c r="D304" s="2" t="s">
        <v>6633</v>
      </c>
      <c r="E304" s="2" t="s">
        <v>6626</v>
      </c>
      <c r="F304" s="2" t="s">
        <v>77</v>
      </c>
      <c r="G304" s="32" t="s">
        <v>95</v>
      </c>
      <c r="H304" s="32" t="s">
        <v>7281</v>
      </c>
      <c r="I304" s="32" t="s">
        <v>7518</v>
      </c>
      <c r="J304" s="32"/>
      <c r="K304" s="33" t="s">
        <v>7331</v>
      </c>
      <c r="L304" s="32" t="s">
        <v>7396</v>
      </c>
      <c r="M304" t="s">
        <v>60</v>
      </c>
      <c r="N304" t="s">
        <v>60</v>
      </c>
      <c r="O304" t="s">
        <v>7354</v>
      </c>
    </row>
    <row r="305" spans="1:15" x14ac:dyDescent="0.2">
      <c r="A305" s="27" t="s">
        <v>5943</v>
      </c>
      <c r="B305" s="2" t="s">
        <v>5945</v>
      </c>
      <c r="C305" s="2" t="s">
        <v>68</v>
      </c>
      <c r="D305" s="2" t="s">
        <v>5948</v>
      </c>
      <c r="E305" s="2" t="s">
        <v>5941</v>
      </c>
      <c r="F305" s="2" t="s">
        <v>77</v>
      </c>
      <c r="G305" s="32" t="s">
        <v>4838</v>
      </c>
      <c r="H305" s="32" t="s">
        <v>7265</v>
      </c>
      <c r="I305" s="32" t="s">
        <v>7497</v>
      </c>
      <c r="J305" s="32"/>
      <c r="K305" s="33" t="s">
        <v>7342</v>
      </c>
      <c r="L305" s="32" t="s">
        <v>7419</v>
      </c>
      <c r="M305" t="s">
        <v>7165</v>
      </c>
      <c r="N305" t="s">
        <v>7165</v>
      </c>
      <c r="O305" t="s">
        <v>7356</v>
      </c>
    </row>
    <row r="306" spans="1:15" x14ac:dyDescent="0.2">
      <c r="A306" s="27" t="s">
        <v>6886</v>
      </c>
      <c r="B306" s="2" t="s">
        <v>6887</v>
      </c>
      <c r="C306" s="2" t="s">
        <v>68</v>
      </c>
      <c r="D306" s="2" t="s">
        <v>6890</v>
      </c>
      <c r="E306" s="2" t="s">
        <v>6885</v>
      </c>
      <c r="F306" s="2" t="s">
        <v>77</v>
      </c>
      <c r="G306" s="32" t="s">
        <v>3194</v>
      </c>
      <c r="H306" s="32" t="s">
        <v>7232</v>
      </c>
      <c r="I306" s="32" t="s">
        <v>7497</v>
      </c>
      <c r="J306" s="32"/>
      <c r="K306" s="33" t="s">
        <v>7197</v>
      </c>
      <c r="L306" s="32" t="s">
        <v>7378</v>
      </c>
      <c r="M306" t="s">
        <v>7172</v>
      </c>
      <c r="N306" t="s">
        <v>7165</v>
      </c>
      <c r="O306" t="s">
        <v>7357</v>
      </c>
    </row>
    <row r="307" spans="1:15" x14ac:dyDescent="0.2">
      <c r="A307" s="27" t="s">
        <v>5513</v>
      </c>
      <c r="B307" s="2" t="s">
        <v>5515</v>
      </c>
      <c r="C307" s="2" t="s">
        <v>68</v>
      </c>
      <c r="D307" s="2" t="s">
        <v>5518</v>
      </c>
      <c r="E307" s="2" t="s">
        <v>5512</v>
      </c>
      <c r="F307" s="2" t="s">
        <v>77</v>
      </c>
      <c r="G307" s="32" t="s">
        <v>5479</v>
      </c>
      <c r="H307" s="32" t="s">
        <v>7281</v>
      </c>
      <c r="I307" s="32" t="s">
        <v>7499</v>
      </c>
      <c r="J307" s="32"/>
      <c r="K307" s="33" t="s">
        <v>7336</v>
      </c>
      <c r="L307" s="32" t="s">
        <v>7440</v>
      </c>
      <c r="M307" t="s">
        <v>7165</v>
      </c>
      <c r="N307" t="s">
        <v>7165</v>
      </c>
      <c r="O307" t="s">
        <v>7358</v>
      </c>
    </row>
    <row r="308" spans="1:15" x14ac:dyDescent="0.2">
      <c r="A308" s="27" t="s">
        <v>1129</v>
      </c>
      <c r="B308" s="2" t="s">
        <v>1130</v>
      </c>
      <c r="C308" s="2" t="s">
        <v>68</v>
      </c>
      <c r="D308" s="2" t="s">
        <v>1133</v>
      </c>
      <c r="E308" s="2" t="s">
        <v>1127</v>
      </c>
      <c r="F308" s="2" t="s">
        <v>77</v>
      </c>
      <c r="G308" s="32" t="s">
        <v>603</v>
      </c>
      <c r="H308" s="32" t="s">
        <v>7179</v>
      </c>
      <c r="I308" s="32" t="s">
        <v>7497</v>
      </c>
      <c r="J308" s="32"/>
      <c r="K308" s="33" t="s">
        <v>7339</v>
      </c>
      <c r="L308" s="32" t="s">
        <v>7398</v>
      </c>
      <c r="M308" t="s">
        <v>7165</v>
      </c>
      <c r="N308" t="s">
        <v>7165</v>
      </c>
      <c r="O308" t="s">
        <v>7356</v>
      </c>
    </row>
    <row r="309" spans="1:15" x14ac:dyDescent="0.2">
      <c r="A309" s="27" t="s">
        <v>2640</v>
      </c>
      <c r="B309" s="2" t="s">
        <v>2642</v>
      </c>
      <c r="C309" s="2" t="s">
        <v>68</v>
      </c>
      <c r="D309" s="2" t="s">
        <v>2645</v>
      </c>
      <c r="E309" s="2" t="s">
        <v>2638</v>
      </c>
      <c r="F309" s="2" t="s">
        <v>77</v>
      </c>
      <c r="G309" s="32" t="s">
        <v>603</v>
      </c>
      <c r="H309" s="32" t="s">
        <v>7179</v>
      </c>
      <c r="I309" s="32" t="s">
        <v>7497</v>
      </c>
      <c r="J309" s="32"/>
      <c r="K309" s="33" t="s">
        <v>7339</v>
      </c>
      <c r="L309" s="32" t="s">
        <v>7398</v>
      </c>
      <c r="M309" t="s">
        <v>7165</v>
      </c>
      <c r="N309" t="s">
        <v>7165</v>
      </c>
      <c r="O309" t="s">
        <v>7356</v>
      </c>
    </row>
    <row r="310" spans="1:15" x14ac:dyDescent="0.2">
      <c r="A310" s="27" t="s">
        <v>2334</v>
      </c>
      <c r="B310" s="2" t="s">
        <v>2335</v>
      </c>
      <c r="C310" s="2" t="s">
        <v>68</v>
      </c>
      <c r="D310" s="2" t="s">
        <v>2338</v>
      </c>
      <c r="E310" s="2" t="s">
        <v>2331</v>
      </c>
      <c r="F310" s="2" t="s">
        <v>77</v>
      </c>
      <c r="G310" s="32" t="s">
        <v>603</v>
      </c>
      <c r="H310" s="32" t="s">
        <v>7179</v>
      </c>
      <c r="I310" s="32" t="s">
        <v>7497</v>
      </c>
      <c r="J310" s="32"/>
      <c r="K310" s="33" t="s">
        <v>7328</v>
      </c>
      <c r="L310" s="32" t="s">
        <v>7419</v>
      </c>
      <c r="M310" t="s">
        <v>7170</v>
      </c>
      <c r="N310" t="s">
        <v>7170</v>
      </c>
      <c r="O310" t="s">
        <v>7356</v>
      </c>
    </row>
    <row r="311" spans="1:15" x14ac:dyDescent="0.2">
      <c r="A311" s="27" t="s">
        <v>2371</v>
      </c>
      <c r="B311" s="2" t="s">
        <v>2372</v>
      </c>
      <c r="C311" s="2" t="s">
        <v>68</v>
      </c>
      <c r="D311" s="2" t="s">
        <v>2375</v>
      </c>
      <c r="E311" s="2" t="s">
        <v>2370</v>
      </c>
      <c r="F311" s="2" t="s">
        <v>77</v>
      </c>
      <c r="G311" s="32" t="s">
        <v>603</v>
      </c>
      <c r="H311" s="32" t="s">
        <v>7179</v>
      </c>
      <c r="I311" s="32" t="s">
        <v>7497</v>
      </c>
      <c r="J311" s="32"/>
      <c r="K311" s="33" t="s">
        <v>7328</v>
      </c>
      <c r="L311" s="32" t="s">
        <v>7419</v>
      </c>
      <c r="M311" t="s">
        <v>7170</v>
      </c>
      <c r="N311" t="s">
        <v>7170</v>
      </c>
      <c r="O311" t="s">
        <v>7356</v>
      </c>
    </row>
    <row r="312" spans="1:15" x14ac:dyDescent="0.2">
      <c r="A312" s="27" t="s">
        <v>5415</v>
      </c>
      <c r="B312" s="2" t="s">
        <v>5419</v>
      </c>
      <c r="C312" s="2" t="s">
        <v>68</v>
      </c>
      <c r="D312" s="2" t="s">
        <v>5422</v>
      </c>
      <c r="E312" s="2" t="s">
        <v>5413</v>
      </c>
      <c r="F312" s="2" t="s">
        <v>77</v>
      </c>
      <c r="G312" s="32" t="s">
        <v>5416</v>
      </c>
      <c r="H312" s="32" t="s">
        <v>7262</v>
      </c>
      <c r="I312" s="32" t="s">
        <v>7504</v>
      </c>
      <c r="J312" s="32"/>
      <c r="K312" s="33" t="s">
        <v>7300</v>
      </c>
      <c r="L312" s="32" t="s">
        <v>7436</v>
      </c>
      <c r="M312" t="s">
        <v>7165</v>
      </c>
      <c r="N312" t="s">
        <v>7165</v>
      </c>
      <c r="O312" t="s">
        <v>7464</v>
      </c>
    </row>
    <row r="313" spans="1:15" x14ac:dyDescent="0.2">
      <c r="A313" s="27" t="s">
        <v>4985</v>
      </c>
      <c r="B313" s="2" t="s">
        <v>4988</v>
      </c>
      <c r="C313" s="2" t="s">
        <v>68</v>
      </c>
      <c r="D313" s="2" t="s">
        <v>4991</v>
      </c>
      <c r="E313" s="2" t="s">
        <v>4983</v>
      </c>
      <c r="F313" s="2" t="s">
        <v>77</v>
      </c>
      <c r="G313" s="32" t="s">
        <v>3150</v>
      </c>
      <c r="H313" s="32" t="s">
        <v>7252</v>
      </c>
      <c r="I313" s="32" t="s">
        <v>7504</v>
      </c>
      <c r="J313" s="32"/>
      <c r="K313" s="33" t="s">
        <v>7331</v>
      </c>
      <c r="L313" s="32" t="s">
        <v>7396</v>
      </c>
      <c r="M313" t="s">
        <v>7169</v>
      </c>
      <c r="N313" t="s">
        <v>7169</v>
      </c>
      <c r="O313" t="s">
        <v>7354</v>
      </c>
    </row>
    <row r="314" spans="1:15" x14ac:dyDescent="0.2">
      <c r="A314" s="27" t="s">
        <v>3227</v>
      </c>
      <c r="B314" s="2" t="s">
        <v>3230</v>
      </c>
      <c r="C314" s="2" t="s">
        <v>68</v>
      </c>
      <c r="D314" s="2" t="s">
        <v>3233</v>
      </c>
      <c r="E314" s="2" t="s">
        <v>3225</v>
      </c>
      <c r="F314" s="2" t="s">
        <v>77</v>
      </c>
      <c r="G314" s="32" t="s">
        <v>208</v>
      </c>
      <c r="H314" s="32" t="s">
        <v>7279</v>
      </c>
      <c r="I314" s="32" t="s">
        <v>7504</v>
      </c>
      <c r="J314" s="32"/>
      <c r="K314" s="33" t="s">
        <v>7201</v>
      </c>
      <c r="L314" s="32" t="s">
        <v>7428</v>
      </c>
      <c r="M314" t="s">
        <v>7165</v>
      </c>
      <c r="N314" t="s">
        <v>7165</v>
      </c>
      <c r="O314" t="s">
        <v>7357</v>
      </c>
    </row>
    <row r="315" spans="1:15" x14ac:dyDescent="0.2">
      <c r="A315" s="27" t="s">
        <v>6347</v>
      </c>
      <c r="B315" s="2" t="s">
        <v>6350</v>
      </c>
      <c r="C315" s="2" t="s">
        <v>68</v>
      </c>
      <c r="D315" s="2" t="s">
        <v>6353</v>
      </c>
      <c r="E315" s="2" t="s">
        <v>6345</v>
      </c>
      <c r="F315" s="2" t="s">
        <v>77</v>
      </c>
      <c r="G315" s="32" t="s">
        <v>208</v>
      </c>
      <c r="H315" s="32" t="s">
        <v>7279</v>
      </c>
      <c r="I315" s="32" t="s">
        <v>7504</v>
      </c>
      <c r="J315" s="32"/>
      <c r="K315" s="33" t="s">
        <v>7201</v>
      </c>
      <c r="L315" s="32" t="s">
        <v>7428</v>
      </c>
      <c r="M315" t="s">
        <v>7172</v>
      </c>
      <c r="N315" t="s">
        <v>7165</v>
      </c>
      <c r="O315" t="s">
        <v>7357</v>
      </c>
    </row>
    <row r="316" spans="1:15" x14ac:dyDescent="0.2">
      <c r="A316" s="27" t="s">
        <v>4017</v>
      </c>
      <c r="B316" s="2" t="s">
        <v>4018</v>
      </c>
      <c r="C316" s="2" t="s">
        <v>68</v>
      </c>
      <c r="D316" s="2" t="s">
        <v>4021</v>
      </c>
      <c r="E316" s="2" t="s">
        <v>4015</v>
      </c>
      <c r="F316" s="2" t="s">
        <v>77</v>
      </c>
      <c r="G316" s="32" t="s">
        <v>448</v>
      </c>
      <c r="H316" s="32" t="s">
        <v>7244</v>
      </c>
      <c r="I316" s="32" t="s">
        <v>7499</v>
      </c>
      <c r="J316" s="32"/>
      <c r="K316" s="33" t="s">
        <v>7200</v>
      </c>
      <c r="L316" s="32" t="s">
        <v>7380</v>
      </c>
      <c r="M316" t="s">
        <v>7165</v>
      </c>
      <c r="N316" t="s">
        <v>7165</v>
      </c>
      <c r="O316" t="s">
        <v>7460</v>
      </c>
    </row>
    <row r="317" spans="1:15" x14ac:dyDescent="0.2">
      <c r="A317" s="27" t="s">
        <v>5957</v>
      </c>
      <c r="B317" s="2" t="s">
        <v>5958</v>
      </c>
      <c r="C317" s="2" t="s">
        <v>68</v>
      </c>
      <c r="D317" s="2" t="s">
        <v>5961</v>
      </c>
      <c r="E317" s="2" t="s">
        <v>5956</v>
      </c>
      <c r="F317" s="2" t="s">
        <v>77</v>
      </c>
      <c r="G317" s="32" t="s">
        <v>4838</v>
      </c>
      <c r="H317" s="32" t="s">
        <v>7265</v>
      </c>
      <c r="I317" s="32" t="s">
        <v>7497</v>
      </c>
      <c r="J317" s="32"/>
      <c r="K317" s="33" t="s">
        <v>7342</v>
      </c>
      <c r="L317" s="32" t="s">
        <v>7419</v>
      </c>
      <c r="M317" t="s">
        <v>7165</v>
      </c>
      <c r="N317" t="s">
        <v>7165</v>
      </c>
      <c r="O317" t="s">
        <v>7356</v>
      </c>
    </row>
    <row r="318" spans="1:15" x14ac:dyDescent="0.2">
      <c r="A318" s="27" t="s">
        <v>1653</v>
      </c>
      <c r="B318" s="2" t="s">
        <v>1655</v>
      </c>
      <c r="C318" s="2" t="s">
        <v>68</v>
      </c>
      <c r="D318" s="2" t="s">
        <v>1658</v>
      </c>
      <c r="E318" s="2" t="s">
        <v>1651</v>
      </c>
      <c r="F318" s="2" t="s">
        <v>77</v>
      </c>
      <c r="G318" s="32" t="s">
        <v>603</v>
      </c>
      <c r="H318" s="32" t="s">
        <v>7179</v>
      </c>
      <c r="I318" s="32" t="s">
        <v>7497</v>
      </c>
      <c r="J318" s="32"/>
      <c r="K318" s="33" t="s">
        <v>7211</v>
      </c>
      <c r="L318" s="32" t="s">
        <v>7387</v>
      </c>
      <c r="M318" t="s">
        <v>7165</v>
      </c>
      <c r="N318" t="s">
        <v>7165</v>
      </c>
      <c r="O318" t="s">
        <v>7463</v>
      </c>
    </row>
    <row r="319" spans="1:15" x14ac:dyDescent="0.2">
      <c r="A319" s="27" t="s">
        <v>5839</v>
      </c>
      <c r="B319" s="2" t="s">
        <v>5840</v>
      </c>
      <c r="C319" s="2" t="s">
        <v>68</v>
      </c>
      <c r="D319" s="2" t="s">
        <v>5843</v>
      </c>
      <c r="E319" s="2" t="s">
        <v>5838</v>
      </c>
      <c r="F319" s="2" t="s">
        <v>77</v>
      </c>
      <c r="G319" s="32" t="s">
        <v>4768</v>
      </c>
      <c r="H319" s="32" t="s">
        <v>7288</v>
      </c>
      <c r="I319" s="32" t="s">
        <v>7519</v>
      </c>
      <c r="J319" s="32"/>
      <c r="K319" s="33" t="s">
        <v>7297</v>
      </c>
      <c r="L319" s="32" t="s">
        <v>7434</v>
      </c>
      <c r="M319" t="s">
        <v>7165</v>
      </c>
      <c r="N319" t="s">
        <v>7165</v>
      </c>
      <c r="O319" t="s">
        <v>7354</v>
      </c>
    </row>
    <row r="320" spans="1:15" x14ac:dyDescent="0.2">
      <c r="A320" s="27" t="s">
        <v>3242</v>
      </c>
      <c r="B320" s="2" t="s">
        <v>3245</v>
      </c>
      <c r="C320" s="2" t="s">
        <v>68</v>
      </c>
      <c r="D320" s="2" t="s">
        <v>3248</v>
      </c>
      <c r="E320" s="2" t="s">
        <v>3240</v>
      </c>
      <c r="F320" s="2" t="s">
        <v>77</v>
      </c>
      <c r="G320" s="32" t="s">
        <v>448</v>
      </c>
      <c r="H320" s="32" t="s">
        <v>7244</v>
      </c>
      <c r="I320" s="32" t="s">
        <v>7499</v>
      </c>
      <c r="J320" s="32"/>
      <c r="K320" s="33" t="s">
        <v>7200</v>
      </c>
      <c r="L320" s="32" t="s">
        <v>7380</v>
      </c>
      <c r="M320" t="s">
        <v>7165</v>
      </c>
      <c r="N320" t="s">
        <v>7165</v>
      </c>
      <c r="O320" t="s">
        <v>7460</v>
      </c>
    </row>
    <row r="321" spans="1:15" x14ac:dyDescent="0.2">
      <c r="A321" s="27" t="s">
        <v>2086</v>
      </c>
      <c r="B321" s="2" t="s">
        <v>2089</v>
      </c>
      <c r="C321" s="2" t="s">
        <v>68</v>
      </c>
      <c r="D321" s="2" t="s">
        <v>2092</v>
      </c>
      <c r="E321" s="2" t="s">
        <v>2084</v>
      </c>
      <c r="F321" s="2" t="s">
        <v>77</v>
      </c>
      <c r="G321" s="32" t="s">
        <v>603</v>
      </c>
      <c r="H321" s="32" t="s">
        <v>7179</v>
      </c>
      <c r="I321" s="32" t="s">
        <v>7497</v>
      </c>
      <c r="J321" s="32"/>
      <c r="K321" s="33" t="s">
        <v>7339</v>
      </c>
      <c r="L321" s="32" t="s">
        <v>7398</v>
      </c>
      <c r="M321" t="s">
        <v>7165</v>
      </c>
      <c r="N321" t="s">
        <v>7165</v>
      </c>
      <c r="O321" t="s">
        <v>7356</v>
      </c>
    </row>
    <row r="322" spans="1:15" x14ac:dyDescent="0.2">
      <c r="A322" s="27" t="s">
        <v>1399</v>
      </c>
      <c r="B322" s="2" t="s">
        <v>1400</v>
      </c>
      <c r="C322" s="2" t="s">
        <v>68</v>
      </c>
      <c r="D322" s="2" t="s">
        <v>1402</v>
      </c>
      <c r="E322" s="2" t="s">
        <v>1397</v>
      </c>
      <c r="F322" s="2" t="s">
        <v>77</v>
      </c>
      <c r="G322" s="32" t="s">
        <v>603</v>
      </c>
      <c r="H322" s="32" t="s">
        <v>7179</v>
      </c>
      <c r="I322" s="32" t="s">
        <v>7497</v>
      </c>
      <c r="J322" s="32"/>
      <c r="K322" s="33" t="s">
        <v>7211</v>
      </c>
      <c r="L322" s="32" t="s">
        <v>7387</v>
      </c>
      <c r="M322" t="s">
        <v>7165</v>
      </c>
      <c r="N322" t="s">
        <v>7165</v>
      </c>
      <c r="O322" t="s">
        <v>7463</v>
      </c>
    </row>
    <row r="323" spans="1:15" x14ac:dyDescent="0.2">
      <c r="A323" s="34" t="s">
        <v>3364</v>
      </c>
      <c r="B323" s="2" t="s">
        <v>3366</v>
      </c>
      <c r="C323" s="2" t="s">
        <v>68</v>
      </c>
      <c r="D323" s="2" t="s">
        <v>3369</v>
      </c>
      <c r="E323" s="2" t="s">
        <v>3361</v>
      </c>
      <c r="F323" s="2" t="s">
        <v>77</v>
      </c>
      <c r="G323" s="32" t="s">
        <v>3134</v>
      </c>
      <c r="H323" s="32" t="s">
        <v>7281</v>
      </c>
      <c r="I323" s="32" t="s">
        <v>7504</v>
      </c>
      <c r="J323" s="32"/>
      <c r="K323" s="33" t="s">
        <v>7198</v>
      </c>
      <c r="L323" s="32" t="s">
        <v>7412</v>
      </c>
      <c r="M323" t="s">
        <v>7172</v>
      </c>
      <c r="N323" t="s">
        <v>7165</v>
      </c>
      <c r="O323" t="s">
        <v>7362</v>
      </c>
    </row>
    <row r="324" spans="1:15" x14ac:dyDescent="0.2">
      <c r="A324" s="27" t="s">
        <v>1340</v>
      </c>
      <c r="B324" s="2" t="s">
        <v>1342</v>
      </c>
      <c r="C324" s="2" t="s">
        <v>68</v>
      </c>
      <c r="D324" s="2" t="s">
        <v>1344</v>
      </c>
      <c r="E324" s="2" t="s">
        <v>1338</v>
      </c>
      <c r="F324" s="2" t="s">
        <v>77</v>
      </c>
      <c r="G324" s="32" t="s">
        <v>603</v>
      </c>
      <c r="H324" s="32" t="s">
        <v>7179</v>
      </c>
      <c r="I324" s="32" t="s">
        <v>7497</v>
      </c>
      <c r="J324" s="32"/>
      <c r="K324" s="33" t="s">
        <v>7194</v>
      </c>
      <c r="L324" s="32" t="s">
        <v>7390</v>
      </c>
      <c r="M324" t="s">
        <v>7165</v>
      </c>
      <c r="N324" t="s">
        <v>7165</v>
      </c>
      <c r="O324" t="s">
        <v>7464</v>
      </c>
    </row>
    <row r="325" spans="1:15" x14ac:dyDescent="0.2">
      <c r="A325" s="27" t="s">
        <v>2472</v>
      </c>
      <c r="B325" s="2" t="s">
        <v>2474</v>
      </c>
      <c r="C325" s="2" t="s">
        <v>68</v>
      </c>
      <c r="D325" s="2" t="s">
        <v>2477</v>
      </c>
      <c r="E325" s="2" t="s">
        <v>2470</v>
      </c>
      <c r="F325" s="2" t="s">
        <v>77</v>
      </c>
      <c r="G325" s="32" t="s">
        <v>603</v>
      </c>
      <c r="H325" s="32" t="s">
        <v>7179</v>
      </c>
      <c r="I325" s="32" t="s">
        <v>7497</v>
      </c>
      <c r="J325" s="32"/>
      <c r="K325" s="33" t="s">
        <v>7339</v>
      </c>
      <c r="L325" s="32" t="s">
        <v>7398</v>
      </c>
      <c r="M325" t="s">
        <v>7165</v>
      </c>
      <c r="N325" t="s">
        <v>7165</v>
      </c>
      <c r="O325" t="s">
        <v>7356</v>
      </c>
    </row>
    <row r="326" spans="1:15" x14ac:dyDescent="0.2">
      <c r="A326" s="27" t="s">
        <v>3041</v>
      </c>
      <c r="B326" s="2" t="s">
        <v>3042</v>
      </c>
      <c r="C326" s="2" t="s">
        <v>68</v>
      </c>
      <c r="D326" s="2" t="s">
        <v>3045</v>
      </c>
      <c r="E326" s="2" t="s">
        <v>3040</v>
      </c>
      <c r="F326" s="2" t="s">
        <v>77</v>
      </c>
      <c r="G326" s="32" t="s">
        <v>603</v>
      </c>
      <c r="H326" s="32" t="s">
        <v>7179</v>
      </c>
      <c r="I326" s="32" t="s">
        <v>7497</v>
      </c>
      <c r="J326" s="32"/>
      <c r="K326" s="33" t="s">
        <v>7211</v>
      </c>
      <c r="L326" s="32" t="s">
        <v>7387</v>
      </c>
      <c r="M326" t="s">
        <v>7165</v>
      </c>
      <c r="N326" t="s">
        <v>7165</v>
      </c>
      <c r="O326" t="s">
        <v>7463</v>
      </c>
    </row>
    <row r="327" spans="1:15" x14ac:dyDescent="0.2">
      <c r="A327" s="27" t="s">
        <v>662</v>
      </c>
      <c r="B327" s="2" t="s">
        <v>663</v>
      </c>
      <c r="C327" s="2" t="s">
        <v>68</v>
      </c>
      <c r="D327" s="2" t="s">
        <v>666</v>
      </c>
      <c r="E327" s="2" t="s">
        <v>660</v>
      </c>
      <c r="F327" s="2" t="s">
        <v>77</v>
      </c>
      <c r="G327" s="32" t="s">
        <v>603</v>
      </c>
      <c r="H327" s="32" t="s">
        <v>7179</v>
      </c>
      <c r="I327" s="32" t="s">
        <v>7497</v>
      </c>
      <c r="J327" s="32"/>
      <c r="K327" s="33" t="s">
        <v>7194</v>
      </c>
      <c r="L327" s="32" t="s">
        <v>7390</v>
      </c>
      <c r="M327" t="s">
        <v>7165</v>
      </c>
      <c r="N327" t="s">
        <v>7165</v>
      </c>
      <c r="O327" t="s">
        <v>7464</v>
      </c>
    </row>
    <row r="328" spans="1:15" x14ac:dyDescent="0.2">
      <c r="A328" s="27" t="s">
        <v>4426</v>
      </c>
      <c r="B328" s="2" t="s">
        <v>4428</v>
      </c>
      <c r="C328" s="2" t="s">
        <v>68</v>
      </c>
      <c r="D328" s="2" t="s">
        <v>4431</v>
      </c>
      <c r="E328" s="2" t="s">
        <v>4424</v>
      </c>
      <c r="F328" s="2" t="s">
        <v>77</v>
      </c>
      <c r="G328" s="32" t="s">
        <v>603</v>
      </c>
      <c r="H328" s="32" t="s">
        <v>7179</v>
      </c>
      <c r="I328" s="32" t="s">
        <v>7497</v>
      </c>
      <c r="J328" s="32"/>
      <c r="K328" s="33" t="s">
        <v>7293</v>
      </c>
      <c r="L328" s="32" t="s">
        <v>7383</v>
      </c>
      <c r="M328" t="s">
        <v>7165</v>
      </c>
      <c r="N328" t="s">
        <v>7165</v>
      </c>
      <c r="O328" t="s">
        <v>7354</v>
      </c>
    </row>
    <row r="329" spans="1:15" x14ac:dyDescent="0.2">
      <c r="A329" s="27" t="s">
        <v>2383</v>
      </c>
      <c r="B329" s="2" t="s">
        <v>2385</v>
      </c>
      <c r="C329" s="2" t="s">
        <v>68</v>
      </c>
      <c r="D329" s="2" t="s">
        <v>2388</v>
      </c>
      <c r="E329" s="2" t="s">
        <v>2381</v>
      </c>
      <c r="F329" s="2" t="s">
        <v>77</v>
      </c>
      <c r="G329" s="32" t="s">
        <v>603</v>
      </c>
      <c r="H329" s="32" t="s">
        <v>7179</v>
      </c>
      <c r="I329" s="32" t="s">
        <v>7497</v>
      </c>
      <c r="J329" s="32"/>
      <c r="K329" s="33" t="s">
        <v>7220</v>
      </c>
      <c r="L329" s="32" t="s">
        <v>7383</v>
      </c>
      <c r="M329" t="s">
        <v>7165</v>
      </c>
      <c r="N329" t="s">
        <v>7165</v>
      </c>
      <c r="O329" t="s">
        <v>7354</v>
      </c>
    </row>
    <row r="330" spans="1:15" x14ac:dyDescent="0.2">
      <c r="A330" s="27" t="s">
        <v>1411</v>
      </c>
      <c r="B330" s="2" t="s">
        <v>1412</v>
      </c>
      <c r="C330" s="2" t="s">
        <v>68</v>
      </c>
      <c r="D330" s="2" t="s">
        <v>1414</v>
      </c>
      <c r="E330" s="2" t="s">
        <v>1409</v>
      </c>
      <c r="F330" s="2" t="s">
        <v>77</v>
      </c>
      <c r="G330" s="32" t="s">
        <v>603</v>
      </c>
      <c r="H330" s="32" t="s">
        <v>7179</v>
      </c>
      <c r="I330" s="32" t="s">
        <v>7497</v>
      </c>
      <c r="J330" s="32"/>
      <c r="K330" s="33" t="s">
        <v>7211</v>
      </c>
      <c r="L330" s="32" t="s">
        <v>7387</v>
      </c>
      <c r="M330" t="s">
        <v>7165</v>
      </c>
      <c r="N330" t="s">
        <v>7165</v>
      </c>
      <c r="O330" t="s">
        <v>7463</v>
      </c>
    </row>
    <row r="331" spans="1:15" x14ac:dyDescent="0.2">
      <c r="A331" s="27" t="s">
        <v>1643</v>
      </c>
      <c r="B331" s="2" t="s">
        <v>1644</v>
      </c>
      <c r="C331" s="2" t="s">
        <v>68</v>
      </c>
      <c r="D331" s="2" t="s">
        <v>1646</v>
      </c>
      <c r="E331" s="2" t="s">
        <v>1641</v>
      </c>
      <c r="F331" s="2" t="s">
        <v>77</v>
      </c>
      <c r="G331" s="32" t="s">
        <v>603</v>
      </c>
      <c r="H331" s="32" t="s">
        <v>7179</v>
      </c>
      <c r="I331" s="32" t="s">
        <v>7497</v>
      </c>
      <c r="J331" s="32"/>
      <c r="K331" s="33" t="s">
        <v>7211</v>
      </c>
      <c r="L331" s="32" t="s">
        <v>7387</v>
      </c>
      <c r="M331" t="s">
        <v>7165</v>
      </c>
      <c r="N331" t="s">
        <v>7165</v>
      </c>
      <c r="O331" t="s">
        <v>7463</v>
      </c>
    </row>
    <row r="332" spans="1:15" x14ac:dyDescent="0.2">
      <c r="A332" s="27" t="s">
        <v>2180</v>
      </c>
      <c r="B332" s="2" t="s">
        <v>2182</v>
      </c>
      <c r="C332" s="2" t="s">
        <v>68</v>
      </c>
      <c r="D332" s="2" t="s">
        <v>2185</v>
      </c>
      <c r="E332" s="2" t="s">
        <v>2179</v>
      </c>
      <c r="F332" s="2" t="s">
        <v>77</v>
      </c>
      <c r="G332" s="32" t="s">
        <v>603</v>
      </c>
      <c r="H332" s="32" t="s">
        <v>7179</v>
      </c>
      <c r="I332" s="32" t="s">
        <v>7497</v>
      </c>
      <c r="J332" s="32"/>
      <c r="K332" s="33" t="s">
        <v>7339</v>
      </c>
      <c r="L332" s="32" t="s">
        <v>7398</v>
      </c>
      <c r="M332" t="s">
        <v>7165</v>
      </c>
      <c r="N332" t="s">
        <v>7165</v>
      </c>
      <c r="O332" t="s">
        <v>7356</v>
      </c>
    </row>
    <row r="333" spans="1:15" x14ac:dyDescent="0.2">
      <c r="A333" s="27" t="s">
        <v>2205</v>
      </c>
      <c r="B333" s="2" t="s">
        <v>2206</v>
      </c>
      <c r="C333" s="2" t="s">
        <v>68</v>
      </c>
      <c r="D333" s="2" t="s">
        <v>2209</v>
      </c>
      <c r="E333" s="2" t="s">
        <v>2204</v>
      </c>
      <c r="F333" s="2" t="s">
        <v>77</v>
      </c>
      <c r="G333" s="32" t="s">
        <v>603</v>
      </c>
      <c r="H333" s="32" t="s">
        <v>7179</v>
      </c>
      <c r="I333" s="32" t="s">
        <v>7497</v>
      </c>
      <c r="J333" s="32"/>
      <c r="K333" s="33" t="s">
        <v>7339</v>
      </c>
      <c r="L333" s="32" t="s">
        <v>7398</v>
      </c>
      <c r="M333" t="s">
        <v>7165</v>
      </c>
      <c r="N333" t="s">
        <v>7165</v>
      </c>
      <c r="O333" t="s">
        <v>7356</v>
      </c>
    </row>
    <row r="334" spans="1:15" x14ac:dyDescent="0.2">
      <c r="A334" s="27" t="s">
        <v>2651</v>
      </c>
      <c r="B334" s="2" t="s">
        <v>2652</v>
      </c>
      <c r="C334" s="2" t="s">
        <v>68</v>
      </c>
      <c r="D334" s="2" t="s">
        <v>2655</v>
      </c>
      <c r="E334" s="2" t="s">
        <v>2650</v>
      </c>
      <c r="F334" s="2" t="s">
        <v>77</v>
      </c>
      <c r="G334" s="32" t="s">
        <v>603</v>
      </c>
      <c r="H334" s="32" t="s">
        <v>7179</v>
      </c>
      <c r="I334" s="32" t="s">
        <v>7497</v>
      </c>
      <c r="J334" s="32"/>
      <c r="K334" s="33" t="s">
        <v>7339</v>
      </c>
      <c r="L334" s="32" t="s">
        <v>7398</v>
      </c>
      <c r="M334" t="s">
        <v>7165</v>
      </c>
      <c r="N334" t="s">
        <v>7165</v>
      </c>
      <c r="O334" t="s">
        <v>7356</v>
      </c>
    </row>
    <row r="335" spans="1:15" x14ac:dyDescent="0.2">
      <c r="A335" s="27" t="s">
        <v>1443</v>
      </c>
      <c r="B335" s="2" t="s">
        <v>1444</v>
      </c>
      <c r="C335" s="2" t="s">
        <v>68</v>
      </c>
      <c r="D335" s="2" t="s">
        <v>1446</v>
      </c>
      <c r="E335" s="2" t="s">
        <v>1441</v>
      </c>
      <c r="F335" s="2" t="s">
        <v>77</v>
      </c>
      <c r="G335" s="32" t="s">
        <v>603</v>
      </c>
      <c r="H335" s="32" t="s">
        <v>7179</v>
      </c>
      <c r="I335" s="32" t="s">
        <v>7497</v>
      </c>
      <c r="J335" s="32"/>
      <c r="K335" s="33" t="s">
        <v>7211</v>
      </c>
      <c r="L335" s="32" t="s">
        <v>7387</v>
      </c>
      <c r="M335" t="s">
        <v>7165</v>
      </c>
      <c r="N335" t="s">
        <v>7165</v>
      </c>
      <c r="O335" t="s">
        <v>7463</v>
      </c>
    </row>
    <row r="336" spans="1:15" x14ac:dyDescent="0.2">
      <c r="A336" s="27" t="s">
        <v>1621</v>
      </c>
      <c r="B336" s="2" t="s">
        <v>1623</v>
      </c>
      <c r="C336" s="2" t="s">
        <v>68</v>
      </c>
      <c r="D336" s="2" t="s">
        <v>1626</v>
      </c>
      <c r="E336" s="2" t="s">
        <v>1619</v>
      </c>
      <c r="F336" s="2" t="s">
        <v>77</v>
      </c>
      <c r="G336" s="32" t="s">
        <v>603</v>
      </c>
      <c r="H336" s="32" t="s">
        <v>7179</v>
      </c>
      <c r="I336" s="32" t="s">
        <v>7497</v>
      </c>
      <c r="J336" s="32"/>
      <c r="K336" s="33" t="s">
        <v>7211</v>
      </c>
      <c r="L336" s="32" t="s">
        <v>7387</v>
      </c>
      <c r="M336" t="s">
        <v>7165</v>
      </c>
      <c r="N336" t="s">
        <v>7165</v>
      </c>
      <c r="O336" t="s">
        <v>7463</v>
      </c>
    </row>
    <row r="337" spans="1:15" x14ac:dyDescent="0.2">
      <c r="A337" s="27" t="s">
        <v>844</v>
      </c>
      <c r="B337" s="2" t="s">
        <v>845</v>
      </c>
      <c r="C337" s="2" t="s">
        <v>68</v>
      </c>
      <c r="D337" s="2" t="s">
        <v>848</v>
      </c>
      <c r="E337" s="2" t="s">
        <v>842</v>
      </c>
      <c r="F337" s="2" t="s">
        <v>77</v>
      </c>
      <c r="G337" s="32" t="s">
        <v>603</v>
      </c>
      <c r="H337" s="32" t="s">
        <v>7179</v>
      </c>
      <c r="I337" s="32" t="s">
        <v>7497</v>
      </c>
      <c r="J337" s="32"/>
      <c r="K337" s="33" t="s">
        <v>7194</v>
      </c>
      <c r="L337" s="32" t="s">
        <v>7390</v>
      </c>
      <c r="M337" t="s">
        <v>7165</v>
      </c>
      <c r="N337" t="s">
        <v>7165</v>
      </c>
      <c r="O337" t="s">
        <v>7464</v>
      </c>
    </row>
    <row r="338" spans="1:15" x14ac:dyDescent="0.2">
      <c r="A338" s="27" t="s">
        <v>958</v>
      </c>
      <c r="B338" s="2" t="s">
        <v>961</v>
      </c>
      <c r="C338" s="2" t="s">
        <v>68</v>
      </c>
      <c r="D338" s="2" t="s">
        <v>964</v>
      </c>
      <c r="E338" s="2" t="s">
        <v>956</v>
      </c>
      <c r="F338" s="2" t="s">
        <v>77</v>
      </c>
      <c r="G338" s="32" t="s">
        <v>603</v>
      </c>
      <c r="H338" s="32" t="s">
        <v>7179</v>
      </c>
      <c r="I338" s="32" t="s">
        <v>7497</v>
      </c>
      <c r="J338" s="32"/>
      <c r="K338" s="33" t="s">
        <v>7211</v>
      </c>
      <c r="L338" s="32" t="s">
        <v>7387</v>
      </c>
      <c r="M338" t="s">
        <v>7165</v>
      </c>
      <c r="N338" t="s">
        <v>7165</v>
      </c>
      <c r="O338" t="s">
        <v>7463</v>
      </c>
    </row>
    <row r="339" spans="1:15" x14ac:dyDescent="0.2">
      <c r="A339" s="27" t="s">
        <v>1082</v>
      </c>
      <c r="B339" s="2" t="s">
        <v>1083</v>
      </c>
      <c r="C339" s="2" t="s">
        <v>68</v>
      </c>
      <c r="D339" s="2" t="s">
        <v>1086</v>
      </c>
      <c r="E339" s="2" t="s">
        <v>1080</v>
      </c>
      <c r="F339" s="2" t="s">
        <v>77</v>
      </c>
      <c r="G339" s="32" t="s">
        <v>603</v>
      </c>
      <c r="H339" s="32" t="s">
        <v>7179</v>
      </c>
      <c r="I339" s="32" t="s">
        <v>7497</v>
      </c>
      <c r="J339" s="32"/>
      <c r="K339" s="33" t="s">
        <v>7194</v>
      </c>
      <c r="L339" s="32" t="s">
        <v>7390</v>
      </c>
      <c r="M339" t="s">
        <v>7165</v>
      </c>
      <c r="N339" t="s">
        <v>7165</v>
      </c>
      <c r="O339" t="s">
        <v>7464</v>
      </c>
    </row>
    <row r="340" spans="1:15" x14ac:dyDescent="0.2">
      <c r="A340" s="27" t="s">
        <v>3020</v>
      </c>
      <c r="B340" s="2" t="s">
        <v>3021</v>
      </c>
      <c r="C340" s="2" t="s">
        <v>68</v>
      </c>
      <c r="D340" s="2" t="s">
        <v>3024</v>
      </c>
      <c r="E340" s="2" t="s">
        <v>3019</v>
      </c>
      <c r="F340" s="2" t="s">
        <v>77</v>
      </c>
      <c r="G340" s="32" t="s">
        <v>603</v>
      </c>
      <c r="H340" s="32" t="s">
        <v>7179</v>
      </c>
      <c r="I340" s="32" t="s">
        <v>7497</v>
      </c>
      <c r="J340" s="32"/>
      <c r="K340" s="33" t="s">
        <v>7211</v>
      </c>
      <c r="L340" s="32" t="s">
        <v>7387</v>
      </c>
      <c r="M340" t="s">
        <v>7165</v>
      </c>
      <c r="N340" t="s">
        <v>7165</v>
      </c>
      <c r="O340" t="s">
        <v>7463</v>
      </c>
    </row>
    <row r="341" spans="1:15" x14ac:dyDescent="0.2">
      <c r="A341" s="27" t="s">
        <v>1790</v>
      </c>
      <c r="B341" s="2" t="s">
        <v>1791</v>
      </c>
      <c r="C341" s="2" t="s">
        <v>68</v>
      </c>
      <c r="D341" s="2" t="s">
        <v>1793</v>
      </c>
      <c r="E341" s="2" t="s">
        <v>1788</v>
      </c>
      <c r="F341" s="2" t="s">
        <v>77</v>
      </c>
      <c r="G341" s="32" t="s">
        <v>603</v>
      </c>
      <c r="H341" s="32" t="s">
        <v>7179</v>
      </c>
      <c r="I341" s="32" t="s">
        <v>7497</v>
      </c>
      <c r="J341" s="32"/>
      <c r="K341" s="33" t="s">
        <v>7211</v>
      </c>
      <c r="L341" s="32" t="s">
        <v>7387</v>
      </c>
      <c r="M341" t="s">
        <v>7165</v>
      </c>
      <c r="N341" t="s">
        <v>7165</v>
      </c>
      <c r="O341" t="s">
        <v>7463</v>
      </c>
    </row>
    <row r="342" spans="1:15" x14ac:dyDescent="0.2">
      <c r="A342" s="27" t="s">
        <v>1675</v>
      </c>
      <c r="B342" s="2" t="s">
        <v>1676</v>
      </c>
      <c r="C342" s="2" t="s">
        <v>68</v>
      </c>
      <c r="D342" s="2" t="s">
        <v>1678</v>
      </c>
      <c r="E342" s="2" t="s">
        <v>1673</v>
      </c>
      <c r="F342" s="2" t="s">
        <v>77</v>
      </c>
      <c r="G342" s="32" t="s">
        <v>603</v>
      </c>
      <c r="H342" s="32" t="s">
        <v>7179</v>
      </c>
      <c r="I342" s="32" t="s">
        <v>7497</v>
      </c>
      <c r="J342" s="32"/>
      <c r="K342" s="33" t="s">
        <v>7211</v>
      </c>
      <c r="L342" s="32" t="s">
        <v>7387</v>
      </c>
      <c r="M342" t="s">
        <v>7165</v>
      </c>
      <c r="N342" t="s">
        <v>7165</v>
      </c>
      <c r="O342" t="s">
        <v>7463</v>
      </c>
    </row>
    <row r="343" spans="1:15" x14ac:dyDescent="0.2">
      <c r="A343" s="27" t="s">
        <v>5536</v>
      </c>
      <c r="B343" s="2" t="s">
        <v>5539</v>
      </c>
      <c r="C343" s="2" t="s">
        <v>68</v>
      </c>
      <c r="D343" s="2" t="s">
        <v>5542</v>
      </c>
      <c r="E343" s="2" t="s">
        <v>5534</v>
      </c>
      <c r="F343" s="2" t="s">
        <v>77</v>
      </c>
      <c r="G343" s="32" t="s">
        <v>3903</v>
      </c>
      <c r="H343" s="32" t="s">
        <v>7275</v>
      </c>
      <c r="I343" s="32" t="s">
        <v>7515</v>
      </c>
      <c r="J343" s="32"/>
      <c r="K343" s="33" t="s">
        <v>7208</v>
      </c>
      <c r="L343" s="32" t="s">
        <v>7385</v>
      </c>
      <c r="M343" t="s">
        <v>7165</v>
      </c>
      <c r="N343" t="s">
        <v>7165</v>
      </c>
      <c r="O343" t="s">
        <v>7353</v>
      </c>
    </row>
    <row r="344" spans="1:15" x14ac:dyDescent="0.2">
      <c r="A344" s="27" t="s">
        <v>3009</v>
      </c>
      <c r="B344" s="2" t="s">
        <v>3010</v>
      </c>
      <c r="C344" s="2" t="s">
        <v>68</v>
      </c>
      <c r="D344" s="2" t="s">
        <v>3013</v>
      </c>
      <c r="E344" s="2" t="s">
        <v>3007</v>
      </c>
      <c r="F344" s="2" t="s">
        <v>77</v>
      </c>
      <c r="G344" s="32" t="s">
        <v>603</v>
      </c>
      <c r="H344" s="32" t="s">
        <v>7179</v>
      </c>
      <c r="I344" s="32" t="s">
        <v>7497</v>
      </c>
      <c r="J344" s="32"/>
      <c r="K344" s="33" t="s">
        <v>7211</v>
      </c>
      <c r="L344" s="32" t="s">
        <v>7387</v>
      </c>
      <c r="M344" t="s">
        <v>7165</v>
      </c>
      <c r="N344" t="s">
        <v>7165</v>
      </c>
      <c r="O344" t="s">
        <v>7463</v>
      </c>
    </row>
    <row r="345" spans="1:15" x14ac:dyDescent="0.2">
      <c r="A345" s="27" t="s">
        <v>2953</v>
      </c>
      <c r="B345" s="2" t="s">
        <v>2954</v>
      </c>
      <c r="C345" s="2" t="s">
        <v>68</v>
      </c>
      <c r="D345" s="2" t="s">
        <v>2957</v>
      </c>
      <c r="E345" s="2" t="s">
        <v>2951</v>
      </c>
      <c r="F345" s="2" t="s">
        <v>77</v>
      </c>
      <c r="G345" s="32" t="s">
        <v>603</v>
      </c>
      <c r="H345" s="32" t="s">
        <v>7179</v>
      </c>
      <c r="I345" s="32" t="s">
        <v>7497</v>
      </c>
      <c r="J345" s="32"/>
      <c r="K345" s="33" t="s">
        <v>7211</v>
      </c>
      <c r="L345" s="32" t="s">
        <v>7387</v>
      </c>
      <c r="M345" t="s">
        <v>7165</v>
      </c>
      <c r="N345" t="s">
        <v>7165</v>
      </c>
      <c r="O345" t="s">
        <v>7463</v>
      </c>
    </row>
    <row r="346" spans="1:15" x14ac:dyDescent="0.2">
      <c r="A346" s="27" t="s">
        <v>2964</v>
      </c>
      <c r="B346" s="2" t="s">
        <v>2965</v>
      </c>
      <c r="C346" s="2" t="s">
        <v>68</v>
      </c>
      <c r="D346" s="2" t="s">
        <v>2968</v>
      </c>
      <c r="E346" s="2" t="s">
        <v>2963</v>
      </c>
      <c r="F346" s="2" t="s">
        <v>77</v>
      </c>
      <c r="G346" s="32" t="s">
        <v>603</v>
      </c>
      <c r="H346" s="32" t="s">
        <v>7179</v>
      </c>
      <c r="I346" s="32" t="s">
        <v>7497</v>
      </c>
      <c r="J346" s="32"/>
      <c r="K346" s="33" t="s">
        <v>7211</v>
      </c>
      <c r="L346" s="32" t="s">
        <v>7387</v>
      </c>
      <c r="M346" t="s">
        <v>7165</v>
      </c>
      <c r="N346" t="s">
        <v>7165</v>
      </c>
      <c r="O346" t="s">
        <v>7463</v>
      </c>
    </row>
    <row r="347" spans="1:15" x14ac:dyDescent="0.2">
      <c r="A347" s="27" t="s">
        <v>686</v>
      </c>
      <c r="B347" s="2" t="s">
        <v>687</v>
      </c>
      <c r="C347" s="2" t="s">
        <v>68</v>
      </c>
      <c r="D347" s="2" t="s">
        <v>690</v>
      </c>
      <c r="E347" s="2" t="s">
        <v>684</v>
      </c>
      <c r="F347" s="2" t="s">
        <v>77</v>
      </c>
      <c r="G347" s="32" t="s">
        <v>603</v>
      </c>
      <c r="H347" s="32" t="s">
        <v>7179</v>
      </c>
      <c r="I347" s="32" t="s">
        <v>7497</v>
      </c>
      <c r="J347" s="32"/>
      <c r="K347" s="33" t="s">
        <v>7194</v>
      </c>
      <c r="L347" s="32" t="s">
        <v>7390</v>
      </c>
      <c r="M347" t="s">
        <v>7165</v>
      </c>
      <c r="N347" t="s">
        <v>7165</v>
      </c>
      <c r="O347" t="s">
        <v>7464</v>
      </c>
    </row>
    <row r="348" spans="1:15" x14ac:dyDescent="0.2">
      <c r="A348" s="27" t="s">
        <v>2446</v>
      </c>
      <c r="B348" s="2" t="s">
        <v>2448</v>
      </c>
      <c r="C348" s="2" t="s">
        <v>68</v>
      </c>
      <c r="D348" s="2" t="s">
        <v>2451</v>
      </c>
      <c r="E348" s="2" t="s">
        <v>2444</v>
      </c>
      <c r="F348" s="2" t="s">
        <v>77</v>
      </c>
      <c r="G348" s="32" t="s">
        <v>603</v>
      </c>
      <c r="H348" s="32" t="s">
        <v>7179</v>
      </c>
      <c r="I348" s="32" t="s">
        <v>7497</v>
      </c>
      <c r="J348" s="32"/>
      <c r="K348" s="33" t="s">
        <v>7194</v>
      </c>
      <c r="L348" s="32" t="s">
        <v>7390</v>
      </c>
      <c r="M348" t="s">
        <v>7168</v>
      </c>
      <c r="N348" t="s">
        <v>7168</v>
      </c>
      <c r="O348" t="s">
        <v>7464</v>
      </c>
    </row>
    <row r="349" spans="1:15" x14ac:dyDescent="0.2">
      <c r="A349" s="27" t="s">
        <v>2228</v>
      </c>
      <c r="B349" s="2" t="s">
        <v>2229</v>
      </c>
      <c r="C349" s="2" t="s">
        <v>68</v>
      </c>
      <c r="D349" s="2" t="s">
        <v>2232</v>
      </c>
      <c r="E349" s="2" t="s">
        <v>2227</v>
      </c>
      <c r="F349" s="2" t="s">
        <v>77</v>
      </c>
      <c r="G349" s="32" t="s">
        <v>603</v>
      </c>
      <c r="H349" s="32" t="s">
        <v>7179</v>
      </c>
      <c r="I349" s="32" t="s">
        <v>7497</v>
      </c>
      <c r="J349" s="32"/>
      <c r="K349" s="33" t="s">
        <v>7339</v>
      </c>
      <c r="L349" s="32" t="s">
        <v>7398</v>
      </c>
      <c r="M349" t="s">
        <v>7165</v>
      </c>
      <c r="N349" t="s">
        <v>7165</v>
      </c>
      <c r="O349" t="s">
        <v>7356</v>
      </c>
    </row>
    <row r="350" spans="1:15" x14ac:dyDescent="0.2">
      <c r="A350" s="27" t="s">
        <v>2275</v>
      </c>
      <c r="B350" s="2" t="s">
        <v>2278</v>
      </c>
      <c r="C350" s="2" t="s">
        <v>68</v>
      </c>
      <c r="D350" s="2" t="s">
        <v>2281</v>
      </c>
      <c r="E350" s="2" t="s">
        <v>2273</v>
      </c>
      <c r="F350" s="2" t="s">
        <v>77</v>
      </c>
      <c r="G350" s="32" t="s">
        <v>603</v>
      </c>
      <c r="H350" s="32" t="s">
        <v>7179</v>
      </c>
      <c r="I350" s="32" t="s">
        <v>7497</v>
      </c>
      <c r="J350" s="32"/>
      <c r="K350" s="33" t="s">
        <v>7339</v>
      </c>
      <c r="L350" s="32" t="s">
        <v>7398</v>
      </c>
      <c r="M350" t="s">
        <v>7170</v>
      </c>
      <c r="N350" t="s">
        <v>7170</v>
      </c>
      <c r="O350" t="s">
        <v>7356</v>
      </c>
    </row>
    <row r="351" spans="1:15" x14ac:dyDescent="0.2">
      <c r="A351" s="27" t="s">
        <v>1832</v>
      </c>
      <c r="B351" s="2" t="s">
        <v>1833</v>
      </c>
      <c r="C351" s="2" t="s">
        <v>68</v>
      </c>
      <c r="D351" s="2" t="s">
        <v>1835</v>
      </c>
      <c r="E351" s="2" t="s">
        <v>1830</v>
      </c>
      <c r="F351" s="2" t="s">
        <v>77</v>
      </c>
      <c r="G351" s="32" t="s">
        <v>603</v>
      </c>
      <c r="H351" s="32" t="s">
        <v>7179</v>
      </c>
      <c r="I351" s="32" t="s">
        <v>7497</v>
      </c>
      <c r="J351" s="32"/>
      <c r="K351" s="33" t="s">
        <v>7211</v>
      </c>
      <c r="L351" s="32" t="s">
        <v>7387</v>
      </c>
      <c r="M351" t="s">
        <v>7165</v>
      </c>
      <c r="N351" t="s">
        <v>7165</v>
      </c>
      <c r="O351" t="s">
        <v>7463</v>
      </c>
    </row>
    <row r="352" spans="1:15" x14ac:dyDescent="0.2">
      <c r="A352" s="27" t="s">
        <v>1940</v>
      </c>
      <c r="B352" s="2" t="s">
        <v>1942</v>
      </c>
      <c r="C352" s="2" t="s">
        <v>68</v>
      </c>
      <c r="D352" s="2" t="s">
        <v>1945</v>
      </c>
      <c r="E352" s="2" t="s">
        <v>1938</v>
      </c>
      <c r="F352" s="2" t="s">
        <v>77</v>
      </c>
      <c r="G352" s="32" t="s">
        <v>603</v>
      </c>
      <c r="H352" s="32" t="s">
        <v>7179</v>
      </c>
      <c r="I352" s="32" t="s">
        <v>7497</v>
      </c>
      <c r="J352" s="32"/>
      <c r="K352" s="33" t="s">
        <v>7211</v>
      </c>
      <c r="L352" s="32" t="s">
        <v>7387</v>
      </c>
      <c r="M352" t="s">
        <v>7167</v>
      </c>
      <c r="N352" t="s">
        <v>7167</v>
      </c>
      <c r="O352" t="s">
        <v>7463</v>
      </c>
    </row>
    <row r="353" spans="1:15" x14ac:dyDescent="0.2">
      <c r="A353" s="27" t="s">
        <v>5851</v>
      </c>
      <c r="B353" s="2" t="s">
        <v>5854</v>
      </c>
      <c r="C353" s="2" t="s">
        <v>68</v>
      </c>
      <c r="D353" s="2" t="s">
        <v>5857</v>
      </c>
      <c r="E353" s="2" t="s">
        <v>5849</v>
      </c>
      <c r="F353" s="2" t="s">
        <v>77</v>
      </c>
      <c r="G353" s="32" t="s">
        <v>3635</v>
      </c>
      <c r="H353" s="32" t="s">
        <v>7274</v>
      </c>
      <c r="I353" s="32" t="s">
        <v>7504</v>
      </c>
      <c r="J353" s="32"/>
      <c r="K353" s="33" t="s">
        <v>7335</v>
      </c>
      <c r="L353" s="32" t="s">
        <v>7443</v>
      </c>
      <c r="M353" t="s">
        <v>7165</v>
      </c>
      <c r="N353" t="s">
        <v>7165</v>
      </c>
      <c r="O353" t="s">
        <v>7460</v>
      </c>
    </row>
    <row r="354" spans="1:15" x14ac:dyDescent="0.2">
      <c r="A354" s="27" t="s">
        <v>3564</v>
      </c>
      <c r="B354" s="2" t="s">
        <v>3565</v>
      </c>
      <c r="C354" s="2" t="s">
        <v>68</v>
      </c>
      <c r="D354" s="2" t="s">
        <v>3568</v>
      </c>
      <c r="E354" s="2" t="s">
        <v>3562</v>
      </c>
      <c r="F354" s="2" t="s">
        <v>77</v>
      </c>
      <c r="G354" s="32" t="s">
        <v>3461</v>
      </c>
      <c r="H354" s="32" t="s">
        <v>7271</v>
      </c>
      <c r="I354" s="32" t="s">
        <v>7517</v>
      </c>
      <c r="J354" s="32"/>
      <c r="K354" s="33" t="s">
        <v>7200</v>
      </c>
      <c r="L354" s="32" t="s">
        <v>7380</v>
      </c>
      <c r="M354" t="s">
        <v>7165</v>
      </c>
      <c r="N354" t="s">
        <v>7165</v>
      </c>
      <c r="O354" t="s">
        <v>7460</v>
      </c>
    </row>
    <row r="355" spans="1:15" x14ac:dyDescent="0.2">
      <c r="A355" s="27" t="s">
        <v>2397</v>
      </c>
      <c r="B355" s="2" t="s">
        <v>2398</v>
      </c>
      <c r="C355" s="2" t="s">
        <v>68</v>
      </c>
      <c r="D355" s="2" t="s">
        <v>2401</v>
      </c>
      <c r="E355" s="2" t="s">
        <v>2395</v>
      </c>
      <c r="F355" s="2" t="s">
        <v>77</v>
      </c>
      <c r="G355" s="32" t="s">
        <v>603</v>
      </c>
      <c r="H355" s="32" t="s">
        <v>7179</v>
      </c>
      <c r="I355" s="32" t="s">
        <v>7497</v>
      </c>
      <c r="J355" s="32"/>
      <c r="K355" s="33" t="s">
        <v>7194</v>
      </c>
      <c r="L355" s="32" t="s">
        <v>7390</v>
      </c>
      <c r="M355" t="s">
        <v>7165</v>
      </c>
      <c r="N355" t="s">
        <v>7165</v>
      </c>
      <c r="O355" t="s">
        <v>7464</v>
      </c>
    </row>
    <row r="356" spans="1:15" x14ac:dyDescent="0.2">
      <c r="A356" s="27" t="s">
        <v>1685</v>
      </c>
      <c r="B356" s="2" t="s">
        <v>1686</v>
      </c>
      <c r="C356" s="2" t="s">
        <v>68</v>
      </c>
      <c r="D356" s="2" t="s">
        <v>1688</v>
      </c>
      <c r="E356" s="2" t="s">
        <v>1683</v>
      </c>
      <c r="F356" s="2" t="s">
        <v>77</v>
      </c>
      <c r="G356" s="32" t="s">
        <v>603</v>
      </c>
      <c r="H356" s="32" t="s">
        <v>7179</v>
      </c>
      <c r="I356" s="32" t="s">
        <v>7497</v>
      </c>
      <c r="J356" s="32"/>
      <c r="K356" s="33" t="s">
        <v>7211</v>
      </c>
      <c r="L356" s="32" t="s">
        <v>7387</v>
      </c>
      <c r="M356" t="s">
        <v>7165</v>
      </c>
      <c r="N356" t="s">
        <v>7165</v>
      </c>
      <c r="O356" t="s">
        <v>7463</v>
      </c>
    </row>
    <row r="357" spans="1:15" x14ac:dyDescent="0.2">
      <c r="A357" s="27" t="s">
        <v>1633</v>
      </c>
      <c r="B357" s="2" t="s">
        <v>1634</v>
      </c>
      <c r="C357" s="2" t="s">
        <v>68</v>
      </c>
      <c r="D357" s="2" t="s">
        <v>1636</v>
      </c>
      <c r="E357" s="2" t="s">
        <v>1631</v>
      </c>
      <c r="F357" s="2" t="s">
        <v>77</v>
      </c>
      <c r="G357" s="32" t="s">
        <v>603</v>
      </c>
      <c r="H357" s="32" t="s">
        <v>7179</v>
      </c>
      <c r="I357" s="32" t="s">
        <v>7497</v>
      </c>
      <c r="J357" s="32"/>
      <c r="K357" s="33" t="s">
        <v>7211</v>
      </c>
      <c r="L357" s="32" t="s">
        <v>7387</v>
      </c>
      <c r="M357" t="s">
        <v>7165</v>
      </c>
      <c r="N357" t="s">
        <v>7165</v>
      </c>
      <c r="O357" t="s">
        <v>7463</v>
      </c>
    </row>
    <row r="358" spans="1:15" x14ac:dyDescent="0.2">
      <c r="A358" s="27" t="s">
        <v>1695</v>
      </c>
      <c r="B358" s="2" t="s">
        <v>1697</v>
      </c>
      <c r="C358" s="2" t="s">
        <v>68</v>
      </c>
      <c r="D358" s="2" t="s">
        <v>1699</v>
      </c>
      <c r="E358" s="2" t="s">
        <v>1693</v>
      </c>
      <c r="F358" s="2" t="s">
        <v>77</v>
      </c>
      <c r="G358" s="32" t="s">
        <v>603</v>
      </c>
      <c r="H358" s="32" t="s">
        <v>7179</v>
      </c>
      <c r="I358" s="32" t="s">
        <v>7497</v>
      </c>
      <c r="J358" s="32"/>
      <c r="K358" s="33" t="s">
        <v>7220</v>
      </c>
      <c r="L358" s="32" t="s">
        <v>7383</v>
      </c>
      <c r="M358" t="s">
        <v>7165</v>
      </c>
      <c r="N358" t="s">
        <v>7165</v>
      </c>
      <c r="O358" t="s">
        <v>7354</v>
      </c>
    </row>
    <row r="359" spans="1:15" x14ac:dyDescent="0.2">
      <c r="A359" s="27" t="s">
        <v>1726</v>
      </c>
      <c r="B359" s="2" t="s">
        <v>1727</v>
      </c>
      <c r="C359" s="2" t="s">
        <v>68</v>
      </c>
      <c r="D359" s="2" t="s">
        <v>1729</v>
      </c>
      <c r="E359" s="2" t="s">
        <v>1724</v>
      </c>
      <c r="F359" s="2" t="s">
        <v>77</v>
      </c>
      <c r="G359" s="32" t="s">
        <v>603</v>
      </c>
      <c r="H359" s="32" t="s">
        <v>7179</v>
      </c>
      <c r="I359" s="32" t="s">
        <v>7497</v>
      </c>
      <c r="J359" s="32"/>
      <c r="K359" s="33" t="s">
        <v>7220</v>
      </c>
      <c r="L359" s="32" t="s">
        <v>7383</v>
      </c>
      <c r="M359" t="s">
        <v>7165</v>
      </c>
      <c r="N359" t="s">
        <v>7165</v>
      </c>
      <c r="O359" t="s">
        <v>7354</v>
      </c>
    </row>
    <row r="360" spans="1:15" x14ac:dyDescent="0.2">
      <c r="A360" s="27" t="s">
        <v>1863</v>
      </c>
      <c r="B360" s="2" t="s">
        <v>1865</v>
      </c>
      <c r="C360" s="2" t="s">
        <v>68</v>
      </c>
      <c r="D360" s="2" t="s">
        <v>1867</v>
      </c>
      <c r="E360" s="2" t="s">
        <v>1861</v>
      </c>
      <c r="F360" s="2" t="s">
        <v>77</v>
      </c>
      <c r="G360" s="32" t="s">
        <v>603</v>
      </c>
      <c r="H360" s="32" t="s">
        <v>7179</v>
      </c>
      <c r="I360" s="32" t="s">
        <v>7497</v>
      </c>
      <c r="J360" s="32"/>
      <c r="K360" s="33" t="s">
        <v>7220</v>
      </c>
      <c r="L360" s="32" t="s">
        <v>7383</v>
      </c>
      <c r="M360" t="s">
        <v>7165</v>
      </c>
      <c r="N360" t="s">
        <v>7165</v>
      </c>
      <c r="O360" t="s">
        <v>7354</v>
      </c>
    </row>
    <row r="361" spans="1:15" x14ac:dyDescent="0.2">
      <c r="A361" s="27" t="s">
        <v>1874</v>
      </c>
      <c r="B361" s="2" t="s">
        <v>1875</v>
      </c>
      <c r="C361" s="2" t="s">
        <v>68</v>
      </c>
      <c r="D361" s="2" t="s">
        <v>1877</v>
      </c>
      <c r="E361" s="2" t="s">
        <v>1872</v>
      </c>
      <c r="F361" s="2" t="s">
        <v>77</v>
      </c>
      <c r="G361" s="32" t="s">
        <v>603</v>
      </c>
      <c r="H361" s="32" t="s">
        <v>7179</v>
      </c>
      <c r="I361" s="32" t="s">
        <v>7497</v>
      </c>
      <c r="J361" s="32"/>
      <c r="K361" s="33" t="s">
        <v>7211</v>
      </c>
      <c r="L361" s="32" t="s">
        <v>7387</v>
      </c>
      <c r="M361" t="s">
        <v>7165</v>
      </c>
      <c r="N361" t="s">
        <v>7165</v>
      </c>
      <c r="O361" t="s">
        <v>7463</v>
      </c>
    </row>
    <row r="362" spans="1:15" x14ac:dyDescent="0.2">
      <c r="A362" s="27" t="s">
        <v>1884</v>
      </c>
      <c r="B362" s="2" t="s">
        <v>1885</v>
      </c>
      <c r="C362" s="2" t="s">
        <v>68</v>
      </c>
      <c r="D362" s="2" t="s">
        <v>1887</v>
      </c>
      <c r="E362" s="2" t="s">
        <v>1882</v>
      </c>
      <c r="F362" s="2" t="s">
        <v>77</v>
      </c>
      <c r="G362" s="32" t="s">
        <v>603</v>
      </c>
      <c r="H362" s="32" t="s">
        <v>7179</v>
      </c>
      <c r="I362" s="32" t="s">
        <v>7497</v>
      </c>
      <c r="J362" s="32"/>
      <c r="K362" s="33" t="s">
        <v>7220</v>
      </c>
      <c r="L362" s="32" t="s">
        <v>7383</v>
      </c>
      <c r="M362" t="s">
        <v>7165</v>
      </c>
      <c r="N362" t="s">
        <v>7165</v>
      </c>
      <c r="O362" t="s">
        <v>7354</v>
      </c>
    </row>
    <row r="363" spans="1:15" x14ac:dyDescent="0.2">
      <c r="A363" s="27" t="s">
        <v>1907</v>
      </c>
      <c r="B363" s="2" t="s">
        <v>1908</v>
      </c>
      <c r="C363" s="2" t="s">
        <v>68</v>
      </c>
      <c r="D363" s="2" t="s">
        <v>1910</v>
      </c>
      <c r="E363" s="2" t="s">
        <v>1905</v>
      </c>
      <c r="F363" s="2" t="s">
        <v>77</v>
      </c>
      <c r="G363" s="32" t="s">
        <v>603</v>
      </c>
      <c r="H363" s="32" t="s">
        <v>7179</v>
      </c>
      <c r="I363" s="32" t="s">
        <v>7497</v>
      </c>
      <c r="J363" s="32"/>
      <c r="K363" s="33" t="s">
        <v>7220</v>
      </c>
      <c r="L363" s="32" t="s">
        <v>7383</v>
      </c>
      <c r="M363" t="s">
        <v>7165</v>
      </c>
      <c r="N363" t="s">
        <v>7165</v>
      </c>
      <c r="O363" t="s">
        <v>7354</v>
      </c>
    </row>
    <row r="364" spans="1:15" x14ac:dyDescent="0.2">
      <c r="A364" s="27" t="s">
        <v>2253</v>
      </c>
      <c r="B364" s="2" t="s">
        <v>2255</v>
      </c>
      <c r="C364" s="2" t="s">
        <v>68</v>
      </c>
      <c r="D364" s="2" t="s">
        <v>2258</v>
      </c>
      <c r="E364" s="2" t="s">
        <v>2251</v>
      </c>
      <c r="F364" s="2" t="s">
        <v>77</v>
      </c>
      <c r="G364" s="32" t="s">
        <v>603</v>
      </c>
      <c r="H364" s="32" t="s">
        <v>7179</v>
      </c>
      <c r="I364" s="32" t="s">
        <v>7497</v>
      </c>
      <c r="J364" s="32"/>
      <c r="K364" s="33" t="s">
        <v>7339</v>
      </c>
      <c r="L364" s="32" t="s">
        <v>7398</v>
      </c>
      <c r="M364" t="s">
        <v>7165</v>
      </c>
      <c r="N364" t="s">
        <v>7165</v>
      </c>
      <c r="O364" t="s">
        <v>7356</v>
      </c>
    </row>
    <row r="365" spans="1:15" x14ac:dyDescent="0.2">
      <c r="A365" s="27" t="s">
        <v>2582</v>
      </c>
      <c r="B365" s="2" t="s">
        <v>2584</v>
      </c>
      <c r="C365" s="2" t="s">
        <v>68</v>
      </c>
      <c r="D365" s="2" t="s">
        <v>2587</v>
      </c>
      <c r="E365" s="2" t="s">
        <v>2581</v>
      </c>
      <c r="F365" s="2" t="s">
        <v>77</v>
      </c>
      <c r="G365" s="32" t="s">
        <v>603</v>
      </c>
      <c r="H365" s="32" t="s">
        <v>7179</v>
      </c>
      <c r="I365" s="32" t="s">
        <v>7497</v>
      </c>
      <c r="J365" s="32"/>
      <c r="K365" s="33" t="s">
        <v>7211</v>
      </c>
      <c r="L365" s="32" t="s">
        <v>7387</v>
      </c>
      <c r="M365" t="s">
        <v>7165</v>
      </c>
      <c r="N365" t="s">
        <v>7165</v>
      </c>
      <c r="O365" t="s">
        <v>7463</v>
      </c>
    </row>
    <row r="366" spans="1:15" x14ac:dyDescent="0.2">
      <c r="A366" s="27" t="s">
        <v>2877</v>
      </c>
      <c r="B366" s="2" t="s">
        <v>2878</v>
      </c>
      <c r="C366" s="2" t="s">
        <v>68</v>
      </c>
      <c r="D366" s="2" t="s">
        <v>2881</v>
      </c>
      <c r="E366" s="2" t="s">
        <v>2875</v>
      </c>
      <c r="F366" s="2" t="s">
        <v>77</v>
      </c>
      <c r="G366" s="32" t="s">
        <v>603</v>
      </c>
      <c r="H366" s="32" t="s">
        <v>7179</v>
      </c>
      <c r="I366" s="32" t="s">
        <v>7497</v>
      </c>
      <c r="J366" s="32"/>
      <c r="K366" s="33" t="s">
        <v>7194</v>
      </c>
      <c r="L366" s="32" t="s">
        <v>7390</v>
      </c>
      <c r="M366" t="s">
        <v>7165</v>
      </c>
      <c r="N366" t="s">
        <v>7165</v>
      </c>
      <c r="O366" t="s">
        <v>7464</v>
      </c>
    </row>
    <row r="367" spans="1:15" x14ac:dyDescent="0.2">
      <c r="A367" s="27" t="s">
        <v>2910</v>
      </c>
      <c r="B367" s="2" t="s">
        <v>2911</v>
      </c>
      <c r="C367" s="2" t="s">
        <v>68</v>
      </c>
      <c r="D367" s="2" t="s">
        <v>2914</v>
      </c>
      <c r="E367" s="2" t="s">
        <v>2909</v>
      </c>
      <c r="F367" s="2" t="s">
        <v>77</v>
      </c>
      <c r="G367" s="32" t="s">
        <v>603</v>
      </c>
      <c r="H367" s="32" t="s">
        <v>7179</v>
      </c>
      <c r="I367" s="32" t="s">
        <v>7497</v>
      </c>
      <c r="J367" s="32"/>
      <c r="K367" s="33" t="s">
        <v>7211</v>
      </c>
      <c r="L367" s="32" t="s">
        <v>7387</v>
      </c>
      <c r="M367" t="s">
        <v>7165</v>
      </c>
      <c r="N367" t="s">
        <v>7165</v>
      </c>
      <c r="O367" t="s">
        <v>7463</v>
      </c>
    </row>
    <row r="368" spans="1:15" x14ac:dyDescent="0.2">
      <c r="A368" s="27" t="s">
        <v>1952</v>
      </c>
      <c r="B368" s="2" t="s">
        <v>1954</v>
      </c>
      <c r="C368" s="2" t="s">
        <v>68</v>
      </c>
      <c r="D368" s="2" t="s">
        <v>1957</v>
      </c>
      <c r="E368" s="2" t="s">
        <v>1950</v>
      </c>
      <c r="F368" s="2" t="s">
        <v>77</v>
      </c>
      <c r="G368" s="32" t="s">
        <v>603</v>
      </c>
      <c r="H368" s="32" t="s">
        <v>7179</v>
      </c>
      <c r="I368" s="32" t="s">
        <v>7497</v>
      </c>
      <c r="J368" s="32"/>
      <c r="K368" s="33" t="s">
        <v>7211</v>
      </c>
      <c r="L368" s="32" t="s">
        <v>7387</v>
      </c>
      <c r="M368" t="s">
        <v>7167</v>
      </c>
      <c r="N368" t="s">
        <v>7167</v>
      </c>
      <c r="O368" t="s">
        <v>7463</v>
      </c>
    </row>
    <row r="369" spans="1:15" x14ac:dyDescent="0.2">
      <c r="A369" s="27" t="s">
        <v>4412</v>
      </c>
      <c r="B369" s="2" t="s">
        <v>4414</v>
      </c>
      <c r="C369" s="2" t="s">
        <v>68</v>
      </c>
      <c r="D369" s="2" t="s">
        <v>4417</v>
      </c>
      <c r="E369" s="2" t="s">
        <v>4411</v>
      </c>
      <c r="F369" s="2" t="s">
        <v>77</v>
      </c>
      <c r="G369" s="32" t="s">
        <v>603</v>
      </c>
      <c r="H369" s="32" t="s">
        <v>7179</v>
      </c>
      <c r="I369" s="32" t="s">
        <v>7497</v>
      </c>
      <c r="J369" s="32"/>
      <c r="K369" s="33" t="s">
        <v>7293</v>
      </c>
      <c r="L369" s="32" t="s">
        <v>7383</v>
      </c>
      <c r="M369" t="s">
        <v>7165</v>
      </c>
      <c r="N369" t="s">
        <v>7165</v>
      </c>
      <c r="O369" t="s">
        <v>7354</v>
      </c>
    </row>
    <row r="370" spans="1:15" x14ac:dyDescent="0.2">
      <c r="A370" s="27" t="s">
        <v>2560</v>
      </c>
      <c r="B370" s="2" t="s">
        <v>2561</v>
      </c>
      <c r="C370" s="2" t="s">
        <v>68</v>
      </c>
      <c r="D370" s="2" t="s">
        <v>2564</v>
      </c>
      <c r="E370" s="2" t="s">
        <v>2559</v>
      </c>
      <c r="F370" s="2" t="s">
        <v>77</v>
      </c>
      <c r="G370" s="32" t="s">
        <v>603</v>
      </c>
      <c r="H370" s="32" t="s">
        <v>7179</v>
      </c>
      <c r="I370" s="32" t="s">
        <v>7497</v>
      </c>
      <c r="J370" s="32"/>
      <c r="K370" s="33" t="s">
        <v>7194</v>
      </c>
      <c r="L370" s="32" t="s">
        <v>7390</v>
      </c>
      <c r="M370" t="s">
        <v>7165</v>
      </c>
      <c r="N370" t="s">
        <v>7165</v>
      </c>
      <c r="O370" t="s">
        <v>7464</v>
      </c>
    </row>
    <row r="371" spans="1:15" x14ac:dyDescent="0.2">
      <c r="A371" s="27" t="s">
        <v>1998</v>
      </c>
      <c r="B371" s="2" t="s">
        <v>1999</v>
      </c>
      <c r="C371" s="2" t="s">
        <v>68</v>
      </c>
      <c r="D371" s="2" t="s">
        <v>2002</v>
      </c>
      <c r="E371" s="2" t="s">
        <v>1996</v>
      </c>
      <c r="F371" s="2" t="s">
        <v>77</v>
      </c>
      <c r="G371" s="32" t="s">
        <v>603</v>
      </c>
      <c r="H371" s="32" t="s">
        <v>7179</v>
      </c>
      <c r="I371" s="32" t="s">
        <v>7497</v>
      </c>
      <c r="J371" s="32"/>
      <c r="K371" s="33" t="s">
        <v>7211</v>
      </c>
      <c r="L371" s="32" t="s">
        <v>7387</v>
      </c>
      <c r="M371" t="s">
        <v>7167</v>
      </c>
      <c r="N371" t="s">
        <v>7167</v>
      </c>
      <c r="O371" t="s">
        <v>7463</v>
      </c>
    </row>
    <row r="372" spans="1:15" x14ac:dyDescent="0.2">
      <c r="A372" s="27" t="s">
        <v>2888</v>
      </c>
      <c r="B372" s="2" t="s">
        <v>2890</v>
      </c>
      <c r="C372" s="2" t="s">
        <v>68</v>
      </c>
      <c r="D372" s="2" t="s">
        <v>2893</v>
      </c>
      <c r="E372" s="2" t="s">
        <v>2886</v>
      </c>
      <c r="F372" s="2" t="s">
        <v>77</v>
      </c>
      <c r="G372" s="32" t="s">
        <v>603</v>
      </c>
      <c r="H372" s="32" t="s">
        <v>7179</v>
      </c>
      <c r="I372" s="32" t="s">
        <v>7497</v>
      </c>
      <c r="J372" s="32"/>
      <c r="K372" s="33" t="s">
        <v>7211</v>
      </c>
      <c r="L372" s="32" t="s">
        <v>7387</v>
      </c>
      <c r="M372" t="s">
        <v>7165</v>
      </c>
      <c r="N372" t="s">
        <v>7165</v>
      </c>
      <c r="O372" t="s">
        <v>7463</v>
      </c>
    </row>
    <row r="373" spans="1:15" x14ac:dyDescent="0.2">
      <c r="A373" s="27" t="s">
        <v>1716</v>
      </c>
      <c r="B373" s="2" t="s">
        <v>1717</v>
      </c>
      <c r="C373" s="2" t="s">
        <v>68</v>
      </c>
      <c r="D373" s="2" t="s">
        <v>1719</v>
      </c>
      <c r="E373" s="2" t="s">
        <v>1714</v>
      </c>
      <c r="F373" s="2" t="s">
        <v>77</v>
      </c>
      <c r="G373" s="32" t="s">
        <v>603</v>
      </c>
      <c r="H373" s="32" t="s">
        <v>7179</v>
      </c>
      <c r="I373" s="32" t="s">
        <v>7497</v>
      </c>
      <c r="J373" s="32"/>
      <c r="K373" s="33" t="s">
        <v>7194</v>
      </c>
      <c r="L373" s="32" t="s">
        <v>7390</v>
      </c>
      <c r="M373" t="s">
        <v>7165</v>
      </c>
      <c r="N373" t="s">
        <v>7165</v>
      </c>
      <c r="O373" t="s">
        <v>7464</v>
      </c>
    </row>
    <row r="374" spans="1:15" x14ac:dyDescent="0.2">
      <c r="A374" s="27" t="s">
        <v>2974</v>
      </c>
      <c r="B374" s="2" t="s">
        <v>2975</v>
      </c>
      <c r="C374" s="2" t="s">
        <v>68</v>
      </c>
      <c r="D374" s="2" t="s">
        <v>2978</v>
      </c>
      <c r="E374" s="2" t="s">
        <v>2973</v>
      </c>
      <c r="F374" s="2" t="s">
        <v>77</v>
      </c>
      <c r="G374" s="32" t="s">
        <v>603</v>
      </c>
      <c r="H374" s="32" t="s">
        <v>7179</v>
      </c>
      <c r="I374" s="32" t="s">
        <v>7497</v>
      </c>
      <c r="J374" s="32"/>
      <c r="K374" s="33" t="s">
        <v>7211</v>
      </c>
      <c r="L374" s="32" t="s">
        <v>7387</v>
      </c>
      <c r="M374" t="s">
        <v>7165</v>
      </c>
      <c r="N374" t="s">
        <v>7165</v>
      </c>
      <c r="O374" t="s">
        <v>7463</v>
      </c>
    </row>
    <row r="375" spans="1:15" x14ac:dyDescent="0.2">
      <c r="A375" s="27" t="s">
        <v>921</v>
      </c>
      <c r="B375" s="2" t="s">
        <v>923</v>
      </c>
      <c r="C375" s="2" t="s">
        <v>68</v>
      </c>
      <c r="D375" s="2" t="s">
        <v>926</v>
      </c>
      <c r="E375" s="2" t="s">
        <v>919</v>
      </c>
      <c r="F375" s="2" t="s">
        <v>77</v>
      </c>
      <c r="G375" s="32" t="s">
        <v>603</v>
      </c>
      <c r="H375" s="32" t="s">
        <v>7179</v>
      </c>
      <c r="I375" s="32" t="s">
        <v>7497</v>
      </c>
      <c r="J375" s="32"/>
      <c r="K375" s="33" t="s">
        <v>7211</v>
      </c>
      <c r="L375" s="32" t="s">
        <v>7387</v>
      </c>
      <c r="M375" t="s">
        <v>7165</v>
      </c>
      <c r="N375" t="s">
        <v>7165</v>
      </c>
      <c r="O375" t="s">
        <v>7463</v>
      </c>
    </row>
    <row r="376" spans="1:15" x14ac:dyDescent="0.2">
      <c r="A376" s="27" t="s">
        <v>1053</v>
      </c>
      <c r="B376" s="2" t="s">
        <v>1056</v>
      </c>
      <c r="C376" s="2" t="s">
        <v>68</v>
      </c>
      <c r="D376" s="2" t="s">
        <v>1059</v>
      </c>
      <c r="E376" s="2" t="s">
        <v>1051</v>
      </c>
      <c r="F376" s="2" t="s">
        <v>77</v>
      </c>
      <c r="G376" s="32" t="s">
        <v>603</v>
      </c>
      <c r="H376" s="32" t="s">
        <v>7179</v>
      </c>
      <c r="I376" s="32" t="s">
        <v>7497</v>
      </c>
      <c r="J376" s="32"/>
      <c r="K376" s="33" t="s">
        <v>7194</v>
      </c>
      <c r="L376" s="32" t="s">
        <v>7390</v>
      </c>
      <c r="M376" t="s">
        <v>7165</v>
      </c>
      <c r="N376" t="s">
        <v>7165</v>
      </c>
      <c r="O376" t="s">
        <v>7464</v>
      </c>
    </row>
    <row r="377" spans="1:15" x14ac:dyDescent="0.2">
      <c r="A377" s="27" t="s">
        <v>1143</v>
      </c>
      <c r="B377" s="2" t="s">
        <v>1144</v>
      </c>
      <c r="C377" s="2" t="s">
        <v>68</v>
      </c>
      <c r="D377" s="2" t="s">
        <v>1147</v>
      </c>
      <c r="E377" s="2" t="s">
        <v>1141</v>
      </c>
      <c r="F377" s="2" t="s">
        <v>77</v>
      </c>
      <c r="G377" s="32" t="s">
        <v>603</v>
      </c>
      <c r="H377" s="32" t="s">
        <v>7179</v>
      </c>
      <c r="I377" s="32" t="s">
        <v>7497</v>
      </c>
      <c r="J377" s="32"/>
      <c r="K377" s="33" t="s">
        <v>7194</v>
      </c>
      <c r="L377" s="32" t="s">
        <v>7390</v>
      </c>
      <c r="M377" t="s">
        <v>7165</v>
      </c>
      <c r="N377" t="s">
        <v>7165</v>
      </c>
      <c r="O377" t="s">
        <v>7464</v>
      </c>
    </row>
    <row r="378" spans="1:15" x14ac:dyDescent="0.2">
      <c r="A378" s="27" t="s">
        <v>1564</v>
      </c>
      <c r="B378" s="2" t="s">
        <v>1565</v>
      </c>
      <c r="C378" s="2" t="s">
        <v>68</v>
      </c>
      <c r="D378" s="2" t="s">
        <v>1568</v>
      </c>
      <c r="E378" s="2" t="s">
        <v>1562</v>
      </c>
      <c r="F378" s="2" t="s">
        <v>77</v>
      </c>
      <c r="G378" s="32" t="s">
        <v>603</v>
      </c>
      <c r="H378" s="32" t="s">
        <v>7179</v>
      </c>
      <c r="I378" s="32" t="s">
        <v>7497</v>
      </c>
      <c r="J378" s="32"/>
      <c r="K378" s="33" t="s">
        <v>7211</v>
      </c>
      <c r="L378" s="32" t="s">
        <v>7387</v>
      </c>
      <c r="M378" t="s">
        <v>7165</v>
      </c>
      <c r="N378" t="s">
        <v>7165</v>
      </c>
      <c r="O378" t="s">
        <v>7463</v>
      </c>
    </row>
    <row r="379" spans="1:15" x14ac:dyDescent="0.2">
      <c r="A379" s="27" t="s">
        <v>647</v>
      </c>
      <c r="B379" s="2" t="s">
        <v>652</v>
      </c>
      <c r="C379" s="2" t="s">
        <v>68</v>
      </c>
      <c r="D379" s="2" t="s">
        <v>655</v>
      </c>
      <c r="E379" s="2" t="s">
        <v>645</v>
      </c>
      <c r="F379" s="2" t="s">
        <v>77</v>
      </c>
      <c r="G379" s="32" t="s">
        <v>603</v>
      </c>
      <c r="H379" s="32" t="s">
        <v>7179</v>
      </c>
      <c r="I379" s="32" t="s">
        <v>7497</v>
      </c>
      <c r="J379" s="32"/>
      <c r="K379" s="33" t="s">
        <v>7194</v>
      </c>
      <c r="L379" s="32" t="s">
        <v>7390</v>
      </c>
      <c r="M379" t="s">
        <v>7165</v>
      </c>
      <c r="N379" t="s">
        <v>7165</v>
      </c>
      <c r="O379" t="s">
        <v>7464</v>
      </c>
    </row>
    <row r="380" spans="1:15" x14ac:dyDescent="0.2">
      <c r="A380" s="27" t="s">
        <v>1512</v>
      </c>
      <c r="B380" s="2" t="s">
        <v>1513</v>
      </c>
      <c r="C380" s="2" t="s">
        <v>68</v>
      </c>
      <c r="D380" s="2" t="s">
        <v>1516</v>
      </c>
      <c r="E380" s="2" t="s">
        <v>1510</v>
      </c>
      <c r="F380" s="2" t="s">
        <v>77</v>
      </c>
      <c r="G380" s="32" t="s">
        <v>603</v>
      </c>
      <c r="H380" s="32" t="s">
        <v>7179</v>
      </c>
      <c r="I380" s="32" t="s">
        <v>7497</v>
      </c>
      <c r="J380" s="32"/>
      <c r="K380" s="33" t="s">
        <v>7220</v>
      </c>
      <c r="L380" s="32" t="s">
        <v>7383</v>
      </c>
      <c r="M380" t="s">
        <v>7165</v>
      </c>
      <c r="N380" t="s">
        <v>7165</v>
      </c>
      <c r="O380" t="s">
        <v>7354</v>
      </c>
    </row>
    <row r="381" spans="1:15" x14ac:dyDescent="0.2">
      <c r="A381" s="27" t="s">
        <v>2827</v>
      </c>
      <c r="B381" s="2" t="s">
        <v>2829</v>
      </c>
      <c r="C381" s="2" t="s">
        <v>68</v>
      </c>
      <c r="D381" s="2" t="s">
        <v>2832</v>
      </c>
      <c r="E381" s="2" t="s">
        <v>2826</v>
      </c>
      <c r="F381" s="2" t="s">
        <v>77</v>
      </c>
      <c r="G381" s="32" t="s">
        <v>603</v>
      </c>
      <c r="H381" s="32" t="s">
        <v>7179</v>
      </c>
      <c r="I381" s="32" t="s">
        <v>7497</v>
      </c>
      <c r="J381" s="32"/>
      <c r="K381" s="33" t="s">
        <v>169</v>
      </c>
      <c r="L381" s="32" t="s">
        <v>169</v>
      </c>
      <c r="M381" t="s">
        <v>7165</v>
      </c>
      <c r="N381" t="s">
        <v>7165</v>
      </c>
      <c r="O381" t="s">
        <v>169</v>
      </c>
    </row>
    <row r="382" spans="1:15" x14ac:dyDescent="0.2">
      <c r="A382" s="27" t="s">
        <v>988</v>
      </c>
      <c r="B382" s="2" t="s">
        <v>990</v>
      </c>
      <c r="C382" s="2" t="s">
        <v>68</v>
      </c>
      <c r="D382" s="2" t="s">
        <v>993</v>
      </c>
      <c r="E382" s="2" t="s">
        <v>986</v>
      </c>
      <c r="F382" s="2" t="s">
        <v>77</v>
      </c>
      <c r="G382" s="32" t="s">
        <v>603</v>
      </c>
      <c r="H382" s="32" t="s">
        <v>7179</v>
      </c>
      <c r="I382" s="32" t="s">
        <v>7497</v>
      </c>
      <c r="J382" s="32"/>
      <c r="K382" s="33" t="s">
        <v>7194</v>
      </c>
      <c r="L382" s="32" t="s">
        <v>7390</v>
      </c>
      <c r="M382" t="s">
        <v>7165</v>
      </c>
      <c r="N382" t="s">
        <v>7165</v>
      </c>
      <c r="O382" t="s">
        <v>7464</v>
      </c>
    </row>
    <row r="383" spans="1:15" x14ac:dyDescent="0.2">
      <c r="A383" s="27" t="s">
        <v>112</v>
      </c>
      <c r="B383" s="2" t="s">
        <v>113</v>
      </c>
      <c r="C383" s="2" t="s">
        <v>68</v>
      </c>
      <c r="D383" s="2" t="s">
        <v>116</v>
      </c>
      <c r="E383" s="2" t="s">
        <v>110</v>
      </c>
      <c r="F383" s="2" t="s">
        <v>77</v>
      </c>
      <c r="G383" s="32" t="s">
        <v>95</v>
      </c>
      <c r="H383" s="32" t="s">
        <v>7281</v>
      </c>
      <c r="I383" s="32" t="s">
        <v>7518</v>
      </c>
      <c r="J383" s="32"/>
      <c r="K383" s="33" t="s">
        <v>7331</v>
      </c>
      <c r="L383" s="32" t="s">
        <v>7396</v>
      </c>
      <c r="M383" t="s">
        <v>60</v>
      </c>
      <c r="N383" t="s">
        <v>60</v>
      </c>
      <c r="O383" t="s">
        <v>7354</v>
      </c>
    </row>
    <row r="384" spans="1:15" x14ac:dyDescent="0.2">
      <c r="A384" s="27" t="s">
        <v>5687</v>
      </c>
      <c r="B384" s="2" t="s">
        <v>5688</v>
      </c>
      <c r="C384" s="2" t="s">
        <v>68</v>
      </c>
      <c r="D384" s="2" t="s">
        <v>5691</v>
      </c>
      <c r="E384" s="2" t="s">
        <v>5686</v>
      </c>
      <c r="F384" s="2" t="s">
        <v>77</v>
      </c>
      <c r="G384" s="32" t="s">
        <v>3903</v>
      </c>
      <c r="H384" s="32" t="s">
        <v>7275</v>
      </c>
      <c r="I384" s="32" t="s">
        <v>7515</v>
      </c>
      <c r="J384" s="32"/>
      <c r="K384" s="33" t="s">
        <v>7208</v>
      </c>
      <c r="L384" s="32" t="s">
        <v>7385</v>
      </c>
      <c r="M384" t="s">
        <v>7165</v>
      </c>
      <c r="N384" t="s">
        <v>7165</v>
      </c>
      <c r="O384" t="s">
        <v>7353</v>
      </c>
    </row>
    <row r="385" spans="1:15" x14ac:dyDescent="0.2">
      <c r="A385" s="27" t="s">
        <v>3810</v>
      </c>
      <c r="B385" s="2" t="s">
        <v>3812</v>
      </c>
      <c r="C385" s="2" t="s">
        <v>68</v>
      </c>
      <c r="D385" s="2" t="s">
        <v>3815</v>
      </c>
      <c r="E385" s="2" t="s">
        <v>3809</v>
      </c>
      <c r="F385" s="2" t="s">
        <v>77</v>
      </c>
      <c r="G385" s="32" t="s">
        <v>3635</v>
      </c>
      <c r="H385" s="32" t="s">
        <v>7274</v>
      </c>
      <c r="I385" s="32" t="s">
        <v>7504</v>
      </c>
      <c r="J385" s="32"/>
      <c r="K385" s="33" t="s">
        <v>7213</v>
      </c>
      <c r="L385" s="32" t="s">
        <v>7444</v>
      </c>
      <c r="M385" t="s">
        <v>7165</v>
      </c>
      <c r="N385" t="s">
        <v>7165</v>
      </c>
      <c r="O385" t="s">
        <v>7460</v>
      </c>
    </row>
    <row r="386" spans="1:15" x14ac:dyDescent="0.2">
      <c r="A386" s="27" t="s">
        <v>2346</v>
      </c>
      <c r="B386" s="2" t="s">
        <v>2347</v>
      </c>
      <c r="C386" s="2" t="s">
        <v>68</v>
      </c>
      <c r="D386" s="2" t="s">
        <v>2350</v>
      </c>
      <c r="E386" s="2" t="s">
        <v>2345</v>
      </c>
      <c r="F386" s="2" t="s">
        <v>77</v>
      </c>
      <c r="G386" s="32" t="s">
        <v>603</v>
      </c>
      <c r="H386" s="32" t="s">
        <v>7179</v>
      </c>
      <c r="I386" s="32" t="s">
        <v>7497</v>
      </c>
      <c r="J386" s="32"/>
      <c r="K386" s="33" t="s">
        <v>7330</v>
      </c>
      <c r="L386" s="32" t="s">
        <v>7445</v>
      </c>
      <c r="M386" t="s">
        <v>7170</v>
      </c>
      <c r="N386" t="s">
        <v>7170</v>
      </c>
      <c r="O386" t="s">
        <v>7356</v>
      </c>
    </row>
    <row r="387" spans="1:15" x14ac:dyDescent="0.2">
      <c r="A387" s="27" t="s">
        <v>5019</v>
      </c>
      <c r="B387" s="2" t="s">
        <v>5020</v>
      </c>
      <c r="C387" s="2" t="s">
        <v>68</v>
      </c>
      <c r="D387" s="2" t="s">
        <v>5023</v>
      </c>
      <c r="E387" s="2" t="s">
        <v>5018</v>
      </c>
      <c r="F387" s="2" t="s">
        <v>77</v>
      </c>
      <c r="G387" s="32" t="s">
        <v>3150</v>
      </c>
      <c r="H387" s="32" t="s">
        <v>7252</v>
      </c>
      <c r="I387" s="32" t="s">
        <v>7504</v>
      </c>
      <c r="J387" s="32"/>
      <c r="K387" s="33" t="s">
        <v>7331</v>
      </c>
      <c r="L387" s="32" t="s">
        <v>7396</v>
      </c>
      <c r="M387" t="s">
        <v>7169</v>
      </c>
      <c r="N387" t="s">
        <v>7169</v>
      </c>
      <c r="O387" t="s">
        <v>7354</v>
      </c>
    </row>
    <row r="388" spans="1:15" x14ac:dyDescent="0.2">
      <c r="A388" s="27" t="s">
        <v>3418</v>
      </c>
      <c r="B388" s="2" t="s">
        <v>3420</v>
      </c>
      <c r="C388" s="2" t="s">
        <v>68</v>
      </c>
      <c r="D388" s="2" t="s">
        <v>3423</v>
      </c>
      <c r="E388" s="2" t="s">
        <v>3416</v>
      </c>
      <c r="F388" s="2" t="s">
        <v>77</v>
      </c>
      <c r="G388" s="32" t="s">
        <v>448</v>
      </c>
      <c r="H388" s="32" t="s">
        <v>7244</v>
      </c>
      <c r="I388" s="32" t="s">
        <v>7499</v>
      </c>
      <c r="J388" s="32"/>
      <c r="K388" s="33" t="s">
        <v>7218</v>
      </c>
      <c r="L388" s="32" t="s">
        <v>7380</v>
      </c>
      <c r="M388" t="s">
        <v>7165</v>
      </c>
      <c r="N388" t="s">
        <v>7165</v>
      </c>
      <c r="O388" t="s">
        <v>7460</v>
      </c>
    </row>
    <row r="389" spans="1:15" x14ac:dyDescent="0.2">
      <c r="A389" s="27" t="s">
        <v>4915</v>
      </c>
      <c r="B389" s="2" t="s">
        <v>4917</v>
      </c>
      <c r="C389" s="2" t="s">
        <v>68</v>
      </c>
      <c r="D389" s="2" t="s">
        <v>4920</v>
      </c>
      <c r="E389" s="2" t="s">
        <v>4914</v>
      </c>
      <c r="F389" s="2" t="s">
        <v>77</v>
      </c>
      <c r="G389" s="32" t="s">
        <v>4900</v>
      </c>
      <c r="H389" s="32" t="s">
        <v>7248</v>
      </c>
      <c r="I389" s="32" t="s">
        <v>7507</v>
      </c>
      <c r="J389" s="32"/>
      <c r="K389" s="33" t="s">
        <v>7334</v>
      </c>
      <c r="L389" s="32" t="s">
        <v>7437</v>
      </c>
      <c r="M389" t="s">
        <v>7168</v>
      </c>
      <c r="N389" t="s">
        <v>7168</v>
      </c>
      <c r="O389" t="s">
        <v>7354</v>
      </c>
    </row>
    <row r="390" spans="1:15" x14ac:dyDescent="0.2">
      <c r="A390" s="27" t="s">
        <v>4998</v>
      </c>
      <c r="B390" s="2" t="s">
        <v>4999</v>
      </c>
      <c r="C390" s="2" t="s">
        <v>68</v>
      </c>
      <c r="D390" s="2" t="s">
        <v>5002</v>
      </c>
      <c r="E390" s="2" t="s">
        <v>4997</v>
      </c>
      <c r="F390" s="2" t="s">
        <v>77</v>
      </c>
      <c r="G390" s="32" t="s">
        <v>3150</v>
      </c>
      <c r="H390" s="32" t="s">
        <v>7252</v>
      </c>
      <c r="I390" s="32" t="s">
        <v>7504</v>
      </c>
      <c r="J390" s="32"/>
      <c r="K390" s="33" t="s">
        <v>7331</v>
      </c>
      <c r="L390" s="32" t="s">
        <v>7396</v>
      </c>
      <c r="M390" t="s">
        <v>7169</v>
      </c>
      <c r="N390" t="s">
        <v>7169</v>
      </c>
      <c r="O390" t="s">
        <v>7354</v>
      </c>
    </row>
    <row r="391" spans="1:15" x14ac:dyDescent="0.2">
      <c r="A391" s="27" t="s">
        <v>4837</v>
      </c>
      <c r="B391" s="2" t="s">
        <v>4841</v>
      </c>
      <c r="C391" s="2" t="s">
        <v>68</v>
      </c>
      <c r="D391" s="2" t="s">
        <v>4844</v>
      </c>
      <c r="E391" s="2" t="s">
        <v>4835</v>
      </c>
      <c r="F391" s="2" t="s">
        <v>77</v>
      </c>
      <c r="G391" s="32" t="s">
        <v>4838</v>
      </c>
      <c r="H391" s="32" t="s">
        <v>7265</v>
      </c>
      <c r="I391" s="32" t="s">
        <v>7497</v>
      </c>
      <c r="J391" s="32"/>
      <c r="K391" s="33" t="s">
        <v>7342</v>
      </c>
      <c r="L391" s="32" t="s">
        <v>7419</v>
      </c>
      <c r="M391" t="s">
        <v>7169</v>
      </c>
      <c r="N391" t="s">
        <v>7169</v>
      </c>
      <c r="O391" t="s">
        <v>7356</v>
      </c>
    </row>
    <row r="392" spans="1:15" x14ac:dyDescent="0.2">
      <c r="A392" s="27" t="s">
        <v>947</v>
      </c>
      <c r="B392" s="2" t="s">
        <v>948</v>
      </c>
      <c r="C392" s="2" t="s">
        <v>68</v>
      </c>
      <c r="D392" s="2" t="s">
        <v>951</v>
      </c>
      <c r="E392" s="2" t="s">
        <v>945</v>
      </c>
      <c r="F392" s="2" t="s">
        <v>77</v>
      </c>
      <c r="G392" s="32" t="s">
        <v>603</v>
      </c>
      <c r="H392" s="32" t="s">
        <v>7179</v>
      </c>
      <c r="I392" s="32" t="s">
        <v>7497</v>
      </c>
      <c r="J392" s="32"/>
      <c r="K392" s="33" t="s">
        <v>7194</v>
      </c>
      <c r="L392" s="32" t="s">
        <v>7390</v>
      </c>
      <c r="M392" t="s">
        <v>7165</v>
      </c>
      <c r="N392" t="s">
        <v>7165</v>
      </c>
      <c r="O392" t="s">
        <v>7464</v>
      </c>
    </row>
    <row r="393" spans="1:15" x14ac:dyDescent="0.2">
      <c r="A393" s="27" t="s">
        <v>1975</v>
      </c>
      <c r="B393" s="2" t="s">
        <v>1976</v>
      </c>
      <c r="C393" s="2" t="s">
        <v>68</v>
      </c>
      <c r="D393" s="2" t="s">
        <v>1979</v>
      </c>
      <c r="E393" s="2" t="s">
        <v>1973</v>
      </c>
      <c r="F393" s="2" t="s">
        <v>77</v>
      </c>
      <c r="G393" s="32" t="s">
        <v>603</v>
      </c>
      <c r="H393" s="32" t="s">
        <v>7179</v>
      </c>
      <c r="I393" s="32" t="s">
        <v>7497</v>
      </c>
      <c r="J393" s="32"/>
      <c r="K393" s="33" t="s">
        <v>7211</v>
      </c>
      <c r="L393" s="32" t="s">
        <v>7387</v>
      </c>
      <c r="M393" t="s">
        <v>7167</v>
      </c>
      <c r="N393" t="s">
        <v>7167</v>
      </c>
      <c r="O393" t="s">
        <v>7463</v>
      </c>
    </row>
    <row r="394" spans="1:15" x14ac:dyDescent="0.2">
      <c r="A394" s="27" t="s">
        <v>6748</v>
      </c>
      <c r="B394" s="2" t="s">
        <v>6750</v>
      </c>
      <c r="C394" s="2" t="s">
        <v>68</v>
      </c>
      <c r="D394" s="2" t="s">
        <v>6753</v>
      </c>
      <c r="E394" s="2" t="s">
        <v>6746</v>
      </c>
      <c r="F394" s="2" t="s">
        <v>77</v>
      </c>
      <c r="G394" s="32" t="s">
        <v>4492</v>
      </c>
      <c r="H394" s="32" t="s">
        <v>7154</v>
      </c>
      <c r="I394" s="32" t="s">
        <v>7499</v>
      </c>
      <c r="J394" s="32"/>
      <c r="K394" s="33" t="s">
        <v>7207</v>
      </c>
      <c r="L394" s="32" t="s">
        <v>7385</v>
      </c>
      <c r="M394" t="s">
        <v>7165</v>
      </c>
      <c r="N394" t="s">
        <v>7165</v>
      </c>
      <c r="O394" t="s">
        <v>7353</v>
      </c>
    </row>
    <row r="395" spans="1:15" x14ac:dyDescent="0.2">
      <c r="A395" s="27" t="s">
        <v>1820</v>
      </c>
      <c r="B395" s="2" t="s">
        <v>1822</v>
      </c>
      <c r="C395" s="2" t="s">
        <v>68</v>
      </c>
      <c r="D395" s="2" t="s">
        <v>1825</v>
      </c>
      <c r="E395" s="2" t="s">
        <v>1818</v>
      </c>
      <c r="F395" s="2" t="s">
        <v>77</v>
      </c>
      <c r="G395" s="32" t="s">
        <v>603</v>
      </c>
      <c r="H395" s="32" t="s">
        <v>7179</v>
      </c>
      <c r="I395" s="32" t="s">
        <v>7497</v>
      </c>
      <c r="J395" s="32"/>
      <c r="K395" s="33" t="s">
        <v>7220</v>
      </c>
      <c r="L395" s="32" t="s">
        <v>7383</v>
      </c>
      <c r="M395" t="s">
        <v>7165</v>
      </c>
      <c r="N395" t="s">
        <v>7165</v>
      </c>
      <c r="O395" t="s">
        <v>7354</v>
      </c>
    </row>
    <row r="396" spans="1:15" x14ac:dyDescent="0.2">
      <c r="A396" s="27" t="s">
        <v>266</v>
      </c>
      <c r="B396" s="2" t="s">
        <v>273</v>
      </c>
      <c r="C396" s="2" t="s">
        <v>68</v>
      </c>
      <c r="D396" s="2" t="s">
        <v>276</v>
      </c>
      <c r="E396" s="2" t="s">
        <v>264</v>
      </c>
      <c r="F396" s="2" t="s">
        <v>77</v>
      </c>
      <c r="G396" s="32" t="s">
        <v>268</v>
      </c>
      <c r="H396" s="32" t="s">
        <v>7259</v>
      </c>
      <c r="I396" s="32" t="s">
        <v>7498</v>
      </c>
      <c r="J396" s="32"/>
      <c r="K396" s="33" t="s">
        <v>7221</v>
      </c>
      <c r="L396" s="32" t="s">
        <v>7392</v>
      </c>
      <c r="M396" t="s">
        <v>7165</v>
      </c>
      <c r="N396" t="s">
        <v>7165</v>
      </c>
      <c r="O396" t="s">
        <v>7356</v>
      </c>
    </row>
    <row r="397" spans="1:15" x14ac:dyDescent="0.2">
      <c r="A397" s="27" t="s">
        <v>3902</v>
      </c>
      <c r="B397" s="2" t="s">
        <v>3905</v>
      </c>
      <c r="C397" s="2" t="s">
        <v>68</v>
      </c>
      <c r="D397" s="2" t="s">
        <v>3908</v>
      </c>
      <c r="E397" s="2" t="s">
        <v>3900</v>
      </c>
      <c r="F397" s="2" t="s">
        <v>77</v>
      </c>
      <c r="G397" s="32" t="s">
        <v>3903</v>
      </c>
      <c r="H397" s="32" t="s">
        <v>7275</v>
      </c>
      <c r="I397" s="32" t="s">
        <v>7515</v>
      </c>
      <c r="J397" s="32"/>
      <c r="K397" s="33" t="s">
        <v>7208</v>
      </c>
      <c r="L397" s="32" t="s">
        <v>7385</v>
      </c>
      <c r="M397" t="s">
        <v>7165</v>
      </c>
      <c r="N397" t="s">
        <v>7165</v>
      </c>
      <c r="O397" t="s">
        <v>7353</v>
      </c>
    </row>
    <row r="398" spans="1:15" x14ac:dyDescent="0.2">
      <c r="A398" s="27" t="s">
        <v>673</v>
      </c>
      <c r="B398" s="2" t="s">
        <v>676</v>
      </c>
      <c r="C398" s="2" t="s">
        <v>68</v>
      </c>
      <c r="D398" s="2" t="s">
        <v>679</v>
      </c>
      <c r="E398" s="2" t="s">
        <v>671</v>
      </c>
      <c r="F398" s="2" t="s">
        <v>77</v>
      </c>
      <c r="G398" s="32" t="s">
        <v>603</v>
      </c>
      <c r="H398" s="32" t="s">
        <v>7179</v>
      </c>
      <c r="I398" s="32" t="s">
        <v>7497</v>
      </c>
      <c r="J398" s="32"/>
      <c r="K398" s="33" t="s">
        <v>7220</v>
      </c>
      <c r="L398" s="32" t="s">
        <v>7383</v>
      </c>
      <c r="M398" t="s">
        <v>7165</v>
      </c>
      <c r="N398" t="s">
        <v>7165</v>
      </c>
      <c r="O398" t="s">
        <v>7354</v>
      </c>
    </row>
    <row r="399" spans="1:15" x14ac:dyDescent="0.2">
      <c r="A399" s="27" t="s">
        <v>2050</v>
      </c>
      <c r="B399" s="2" t="s">
        <v>2051</v>
      </c>
      <c r="C399" s="2" t="s">
        <v>68</v>
      </c>
      <c r="D399" s="2" t="s">
        <v>2054</v>
      </c>
      <c r="E399" s="2" t="s">
        <v>2048</v>
      </c>
      <c r="F399" s="2" t="s">
        <v>77</v>
      </c>
      <c r="G399" s="32" t="s">
        <v>603</v>
      </c>
      <c r="H399" s="32" t="s">
        <v>7179</v>
      </c>
      <c r="I399" s="32" t="s">
        <v>7497</v>
      </c>
      <c r="J399" s="32"/>
      <c r="K399" s="33" t="s">
        <v>7323</v>
      </c>
      <c r="L399" s="32" t="s">
        <v>7416</v>
      </c>
      <c r="M399" t="s">
        <v>7165</v>
      </c>
      <c r="N399" t="s">
        <v>7165</v>
      </c>
      <c r="O399" t="s">
        <v>7468</v>
      </c>
    </row>
    <row r="400" spans="1:15" x14ac:dyDescent="0.2">
      <c r="A400" s="27" t="s">
        <v>601</v>
      </c>
      <c r="B400" s="2" t="s">
        <v>607</v>
      </c>
      <c r="C400" s="2" t="s">
        <v>68</v>
      </c>
      <c r="D400" s="2" t="s">
        <v>610</v>
      </c>
      <c r="E400" s="2" t="s">
        <v>599</v>
      </c>
      <c r="F400" s="2" t="s">
        <v>77</v>
      </c>
      <c r="G400" s="32" t="s">
        <v>603</v>
      </c>
      <c r="H400" s="32" t="s">
        <v>7179</v>
      </c>
      <c r="I400" s="32" t="s">
        <v>7497</v>
      </c>
      <c r="J400" s="32"/>
      <c r="K400" s="33" t="s">
        <v>7194</v>
      </c>
      <c r="L400" s="32" t="s">
        <v>7390</v>
      </c>
      <c r="M400" t="s">
        <v>7165</v>
      </c>
      <c r="N400" t="s">
        <v>7165</v>
      </c>
      <c r="O400" t="s">
        <v>7464</v>
      </c>
    </row>
    <row r="401" spans="1:15" x14ac:dyDescent="0.2">
      <c r="A401" s="27" t="s">
        <v>886</v>
      </c>
      <c r="B401" s="2" t="s">
        <v>887</v>
      </c>
      <c r="C401" s="2" t="s">
        <v>68</v>
      </c>
      <c r="D401" s="2" t="s">
        <v>890</v>
      </c>
      <c r="E401" s="2" t="s">
        <v>884</v>
      </c>
      <c r="F401" s="2" t="s">
        <v>77</v>
      </c>
      <c r="G401" s="32" t="s">
        <v>603</v>
      </c>
      <c r="H401" s="32" t="s">
        <v>7179</v>
      </c>
      <c r="I401" s="32" t="s">
        <v>7497</v>
      </c>
      <c r="J401" s="32"/>
      <c r="K401" s="33" t="s">
        <v>7194</v>
      </c>
      <c r="L401" s="32" t="s">
        <v>7390</v>
      </c>
      <c r="M401" t="s">
        <v>7165</v>
      </c>
      <c r="N401" t="s">
        <v>7165</v>
      </c>
      <c r="O401" t="s">
        <v>7464</v>
      </c>
    </row>
    <row r="402" spans="1:15" x14ac:dyDescent="0.2">
      <c r="A402" s="27" t="s">
        <v>2594</v>
      </c>
      <c r="B402" s="2" t="s">
        <v>2595</v>
      </c>
      <c r="C402" s="2" t="s">
        <v>68</v>
      </c>
      <c r="D402" s="2" t="s">
        <v>2598</v>
      </c>
      <c r="E402" s="2" t="s">
        <v>2593</v>
      </c>
      <c r="F402" s="2" t="s">
        <v>77</v>
      </c>
      <c r="G402" s="32" t="s">
        <v>603</v>
      </c>
      <c r="H402" s="32" t="s">
        <v>7179</v>
      </c>
      <c r="I402" s="32" t="s">
        <v>7497</v>
      </c>
      <c r="J402" s="32"/>
      <c r="K402" s="33" t="s">
        <v>7211</v>
      </c>
      <c r="L402" s="32" t="s">
        <v>7387</v>
      </c>
      <c r="M402" t="s">
        <v>7165</v>
      </c>
      <c r="N402" t="s">
        <v>7165</v>
      </c>
      <c r="O402" t="s">
        <v>7463</v>
      </c>
    </row>
    <row r="403" spans="1:15" x14ac:dyDescent="0.2">
      <c r="A403" s="27" t="s">
        <v>2606</v>
      </c>
      <c r="B403" s="2" t="s">
        <v>2608</v>
      </c>
      <c r="C403" s="2" t="s">
        <v>68</v>
      </c>
      <c r="D403" s="2" t="s">
        <v>2611</v>
      </c>
      <c r="E403" s="2" t="s">
        <v>2604</v>
      </c>
      <c r="F403" s="2" t="s">
        <v>77</v>
      </c>
      <c r="G403" s="32" t="s">
        <v>603</v>
      </c>
      <c r="H403" s="32" t="s">
        <v>7179</v>
      </c>
      <c r="I403" s="32" t="s">
        <v>7497</v>
      </c>
      <c r="J403" s="32"/>
      <c r="K403" s="33" t="s">
        <v>7211</v>
      </c>
      <c r="L403" s="32" t="s">
        <v>7387</v>
      </c>
      <c r="M403" t="s">
        <v>7165</v>
      </c>
      <c r="N403" t="s">
        <v>7165</v>
      </c>
      <c r="O403" t="s">
        <v>7463</v>
      </c>
    </row>
    <row r="404" spans="1:15" x14ac:dyDescent="0.2">
      <c r="A404" s="34" t="s">
        <v>348</v>
      </c>
      <c r="B404" s="2" t="s">
        <v>357</v>
      </c>
      <c r="C404" s="2" t="s">
        <v>68</v>
      </c>
      <c r="D404" s="2" t="s">
        <v>360</v>
      </c>
      <c r="E404" s="2" t="s">
        <v>348</v>
      </c>
      <c r="F404" s="2" t="s">
        <v>77</v>
      </c>
      <c r="G404" s="32" t="s">
        <v>353</v>
      </c>
      <c r="H404" s="32" t="s">
        <v>7288</v>
      </c>
      <c r="I404" s="32" t="s">
        <v>7498</v>
      </c>
      <c r="J404" s="32"/>
      <c r="K404" s="33" t="s">
        <v>7198</v>
      </c>
      <c r="L404" s="32" t="s">
        <v>7412</v>
      </c>
      <c r="M404" t="s">
        <v>7172</v>
      </c>
      <c r="N404" t="s">
        <v>7165</v>
      </c>
      <c r="O404" t="s">
        <v>7362</v>
      </c>
    </row>
    <row r="405" spans="1:15" x14ac:dyDescent="0.2">
      <c r="A405" s="27" t="s">
        <v>5401</v>
      </c>
      <c r="B405" s="2" t="s">
        <v>5403</v>
      </c>
      <c r="C405" s="2" t="s">
        <v>68</v>
      </c>
      <c r="D405" s="2" t="s">
        <v>5406</v>
      </c>
      <c r="E405" s="2" t="s">
        <v>5399</v>
      </c>
      <c r="F405" s="2" t="s">
        <v>77</v>
      </c>
      <c r="G405" s="32" t="s">
        <v>3210</v>
      </c>
      <c r="H405" s="32" t="s">
        <v>7245</v>
      </c>
      <c r="I405" s="32" t="s">
        <v>7510</v>
      </c>
      <c r="J405" s="32"/>
      <c r="K405" s="33" t="s">
        <v>7220</v>
      </c>
      <c r="L405" s="32" t="s">
        <v>7383</v>
      </c>
      <c r="M405" t="s">
        <v>7169</v>
      </c>
      <c r="N405" t="s">
        <v>7169</v>
      </c>
      <c r="O405" t="s">
        <v>7354</v>
      </c>
    </row>
    <row r="406" spans="1:15" x14ac:dyDescent="0.2">
      <c r="A406" s="27" t="s">
        <v>773</v>
      </c>
      <c r="B406" s="2" t="s">
        <v>774</v>
      </c>
      <c r="C406" s="2" t="s">
        <v>68</v>
      </c>
      <c r="D406" s="2" t="s">
        <v>777</v>
      </c>
      <c r="E406" s="2" t="s">
        <v>771</v>
      </c>
      <c r="F406" s="2" t="s">
        <v>77</v>
      </c>
      <c r="G406" s="32" t="s">
        <v>603</v>
      </c>
      <c r="H406" s="32" t="s">
        <v>7179</v>
      </c>
      <c r="I406" s="32" t="s">
        <v>7497</v>
      </c>
      <c r="J406" s="32"/>
      <c r="K406" s="33" t="s">
        <v>7220</v>
      </c>
      <c r="L406" s="32" t="s">
        <v>7383</v>
      </c>
      <c r="M406" t="s">
        <v>7165</v>
      </c>
      <c r="N406" t="s">
        <v>7165</v>
      </c>
      <c r="O406" t="s">
        <v>7354</v>
      </c>
    </row>
    <row r="407" spans="1:15" x14ac:dyDescent="0.2">
      <c r="A407" s="27" t="s">
        <v>1986</v>
      </c>
      <c r="B407" s="2" t="s">
        <v>1988</v>
      </c>
      <c r="C407" s="2" t="s">
        <v>68</v>
      </c>
      <c r="D407" s="2" t="s">
        <v>1991</v>
      </c>
      <c r="E407" s="2" t="s">
        <v>1984</v>
      </c>
      <c r="F407" s="2" t="s">
        <v>77</v>
      </c>
      <c r="G407" s="32" t="s">
        <v>603</v>
      </c>
      <c r="H407" s="32" t="s">
        <v>7179</v>
      </c>
      <c r="I407" s="32" t="s">
        <v>7497</v>
      </c>
      <c r="J407" s="32"/>
      <c r="K407" s="33" t="s">
        <v>7194</v>
      </c>
      <c r="L407" s="32" t="s">
        <v>7390</v>
      </c>
      <c r="M407" t="s">
        <v>7167</v>
      </c>
      <c r="N407" t="s">
        <v>7167</v>
      </c>
      <c r="O407" t="s">
        <v>7464</v>
      </c>
    </row>
    <row r="408" spans="1:15" x14ac:dyDescent="0.2">
      <c r="A408" s="27" t="s">
        <v>2131</v>
      </c>
      <c r="B408" s="2" t="s">
        <v>2132</v>
      </c>
      <c r="C408" s="2" t="s">
        <v>68</v>
      </c>
      <c r="D408" s="2" t="s">
        <v>2135</v>
      </c>
      <c r="E408" s="2" t="s">
        <v>2130</v>
      </c>
      <c r="F408" s="2" t="s">
        <v>77</v>
      </c>
      <c r="G408" s="32" t="s">
        <v>603</v>
      </c>
      <c r="H408" s="32" t="s">
        <v>7179</v>
      </c>
      <c r="I408" s="32" t="s">
        <v>7497</v>
      </c>
      <c r="J408" s="32"/>
      <c r="K408" s="33" t="s">
        <v>7194</v>
      </c>
      <c r="L408" s="32" t="s">
        <v>7390</v>
      </c>
      <c r="M408" t="s">
        <v>7165</v>
      </c>
      <c r="N408" t="s">
        <v>7165</v>
      </c>
      <c r="O408" t="s">
        <v>7464</v>
      </c>
    </row>
    <row r="409" spans="1:15" x14ac:dyDescent="0.2">
      <c r="A409" s="27" t="s">
        <v>4860</v>
      </c>
      <c r="B409" s="2" t="s">
        <v>4861</v>
      </c>
      <c r="C409" s="2" t="s">
        <v>68</v>
      </c>
      <c r="D409" s="2" t="s">
        <v>4864</v>
      </c>
      <c r="E409" s="2" t="s">
        <v>4859</v>
      </c>
      <c r="F409" s="2" t="s">
        <v>77</v>
      </c>
      <c r="G409" s="32" t="s">
        <v>4838</v>
      </c>
      <c r="H409" s="32" t="s">
        <v>7265</v>
      </c>
      <c r="I409" s="32" t="s">
        <v>7497</v>
      </c>
      <c r="J409" s="32"/>
      <c r="K409" s="33" t="s">
        <v>7342</v>
      </c>
      <c r="L409" s="32" t="s">
        <v>7419</v>
      </c>
      <c r="M409" t="s">
        <v>7169</v>
      </c>
      <c r="N409" t="s">
        <v>7169</v>
      </c>
      <c r="O409" t="s">
        <v>7356</v>
      </c>
    </row>
    <row r="410" spans="1:15" x14ac:dyDescent="0.2">
      <c r="A410" s="27" t="s">
        <v>286</v>
      </c>
      <c r="B410" s="2" t="s">
        <v>288</v>
      </c>
      <c r="C410" s="2" t="s">
        <v>68</v>
      </c>
      <c r="D410" s="2" t="s">
        <v>291</v>
      </c>
      <c r="E410" s="2" t="s">
        <v>284</v>
      </c>
      <c r="F410" s="2" t="s">
        <v>77</v>
      </c>
      <c r="G410" s="32" t="s">
        <v>268</v>
      </c>
      <c r="H410" s="32" t="s">
        <v>7259</v>
      </c>
      <c r="I410" s="32" t="s">
        <v>7498</v>
      </c>
      <c r="J410" s="32"/>
      <c r="K410" s="33" t="s">
        <v>7221</v>
      </c>
      <c r="L410" s="32" t="s">
        <v>7392</v>
      </c>
      <c r="M410" t="s">
        <v>7165</v>
      </c>
      <c r="N410" t="s">
        <v>7165</v>
      </c>
      <c r="O410" t="s">
        <v>7356</v>
      </c>
    </row>
    <row r="411" spans="1:15" x14ac:dyDescent="0.2">
      <c r="A411" s="27" t="s">
        <v>2062</v>
      </c>
      <c r="B411" s="2" t="s">
        <v>2063</v>
      </c>
      <c r="C411" s="2" t="s">
        <v>68</v>
      </c>
      <c r="D411" s="2" t="s">
        <v>2066</v>
      </c>
      <c r="E411" s="2" t="s">
        <v>2060</v>
      </c>
      <c r="F411" s="2" t="s">
        <v>77</v>
      </c>
      <c r="G411" s="32" t="s">
        <v>603</v>
      </c>
      <c r="H411" s="32" t="s">
        <v>7179</v>
      </c>
      <c r="I411" s="32" t="s">
        <v>7497</v>
      </c>
      <c r="J411" s="32"/>
      <c r="K411" s="33" t="s">
        <v>7339</v>
      </c>
      <c r="L411" s="32" t="s">
        <v>7398</v>
      </c>
      <c r="M411" t="s">
        <v>7165</v>
      </c>
      <c r="N411" t="s">
        <v>7165</v>
      </c>
      <c r="O411" t="s">
        <v>7356</v>
      </c>
    </row>
    <row r="412" spans="1:15" x14ac:dyDescent="0.2">
      <c r="A412" s="27" t="s">
        <v>1069</v>
      </c>
      <c r="B412" s="2" t="s">
        <v>1071</v>
      </c>
      <c r="C412" s="2" t="s">
        <v>68</v>
      </c>
      <c r="D412" s="2" t="s">
        <v>1074</v>
      </c>
      <c r="E412" s="2" t="s">
        <v>1067</v>
      </c>
      <c r="F412" s="2" t="s">
        <v>77</v>
      </c>
      <c r="G412" s="32" t="s">
        <v>603</v>
      </c>
      <c r="H412" s="32" t="s">
        <v>7179</v>
      </c>
      <c r="I412" s="32" t="s">
        <v>7497</v>
      </c>
      <c r="J412" s="32"/>
      <c r="K412" s="33" t="s">
        <v>7211</v>
      </c>
      <c r="L412" s="32" t="s">
        <v>7387</v>
      </c>
      <c r="M412" t="s">
        <v>7165</v>
      </c>
      <c r="N412" t="s">
        <v>7165</v>
      </c>
      <c r="O412" t="s">
        <v>7463</v>
      </c>
    </row>
    <row r="413" spans="1:15" x14ac:dyDescent="0.2">
      <c r="A413" s="27" t="s">
        <v>1178</v>
      </c>
      <c r="B413" s="2" t="s">
        <v>1179</v>
      </c>
      <c r="C413" s="2" t="s">
        <v>68</v>
      </c>
      <c r="D413" s="2" t="s">
        <v>1182</v>
      </c>
      <c r="E413" s="2" t="s">
        <v>1177</v>
      </c>
      <c r="F413" s="2" t="s">
        <v>77</v>
      </c>
      <c r="G413" s="32" t="s">
        <v>603</v>
      </c>
      <c r="H413" s="32" t="s">
        <v>7179</v>
      </c>
      <c r="I413" s="32" t="s">
        <v>7497</v>
      </c>
      <c r="J413" s="32"/>
      <c r="K413" s="33" t="s">
        <v>7211</v>
      </c>
      <c r="L413" s="32" t="s">
        <v>7387</v>
      </c>
      <c r="M413" t="s">
        <v>7165</v>
      </c>
      <c r="N413" t="s">
        <v>7165</v>
      </c>
      <c r="O413" t="s">
        <v>7463</v>
      </c>
    </row>
    <row r="414" spans="1:15" x14ac:dyDescent="0.2">
      <c r="A414" s="27" t="s">
        <v>1188</v>
      </c>
      <c r="B414" s="2" t="s">
        <v>1189</v>
      </c>
      <c r="C414" s="2" t="s">
        <v>68</v>
      </c>
      <c r="D414" s="2" t="s">
        <v>1192</v>
      </c>
      <c r="E414" s="2" t="s">
        <v>1187</v>
      </c>
      <c r="F414" s="2" t="s">
        <v>77</v>
      </c>
      <c r="G414" s="32" t="s">
        <v>603</v>
      </c>
      <c r="H414" s="32" t="s">
        <v>7179</v>
      </c>
      <c r="I414" s="32" t="s">
        <v>7497</v>
      </c>
      <c r="J414" s="32"/>
      <c r="K414" s="33" t="s">
        <v>7194</v>
      </c>
      <c r="L414" s="32" t="s">
        <v>7390</v>
      </c>
      <c r="M414" t="s">
        <v>7165</v>
      </c>
      <c r="N414" t="s">
        <v>7165</v>
      </c>
      <c r="O414" t="s">
        <v>7464</v>
      </c>
    </row>
    <row r="415" spans="1:15" x14ac:dyDescent="0.2">
      <c r="A415" s="27" t="s">
        <v>1917</v>
      </c>
      <c r="B415" s="2" t="s">
        <v>1919</v>
      </c>
      <c r="C415" s="2" t="s">
        <v>68</v>
      </c>
      <c r="D415" s="2" t="s">
        <v>1922</v>
      </c>
      <c r="E415" s="2" t="s">
        <v>1915</v>
      </c>
      <c r="F415" s="2" t="s">
        <v>77</v>
      </c>
      <c r="G415" s="32" t="s">
        <v>603</v>
      </c>
      <c r="H415" s="32" t="s">
        <v>7179</v>
      </c>
      <c r="I415" s="32" t="s">
        <v>7497</v>
      </c>
      <c r="J415" s="32"/>
      <c r="K415" s="33" t="s">
        <v>7211</v>
      </c>
      <c r="L415" s="32" t="s">
        <v>7387</v>
      </c>
      <c r="M415" t="s">
        <v>7167</v>
      </c>
      <c r="N415" t="s">
        <v>7167</v>
      </c>
      <c r="O415" t="s">
        <v>7463</v>
      </c>
    </row>
    <row r="416" spans="1:15" x14ac:dyDescent="0.2">
      <c r="A416" s="27" t="s">
        <v>1929</v>
      </c>
      <c r="B416" s="2" t="s">
        <v>1930</v>
      </c>
      <c r="C416" s="2" t="s">
        <v>68</v>
      </c>
      <c r="D416" s="2" t="s">
        <v>1933</v>
      </c>
      <c r="E416" s="2" t="s">
        <v>1927</v>
      </c>
      <c r="F416" s="2" t="s">
        <v>77</v>
      </c>
      <c r="G416" s="32" t="s">
        <v>603</v>
      </c>
      <c r="H416" s="32" t="s">
        <v>7179</v>
      </c>
      <c r="I416" s="32" t="s">
        <v>7497</v>
      </c>
      <c r="J416" s="32"/>
      <c r="K416" s="33" t="s">
        <v>7211</v>
      </c>
      <c r="L416" s="32" t="s">
        <v>7387</v>
      </c>
      <c r="M416" t="s">
        <v>7167</v>
      </c>
      <c r="N416" t="s">
        <v>7167</v>
      </c>
      <c r="O416" t="s">
        <v>7463</v>
      </c>
    </row>
    <row r="417" spans="1:15" x14ac:dyDescent="0.2">
      <c r="A417" s="27" t="s">
        <v>2102</v>
      </c>
      <c r="B417" s="2" t="s">
        <v>2105</v>
      </c>
      <c r="C417" s="2" t="s">
        <v>68</v>
      </c>
      <c r="D417" s="2" t="s">
        <v>2108</v>
      </c>
      <c r="E417" s="2" t="s">
        <v>2100</v>
      </c>
      <c r="F417" s="2" t="s">
        <v>77</v>
      </c>
      <c r="G417" s="32" t="s">
        <v>603</v>
      </c>
      <c r="H417" s="32" t="s">
        <v>7179</v>
      </c>
      <c r="I417" s="32" t="s">
        <v>7497</v>
      </c>
      <c r="J417" s="32"/>
      <c r="K417" s="33" t="s">
        <v>7194</v>
      </c>
      <c r="L417" s="32" t="s">
        <v>7390</v>
      </c>
      <c r="M417" t="s">
        <v>7165</v>
      </c>
      <c r="N417" t="s">
        <v>7165</v>
      </c>
      <c r="O417" t="s">
        <v>7464</v>
      </c>
    </row>
    <row r="418" spans="1:15" x14ac:dyDescent="0.2">
      <c r="A418" s="27" t="s">
        <v>2117</v>
      </c>
      <c r="B418" s="2" t="s">
        <v>2119</v>
      </c>
      <c r="C418" s="2" t="s">
        <v>68</v>
      </c>
      <c r="D418" s="2" t="s">
        <v>2122</v>
      </c>
      <c r="E418" s="2" t="s">
        <v>2116</v>
      </c>
      <c r="F418" s="2" t="s">
        <v>77</v>
      </c>
      <c r="G418" s="32" t="s">
        <v>603</v>
      </c>
      <c r="H418" s="32" t="s">
        <v>7179</v>
      </c>
      <c r="I418" s="32" t="s">
        <v>7497</v>
      </c>
      <c r="J418" s="32"/>
      <c r="K418" s="33" t="s">
        <v>7194</v>
      </c>
      <c r="L418" s="32" t="s">
        <v>7390</v>
      </c>
      <c r="M418" t="s">
        <v>7165</v>
      </c>
      <c r="N418" t="s">
        <v>7165</v>
      </c>
      <c r="O418" t="s">
        <v>7464</v>
      </c>
    </row>
    <row r="419" spans="1:15" x14ac:dyDescent="0.2">
      <c r="A419" s="27" t="s">
        <v>2141</v>
      </c>
      <c r="B419" s="2" t="s">
        <v>2143</v>
      </c>
      <c r="C419" s="2" t="s">
        <v>68</v>
      </c>
      <c r="D419" s="2" t="s">
        <v>2146</v>
      </c>
      <c r="E419" s="2" t="s">
        <v>2140</v>
      </c>
      <c r="F419" s="2" t="s">
        <v>77</v>
      </c>
      <c r="G419" s="32" t="s">
        <v>603</v>
      </c>
      <c r="H419" s="32" t="s">
        <v>7179</v>
      </c>
      <c r="I419" s="32" t="s">
        <v>7497</v>
      </c>
      <c r="J419" s="32"/>
      <c r="K419" s="33" t="s">
        <v>7194</v>
      </c>
      <c r="L419" s="32" t="s">
        <v>7390</v>
      </c>
      <c r="M419" t="s">
        <v>7165</v>
      </c>
      <c r="N419" t="s">
        <v>7165</v>
      </c>
      <c r="O419" t="s">
        <v>7464</v>
      </c>
    </row>
    <row r="420" spans="1:15" x14ac:dyDescent="0.2">
      <c r="A420" s="27" t="s">
        <v>2240</v>
      </c>
      <c r="B420" s="2" t="s">
        <v>2242</v>
      </c>
      <c r="C420" s="2" t="s">
        <v>68</v>
      </c>
      <c r="D420" s="2" t="s">
        <v>2245</v>
      </c>
      <c r="E420" s="2" t="s">
        <v>2238</v>
      </c>
      <c r="F420" s="2" t="s">
        <v>77</v>
      </c>
      <c r="G420" s="32" t="s">
        <v>603</v>
      </c>
      <c r="H420" s="32" t="s">
        <v>7179</v>
      </c>
      <c r="I420" s="32" t="s">
        <v>7497</v>
      </c>
      <c r="J420" s="32"/>
      <c r="K420" s="33" t="s">
        <v>7194</v>
      </c>
      <c r="L420" s="32" t="s">
        <v>7390</v>
      </c>
      <c r="M420" t="s">
        <v>7165</v>
      </c>
      <c r="N420" t="s">
        <v>7165</v>
      </c>
      <c r="O420" t="s">
        <v>7464</v>
      </c>
    </row>
    <row r="421" spans="1:15" x14ac:dyDescent="0.2">
      <c r="A421" s="27" t="s">
        <v>1964</v>
      </c>
      <c r="B421" s="2" t="s">
        <v>1965</v>
      </c>
      <c r="C421" s="2" t="s">
        <v>68</v>
      </c>
      <c r="D421" s="2" t="s">
        <v>1968</v>
      </c>
      <c r="E421" s="2" t="s">
        <v>1962</v>
      </c>
      <c r="F421" s="2" t="s">
        <v>77</v>
      </c>
      <c r="G421" s="32" t="s">
        <v>603</v>
      </c>
      <c r="H421" s="32" t="s">
        <v>7179</v>
      </c>
      <c r="I421" s="32" t="s">
        <v>7497</v>
      </c>
      <c r="J421" s="32"/>
      <c r="K421" s="33" t="s">
        <v>7211</v>
      </c>
      <c r="L421" s="32" t="s">
        <v>7387</v>
      </c>
      <c r="M421" t="s">
        <v>7167</v>
      </c>
      <c r="N421" t="s">
        <v>7167</v>
      </c>
      <c r="O421" t="s">
        <v>7463</v>
      </c>
    </row>
    <row r="422" spans="1:15" x14ac:dyDescent="0.2">
      <c r="A422" s="27" t="s">
        <v>622</v>
      </c>
      <c r="B422" s="2" t="s">
        <v>623</v>
      </c>
      <c r="C422" s="2" t="s">
        <v>68</v>
      </c>
      <c r="D422" s="2" t="s">
        <v>626</v>
      </c>
      <c r="E422" s="2" t="s">
        <v>620</v>
      </c>
      <c r="F422" s="2" t="s">
        <v>77</v>
      </c>
      <c r="G422" s="32" t="s">
        <v>603</v>
      </c>
      <c r="H422" s="32" t="s">
        <v>7179</v>
      </c>
      <c r="I422" s="32" t="s">
        <v>7497</v>
      </c>
      <c r="J422" s="32"/>
      <c r="K422" s="33" t="s">
        <v>7194</v>
      </c>
      <c r="L422" s="32" t="s">
        <v>7390</v>
      </c>
      <c r="M422" t="s">
        <v>7165</v>
      </c>
      <c r="N422" t="s">
        <v>7165</v>
      </c>
      <c r="O422" t="s">
        <v>7464</v>
      </c>
    </row>
    <row r="423" spans="1:15" x14ac:dyDescent="0.2">
      <c r="A423" s="27" t="s">
        <v>636</v>
      </c>
      <c r="B423" s="2" t="s">
        <v>637</v>
      </c>
      <c r="C423" s="2" t="s">
        <v>68</v>
      </c>
      <c r="D423" s="2" t="s">
        <v>640</v>
      </c>
      <c r="E423" s="2" t="s">
        <v>634</v>
      </c>
      <c r="F423" s="2" t="s">
        <v>77</v>
      </c>
      <c r="G423" s="32" t="s">
        <v>603</v>
      </c>
      <c r="H423" s="32" t="s">
        <v>7179</v>
      </c>
      <c r="I423" s="32" t="s">
        <v>7497</v>
      </c>
      <c r="J423" s="32"/>
      <c r="K423" s="33" t="s">
        <v>7194</v>
      </c>
      <c r="L423" s="32" t="s">
        <v>7390</v>
      </c>
      <c r="M423" t="s">
        <v>7162</v>
      </c>
      <c r="N423" t="s">
        <v>7162</v>
      </c>
      <c r="O423" t="s">
        <v>7464</v>
      </c>
    </row>
    <row r="424" spans="1:15" x14ac:dyDescent="0.2">
      <c r="A424" s="27" t="s">
        <v>2435</v>
      </c>
      <c r="B424" s="2" t="s">
        <v>2436</v>
      </c>
      <c r="C424" s="2" t="s">
        <v>68</v>
      </c>
      <c r="D424" s="2" t="s">
        <v>2439</v>
      </c>
      <c r="E424" s="2" t="s">
        <v>2433</v>
      </c>
      <c r="F424" s="2" t="s">
        <v>77</v>
      </c>
      <c r="G424" s="32" t="s">
        <v>603</v>
      </c>
      <c r="H424" s="32" t="s">
        <v>7179</v>
      </c>
      <c r="I424" s="32" t="s">
        <v>7497</v>
      </c>
      <c r="J424" s="32"/>
      <c r="K424" s="33" t="s">
        <v>7194</v>
      </c>
      <c r="L424" s="32" t="s">
        <v>7390</v>
      </c>
      <c r="M424" t="s">
        <v>7165</v>
      </c>
      <c r="N424" t="s">
        <v>7165</v>
      </c>
      <c r="O424" t="s">
        <v>7464</v>
      </c>
    </row>
    <row r="425" spans="1:15" x14ac:dyDescent="0.2">
      <c r="A425" s="27" t="s">
        <v>2458</v>
      </c>
      <c r="B425" s="2" t="s">
        <v>2460</v>
      </c>
      <c r="C425" s="2" t="s">
        <v>68</v>
      </c>
      <c r="D425" s="2" t="s">
        <v>2463</v>
      </c>
      <c r="E425" s="2" t="s">
        <v>2456</v>
      </c>
      <c r="F425" s="2" t="s">
        <v>77</v>
      </c>
      <c r="G425" s="32" t="s">
        <v>603</v>
      </c>
      <c r="H425" s="32" t="s">
        <v>7179</v>
      </c>
      <c r="I425" s="32" t="s">
        <v>7497</v>
      </c>
      <c r="J425" s="32"/>
      <c r="K425" s="33" t="s">
        <v>7194</v>
      </c>
      <c r="L425" s="32" t="s">
        <v>7390</v>
      </c>
      <c r="M425" t="s">
        <v>7165</v>
      </c>
      <c r="N425" t="s">
        <v>7165</v>
      </c>
      <c r="O425" t="s">
        <v>7464</v>
      </c>
    </row>
    <row r="426" spans="1:15" x14ac:dyDescent="0.2">
      <c r="A426" s="27" t="s">
        <v>2572</v>
      </c>
      <c r="B426" s="2" t="s">
        <v>2573</v>
      </c>
      <c r="C426" s="2" t="s">
        <v>68</v>
      </c>
      <c r="D426" s="2" t="s">
        <v>2576</v>
      </c>
      <c r="E426" s="2" t="s">
        <v>2570</v>
      </c>
      <c r="F426" s="2" t="s">
        <v>77</v>
      </c>
      <c r="G426" s="32" t="s">
        <v>603</v>
      </c>
      <c r="H426" s="32" t="s">
        <v>7179</v>
      </c>
      <c r="I426" s="32" t="s">
        <v>7497</v>
      </c>
      <c r="J426" s="32"/>
      <c r="K426" s="33" t="s">
        <v>7211</v>
      </c>
      <c r="L426" s="32" t="s">
        <v>7387</v>
      </c>
      <c r="M426" t="s">
        <v>7165</v>
      </c>
      <c r="N426" t="s">
        <v>7165</v>
      </c>
      <c r="O426" t="s">
        <v>7463</v>
      </c>
    </row>
    <row r="427" spans="1:15" x14ac:dyDescent="0.2">
      <c r="A427" s="27" t="s">
        <v>898</v>
      </c>
      <c r="B427" s="2" t="s">
        <v>899</v>
      </c>
      <c r="C427" s="2" t="s">
        <v>68</v>
      </c>
      <c r="D427" s="2" t="s">
        <v>902</v>
      </c>
      <c r="E427" s="2" t="s">
        <v>896</v>
      </c>
      <c r="F427" s="2" t="s">
        <v>77</v>
      </c>
      <c r="G427" s="32" t="s">
        <v>603</v>
      </c>
      <c r="H427" s="32" t="s">
        <v>7179</v>
      </c>
      <c r="I427" s="32" t="s">
        <v>7497</v>
      </c>
      <c r="J427" s="32"/>
      <c r="K427" s="33" t="s">
        <v>7194</v>
      </c>
      <c r="L427" s="32" t="s">
        <v>7390</v>
      </c>
      <c r="M427" t="s">
        <v>7165</v>
      </c>
      <c r="N427" t="s">
        <v>7165</v>
      </c>
      <c r="O427" t="s">
        <v>7464</v>
      </c>
    </row>
    <row r="428" spans="1:15" x14ac:dyDescent="0.2">
      <c r="A428" s="27" t="s">
        <v>934</v>
      </c>
      <c r="B428" s="2" t="s">
        <v>936</v>
      </c>
      <c r="C428" s="2" t="s">
        <v>68</v>
      </c>
      <c r="D428" s="2" t="s">
        <v>939</v>
      </c>
      <c r="E428" s="2" t="s">
        <v>932</v>
      </c>
      <c r="F428" s="2" t="s">
        <v>77</v>
      </c>
      <c r="G428" s="32" t="s">
        <v>603</v>
      </c>
      <c r="H428" s="32" t="s">
        <v>7179</v>
      </c>
      <c r="I428" s="32" t="s">
        <v>7497</v>
      </c>
      <c r="J428" s="32"/>
      <c r="K428" s="33" t="s">
        <v>7194</v>
      </c>
      <c r="L428" s="32" t="s">
        <v>7390</v>
      </c>
      <c r="M428" t="s">
        <v>7165</v>
      </c>
      <c r="N428" t="s">
        <v>7165</v>
      </c>
      <c r="O428" t="s">
        <v>7464</v>
      </c>
    </row>
    <row r="429" spans="1:15" x14ac:dyDescent="0.2">
      <c r="A429" s="27" t="s">
        <v>6776</v>
      </c>
      <c r="B429" s="2" t="s">
        <v>6781</v>
      </c>
      <c r="C429" s="2" t="s">
        <v>68</v>
      </c>
      <c r="D429" s="2" t="s">
        <v>6784</v>
      </c>
      <c r="E429" s="2" t="s">
        <v>6775</v>
      </c>
      <c r="F429" s="2" t="s">
        <v>77</v>
      </c>
      <c r="G429" s="32" t="s">
        <v>6777</v>
      </c>
      <c r="H429" s="32" t="s">
        <v>7152</v>
      </c>
      <c r="I429" s="32" t="s">
        <v>7507</v>
      </c>
      <c r="J429" s="32"/>
      <c r="K429" s="33" t="s">
        <v>169</v>
      </c>
      <c r="L429" s="32" t="s">
        <v>169</v>
      </c>
      <c r="M429" t="s">
        <v>7165</v>
      </c>
      <c r="N429" t="s">
        <v>7165</v>
      </c>
      <c r="O429" t="s">
        <v>169</v>
      </c>
    </row>
    <row r="430" spans="1:15" x14ac:dyDescent="0.2">
      <c r="A430" s="27" t="s">
        <v>1550</v>
      </c>
      <c r="B430" s="2" t="s">
        <v>1553</v>
      </c>
      <c r="C430" s="2" t="s">
        <v>68</v>
      </c>
      <c r="D430" s="2" t="s">
        <v>1556</v>
      </c>
      <c r="E430" s="2" t="s">
        <v>1548</v>
      </c>
      <c r="F430" s="2" t="s">
        <v>77</v>
      </c>
      <c r="G430" s="32" t="s">
        <v>603</v>
      </c>
      <c r="H430" s="32" t="s">
        <v>7179</v>
      </c>
      <c r="I430" s="32" t="s">
        <v>7497</v>
      </c>
      <c r="J430" s="32"/>
      <c r="K430" s="33" t="s">
        <v>7318</v>
      </c>
      <c r="L430" s="32" t="s">
        <v>7387</v>
      </c>
      <c r="M430" t="s">
        <v>7168</v>
      </c>
      <c r="N430" t="s">
        <v>7168</v>
      </c>
      <c r="O430" t="s">
        <v>7463</v>
      </c>
    </row>
    <row r="431" spans="1:15" x14ac:dyDescent="0.2">
      <c r="A431" s="27" t="s">
        <v>4665</v>
      </c>
      <c r="B431" s="2" t="s">
        <v>4668</v>
      </c>
      <c r="C431" s="2" t="s">
        <v>68</v>
      </c>
      <c r="D431" s="2" t="s">
        <v>4671</v>
      </c>
      <c r="E431" s="2" t="s">
        <v>4663</v>
      </c>
      <c r="F431" s="2" t="s">
        <v>77</v>
      </c>
      <c r="G431" s="32" t="s">
        <v>4666</v>
      </c>
      <c r="H431" s="32" t="s">
        <v>7255</v>
      </c>
      <c r="I431" s="32" t="s">
        <v>7502</v>
      </c>
      <c r="J431" s="32"/>
      <c r="K431" s="33" t="s">
        <v>7231</v>
      </c>
      <c r="L431" s="32" t="s">
        <v>7383</v>
      </c>
      <c r="M431" t="s">
        <v>7169</v>
      </c>
      <c r="N431" t="s">
        <v>7169</v>
      </c>
      <c r="O431" t="s">
        <v>7354</v>
      </c>
    </row>
    <row r="432" spans="1:15" x14ac:dyDescent="0.2">
      <c r="A432" s="27" t="s">
        <v>5663</v>
      </c>
      <c r="B432" s="2" t="s">
        <v>5665</v>
      </c>
      <c r="C432" s="2" t="s">
        <v>68</v>
      </c>
      <c r="D432" s="2" t="s">
        <v>5668</v>
      </c>
      <c r="E432" s="2" t="s">
        <v>5662</v>
      </c>
      <c r="F432" s="2" t="s">
        <v>77</v>
      </c>
      <c r="G432" s="32" t="s">
        <v>3903</v>
      </c>
      <c r="H432" s="32" t="s">
        <v>7275</v>
      </c>
      <c r="I432" s="32" t="s">
        <v>7515</v>
      </c>
      <c r="J432" s="32"/>
      <c r="K432" s="33" t="s">
        <v>7208</v>
      </c>
      <c r="L432" s="32" t="s">
        <v>7385</v>
      </c>
      <c r="M432" t="s">
        <v>7165</v>
      </c>
      <c r="N432" t="s">
        <v>7165</v>
      </c>
      <c r="O432" t="s">
        <v>7353</v>
      </c>
    </row>
    <row r="433" spans="1:15" x14ac:dyDescent="0.2">
      <c r="A433" s="27" t="s">
        <v>6686</v>
      </c>
      <c r="B433" s="2" t="s">
        <v>6687</v>
      </c>
      <c r="C433" s="2" t="s">
        <v>68</v>
      </c>
      <c r="D433" s="2" t="s">
        <v>6690</v>
      </c>
      <c r="E433" s="2" t="s">
        <v>6684</v>
      </c>
      <c r="F433" s="2" t="s">
        <v>77</v>
      </c>
      <c r="G433" s="32" t="s">
        <v>3150</v>
      </c>
      <c r="H433" s="32" t="s">
        <v>7252</v>
      </c>
      <c r="I433" s="32" t="s">
        <v>7504</v>
      </c>
      <c r="J433" s="32"/>
      <c r="K433" s="33" t="s">
        <v>7331</v>
      </c>
      <c r="L433" s="32" t="s">
        <v>7396</v>
      </c>
      <c r="M433" t="s">
        <v>60</v>
      </c>
      <c r="N433" t="s">
        <v>60</v>
      </c>
      <c r="O433" t="s">
        <v>7354</v>
      </c>
    </row>
    <row r="434" spans="1:15" x14ac:dyDescent="0.2">
      <c r="A434" s="27" t="s">
        <v>5336</v>
      </c>
      <c r="B434" s="2" t="s">
        <v>5337</v>
      </c>
      <c r="C434" s="2" t="s">
        <v>68</v>
      </c>
      <c r="D434" s="2" t="s">
        <v>5340</v>
      </c>
      <c r="E434" s="2" t="s">
        <v>5334</v>
      </c>
      <c r="F434" s="2" t="s">
        <v>77</v>
      </c>
      <c r="G434" s="32" t="s">
        <v>4872</v>
      </c>
      <c r="H434" s="32" t="s">
        <v>7235</v>
      </c>
      <c r="I434" s="32" t="s">
        <v>7498</v>
      </c>
      <c r="J434" s="32"/>
      <c r="K434" s="33" t="s">
        <v>7344</v>
      </c>
      <c r="L434" s="32" t="s">
        <v>7424</v>
      </c>
      <c r="M434" t="s">
        <v>7165</v>
      </c>
      <c r="N434" t="s">
        <v>7165</v>
      </c>
      <c r="O434" t="s">
        <v>7355</v>
      </c>
    </row>
    <row r="435" spans="1:15" x14ac:dyDescent="0.2">
      <c r="A435" s="27" t="s">
        <v>819</v>
      </c>
      <c r="B435" s="2" t="s">
        <v>822</v>
      </c>
      <c r="C435" s="2" t="s">
        <v>68</v>
      </c>
      <c r="D435" s="2" t="s">
        <v>825</v>
      </c>
      <c r="E435" s="2" t="s">
        <v>817</v>
      </c>
      <c r="F435" s="2" t="s">
        <v>77</v>
      </c>
      <c r="G435" s="32" t="s">
        <v>603</v>
      </c>
      <c r="H435" s="32" t="s">
        <v>7179</v>
      </c>
      <c r="I435" s="32" t="s">
        <v>7497</v>
      </c>
      <c r="J435" s="32"/>
      <c r="K435" s="33" t="s">
        <v>7323</v>
      </c>
      <c r="L435" s="32" t="s">
        <v>7416</v>
      </c>
      <c r="M435" t="s">
        <v>7165</v>
      </c>
      <c r="N435" t="s">
        <v>7165</v>
      </c>
      <c r="O435" t="s">
        <v>7468</v>
      </c>
    </row>
    <row r="436" spans="1:15" x14ac:dyDescent="0.2">
      <c r="A436" s="27" t="s">
        <v>1166</v>
      </c>
      <c r="B436" s="2" t="s">
        <v>1168</v>
      </c>
      <c r="C436" s="2" t="s">
        <v>68</v>
      </c>
      <c r="D436" s="2" t="s">
        <v>1171</v>
      </c>
      <c r="E436" s="2" t="s">
        <v>1164</v>
      </c>
      <c r="F436" s="2" t="s">
        <v>77</v>
      </c>
      <c r="G436" s="32" t="s">
        <v>603</v>
      </c>
      <c r="H436" s="32" t="s">
        <v>7179</v>
      </c>
      <c r="I436" s="32" t="s">
        <v>7497</v>
      </c>
      <c r="J436" s="32"/>
      <c r="K436" s="33" t="s">
        <v>7211</v>
      </c>
      <c r="L436" s="32" t="s">
        <v>7387</v>
      </c>
      <c r="M436" t="s">
        <v>7165</v>
      </c>
      <c r="N436" t="s">
        <v>7165</v>
      </c>
      <c r="O436" t="s">
        <v>7463</v>
      </c>
    </row>
    <row r="437" spans="1:15" x14ac:dyDescent="0.2">
      <c r="A437" s="27" t="s">
        <v>207</v>
      </c>
      <c r="B437" s="2" t="s">
        <v>211</v>
      </c>
      <c r="C437" s="2" t="s">
        <v>68</v>
      </c>
      <c r="D437" s="2" t="s">
        <v>214</v>
      </c>
      <c r="E437" s="2" t="s">
        <v>206</v>
      </c>
      <c r="F437" s="2" t="s">
        <v>77</v>
      </c>
      <c r="G437" s="32" t="s">
        <v>208</v>
      </c>
      <c r="H437" s="32" t="s">
        <v>7279</v>
      </c>
      <c r="I437" s="32" t="s">
        <v>7504</v>
      </c>
      <c r="J437" s="32"/>
      <c r="K437" s="33" t="s">
        <v>7201</v>
      </c>
      <c r="L437" s="32" t="s">
        <v>7428</v>
      </c>
      <c r="M437" t="s">
        <v>7165</v>
      </c>
      <c r="N437" t="s">
        <v>7165</v>
      </c>
      <c r="O437" t="s">
        <v>7357</v>
      </c>
    </row>
    <row r="438" spans="1:15" x14ac:dyDescent="0.2">
      <c r="A438" s="27" t="s">
        <v>5296</v>
      </c>
      <c r="B438" s="2" t="s">
        <v>5297</v>
      </c>
      <c r="C438" s="2" t="s">
        <v>68</v>
      </c>
      <c r="D438" s="2" t="s">
        <v>5300</v>
      </c>
      <c r="E438" s="2" t="s">
        <v>5294</v>
      </c>
      <c r="F438" s="2" t="s">
        <v>77</v>
      </c>
      <c r="G438" s="32" t="s">
        <v>183</v>
      </c>
      <c r="H438" s="32" t="s">
        <v>7286</v>
      </c>
      <c r="I438" s="32" t="s">
        <v>7500</v>
      </c>
      <c r="J438" s="32"/>
      <c r="K438" s="33" t="s">
        <v>7327</v>
      </c>
      <c r="L438" s="32" t="s">
        <v>7385</v>
      </c>
      <c r="M438" t="s">
        <v>7165</v>
      </c>
      <c r="N438" t="s">
        <v>7165</v>
      </c>
      <c r="O438" t="s">
        <v>7353</v>
      </c>
    </row>
    <row r="439" spans="1:15" x14ac:dyDescent="0.2">
      <c r="A439" s="27" t="s">
        <v>1810</v>
      </c>
      <c r="B439" s="2" t="s">
        <v>1811</v>
      </c>
      <c r="C439" s="2" t="s">
        <v>68</v>
      </c>
      <c r="D439" s="2" t="s">
        <v>1813</v>
      </c>
      <c r="E439" s="2" t="s">
        <v>1808</v>
      </c>
      <c r="F439" s="2" t="s">
        <v>77</v>
      </c>
      <c r="G439" s="32" t="s">
        <v>603</v>
      </c>
      <c r="H439" s="32" t="s">
        <v>7179</v>
      </c>
      <c r="I439" s="32" t="s">
        <v>7497</v>
      </c>
      <c r="J439" s="32"/>
      <c r="K439" s="33" t="s">
        <v>7194</v>
      </c>
      <c r="L439" s="32" t="s">
        <v>7390</v>
      </c>
      <c r="M439" t="s">
        <v>7165</v>
      </c>
      <c r="N439" t="s">
        <v>7165</v>
      </c>
      <c r="O439" t="s">
        <v>7464</v>
      </c>
    </row>
    <row r="440" spans="1:15" x14ac:dyDescent="0.2">
      <c r="A440" s="27" t="s">
        <v>3131</v>
      </c>
      <c r="B440" s="2" t="s">
        <v>3137</v>
      </c>
      <c r="C440" s="2" t="s">
        <v>68</v>
      </c>
      <c r="D440" s="2" t="s">
        <v>3140</v>
      </c>
      <c r="E440" s="2" t="s">
        <v>3129</v>
      </c>
      <c r="F440" s="2" t="s">
        <v>77</v>
      </c>
      <c r="G440" s="32" t="s">
        <v>3134</v>
      </c>
      <c r="H440" s="32" t="s">
        <v>7281</v>
      </c>
      <c r="I440" s="32" t="s">
        <v>7504</v>
      </c>
      <c r="J440" s="32"/>
      <c r="K440" s="33" t="s">
        <v>7331</v>
      </c>
      <c r="L440" s="32" t="s">
        <v>7396</v>
      </c>
      <c r="M440" t="s">
        <v>60</v>
      </c>
      <c r="N440" t="s">
        <v>60</v>
      </c>
      <c r="O440" t="s">
        <v>7354</v>
      </c>
    </row>
    <row r="441" spans="1:15" x14ac:dyDescent="0.2">
      <c r="A441" s="27" t="s">
        <v>123</v>
      </c>
      <c r="B441" s="2" t="s">
        <v>129</v>
      </c>
      <c r="C441" s="2" t="s">
        <v>68</v>
      </c>
      <c r="D441" s="2" t="s">
        <v>132</v>
      </c>
      <c r="E441" s="2" t="s">
        <v>121</v>
      </c>
      <c r="F441" s="2" t="s">
        <v>77</v>
      </c>
      <c r="G441" s="32" t="s">
        <v>124</v>
      </c>
      <c r="H441" s="32" t="s">
        <v>7284</v>
      </c>
      <c r="I441" s="32" t="s">
        <v>7508</v>
      </c>
      <c r="J441" s="32"/>
      <c r="K441" s="33" t="s">
        <v>7209</v>
      </c>
      <c r="L441" s="32" t="s">
        <v>7438</v>
      </c>
      <c r="M441" t="s">
        <v>60</v>
      </c>
      <c r="N441" t="s">
        <v>60</v>
      </c>
      <c r="O441" t="s">
        <v>7464</v>
      </c>
    </row>
    <row r="442" spans="1:15" x14ac:dyDescent="0.2">
      <c r="A442" s="27" t="s">
        <v>1421</v>
      </c>
      <c r="B442" s="2" t="s">
        <v>1422</v>
      </c>
      <c r="C442" s="2" t="s">
        <v>68</v>
      </c>
      <c r="D442" s="2" t="s">
        <v>1424</v>
      </c>
      <c r="E442" s="2" t="s">
        <v>1419</v>
      </c>
      <c r="F442" s="2" t="s">
        <v>77</v>
      </c>
      <c r="G442" s="32" t="s">
        <v>603</v>
      </c>
      <c r="H442" s="32" t="s">
        <v>7179</v>
      </c>
      <c r="I442" s="32" t="s">
        <v>7497</v>
      </c>
      <c r="J442" s="32"/>
      <c r="K442" s="33" t="s">
        <v>7194</v>
      </c>
      <c r="L442" s="32" t="s">
        <v>7390</v>
      </c>
      <c r="M442" t="s">
        <v>7165</v>
      </c>
      <c r="N442" t="s">
        <v>7165</v>
      </c>
      <c r="O442" t="s">
        <v>7464</v>
      </c>
    </row>
    <row r="443" spans="1:15" x14ac:dyDescent="0.2">
      <c r="A443" s="27" t="s">
        <v>699</v>
      </c>
      <c r="B443" s="2" t="s">
        <v>702</v>
      </c>
      <c r="C443" s="2" t="s">
        <v>68</v>
      </c>
      <c r="D443" s="2" t="s">
        <v>705</v>
      </c>
      <c r="E443" s="2" t="s">
        <v>697</v>
      </c>
      <c r="F443" s="2" t="s">
        <v>77</v>
      </c>
      <c r="G443" s="32" t="s">
        <v>603</v>
      </c>
      <c r="H443" s="32" t="s">
        <v>7179</v>
      </c>
      <c r="I443" s="32" t="s">
        <v>7497</v>
      </c>
      <c r="J443" s="32"/>
      <c r="K443" s="33" t="s">
        <v>7339</v>
      </c>
      <c r="L443" s="32" t="s">
        <v>7398</v>
      </c>
      <c r="M443" t="s">
        <v>7165</v>
      </c>
      <c r="N443" t="s">
        <v>7165</v>
      </c>
      <c r="O443" t="s">
        <v>7356</v>
      </c>
    </row>
    <row r="444" spans="1:15" x14ac:dyDescent="0.2">
      <c r="A444" s="27" t="s">
        <v>5375</v>
      </c>
      <c r="B444" s="2" t="s">
        <v>5376</v>
      </c>
      <c r="C444" s="2" t="s">
        <v>68</v>
      </c>
      <c r="D444" s="2" t="s">
        <v>5379</v>
      </c>
      <c r="E444" s="2" t="s">
        <v>5374</v>
      </c>
      <c r="F444" s="2" t="s">
        <v>77</v>
      </c>
      <c r="G444" s="32" t="s">
        <v>4872</v>
      </c>
      <c r="H444" s="32" t="s">
        <v>7235</v>
      </c>
      <c r="I444" s="32" t="s">
        <v>7498</v>
      </c>
      <c r="J444" s="32"/>
      <c r="K444" s="33" t="s">
        <v>7344</v>
      </c>
      <c r="L444" s="32" t="s">
        <v>7424</v>
      </c>
      <c r="M444" t="s">
        <v>7165</v>
      </c>
      <c r="N444" t="s">
        <v>7165</v>
      </c>
      <c r="O444" t="s">
        <v>7355</v>
      </c>
    </row>
    <row r="445" spans="1:15" x14ac:dyDescent="0.2">
      <c r="A445" s="27" t="s">
        <v>909</v>
      </c>
      <c r="B445" s="2" t="s">
        <v>911</v>
      </c>
      <c r="C445" s="2" t="s">
        <v>68</v>
      </c>
      <c r="D445" s="2" t="s">
        <v>914</v>
      </c>
      <c r="E445" s="2" t="s">
        <v>907</v>
      </c>
      <c r="F445" s="2" t="s">
        <v>77</v>
      </c>
      <c r="G445" s="32" t="s">
        <v>603</v>
      </c>
      <c r="H445" s="32" t="s">
        <v>7179</v>
      </c>
      <c r="I445" s="32" t="s">
        <v>7497</v>
      </c>
      <c r="J445" s="32"/>
      <c r="K445" s="33" t="s">
        <v>7194</v>
      </c>
      <c r="L445" s="32" t="s">
        <v>7390</v>
      </c>
      <c r="M445" t="s">
        <v>7165</v>
      </c>
      <c r="N445" t="s">
        <v>7165</v>
      </c>
      <c r="O445" t="s">
        <v>7464</v>
      </c>
    </row>
    <row r="446" spans="1:15" x14ac:dyDescent="0.2">
      <c r="A446" s="34" t="s">
        <v>3583</v>
      </c>
      <c r="B446" s="2" t="s">
        <v>3586</v>
      </c>
      <c r="C446" s="2" t="s">
        <v>68</v>
      </c>
      <c r="D446" s="2" t="s">
        <v>3589</v>
      </c>
      <c r="E446" s="2" t="s">
        <v>3581</v>
      </c>
      <c r="F446" s="2" t="s">
        <v>77</v>
      </c>
      <c r="G446" s="32" t="s">
        <v>353</v>
      </c>
      <c r="H446" s="32" t="s">
        <v>7288</v>
      </c>
      <c r="I446" s="32" t="s">
        <v>7498</v>
      </c>
      <c r="J446" s="32"/>
      <c r="K446" s="33" t="s">
        <v>7198</v>
      </c>
      <c r="L446" s="32" t="s">
        <v>7412</v>
      </c>
      <c r="M446" t="s">
        <v>7172</v>
      </c>
      <c r="N446" t="s">
        <v>7165</v>
      </c>
      <c r="O446" t="s">
        <v>7362</v>
      </c>
    </row>
    <row r="447" spans="1:15" x14ac:dyDescent="0.2">
      <c r="A447" s="27" t="s">
        <v>1258</v>
      </c>
      <c r="B447" s="2" t="s">
        <v>1259</v>
      </c>
      <c r="C447" s="2" t="s">
        <v>68</v>
      </c>
      <c r="D447" s="2" t="s">
        <v>1262</v>
      </c>
      <c r="E447" s="2" t="s">
        <v>1256</v>
      </c>
      <c r="F447" s="2" t="s">
        <v>77</v>
      </c>
      <c r="G447" s="32" t="s">
        <v>603</v>
      </c>
      <c r="H447" s="32" t="s">
        <v>7179</v>
      </c>
      <c r="I447" s="32" t="s">
        <v>7497</v>
      </c>
      <c r="J447" s="32"/>
      <c r="K447" s="33" t="s">
        <v>7339</v>
      </c>
      <c r="L447" s="32" t="s">
        <v>7398</v>
      </c>
      <c r="M447" t="s">
        <v>7165</v>
      </c>
      <c r="N447" t="s">
        <v>7165</v>
      </c>
      <c r="O447" t="s">
        <v>7356</v>
      </c>
    </row>
    <row r="448" spans="1:15" x14ac:dyDescent="0.2">
      <c r="A448" s="27" t="s">
        <v>5477</v>
      </c>
      <c r="B448" s="2" t="s">
        <v>5482</v>
      </c>
      <c r="C448" s="2" t="s">
        <v>68</v>
      </c>
      <c r="D448" s="2" t="s">
        <v>5485</v>
      </c>
      <c r="E448" s="2" t="s">
        <v>5475</v>
      </c>
      <c r="F448" s="2" t="s">
        <v>77</v>
      </c>
      <c r="G448" s="32" t="s">
        <v>5479</v>
      </c>
      <c r="H448" s="32" t="s">
        <v>7281</v>
      </c>
      <c r="I448" s="32" t="s">
        <v>7499</v>
      </c>
      <c r="J448" s="32"/>
      <c r="K448" s="33" t="s">
        <v>7336</v>
      </c>
      <c r="L448" s="32" t="s">
        <v>7440</v>
      </c>
      <c r="M448" t="s">
        <v>7165</v>
      </c>
      <c r="N448" t="s">
        <v>7165</v>
      </c>
      <c r="O448" t="s">
        <v>7358</v>
      </c>
    </row>
    <row r="449" spans="1:15" x14ac:dyDescent="0.2">
      <c r="A449" s="27" t="s">
        <v>6301</v>
      </c>
      <c r="B449" s="2" t="s">
        <v>6306</v>
      </c>
      <c r="C449" s="2" t="s">
        <v>68</v>
      </c>
      <c r="D449" s="2" t="s">
        <v>6309</v>
      </c>
      <c r="E449" s="2" t="s">
        <v>6299</v>
      </c>
      <c r="F449" s="2" t="s">
        <v>77</v>
      </c>
      <c r="G449" s="32" t="s">
        <v>3635</v>
      </c>
      <c r="H449" s="32" t="s">
        <v>7274</v>
      </c>
      <c r="I449" s="32" t="s">
        <v>7504</v>
      </c>
      <c r="J449" s="32"/>
      <c r="K449" s="33" t="s">
        <v>7213</v>
      </c>
      <c r="L449" s="32" t="s">
        <v>7444</v>
      </c>
      <c r="M449" t="s">
        <v>7172</v>
      </c>
      <c r="N449" t="s">
        <v>7165</v>
      </c>
      <c r="O449" t="s">
        <v>7460</v>
      </c>
    </row>
    <row r="450" spans="1:15" x14ac:dyDescent="0.2">
      <c r="A450" s="27" t="s">
        <v>5712</v>
      </c>
      <c r="B450" s="2" t="s">
        <v>5717</v>
      </c>
      <c r="C450" s="2" t="s">
        <v>68</v>
      </c>
      <c r="D450" s="2" t="s">
        <v>5720</v>
      </c>
      <c r="E450" s="2" t="s">
        <v>5710</v>
      </c>
      <c r="F450" s="2" t="s">
        <v>77</v>
      </c>
      <c r="G450" s="32" t="s">
        <v>5713</v>
      </c>
      <c r="H450" s="32" t="s">
        <v>7288</v>
      </c>
      <c r="I450" s="32" t="s">
        <v>7520</v>
      </c>
      <c r="J450" s="32"/>
      <c r="K450" s="33" t="s">
        <v>7299</v>
      </c>
      <c r="L450" s="32" t="s">
        <v>7446</v>
      </c>
      <c r="M450" t="s">
        <v>7165</v>
      </c>
      <c r="N450" t="s">
        <v>7165</v>
      </c>
      <c r="O450" t="s">
        <v>7464</v>
      </c>
    </row>
    <row r="451" spans="1:15" x14ac:dyDescent="0.2">
      <c r="A451" s="27" t="s">
        <v>1706</v>
      </c>
      <c r="B451" s="2" t="s">
        <v>1707</v>
      </c>
      <c r="C451" s="2" t="s">
        <v>68</v>
      </c>
      <c r="D451" s="2" t="s">
        <v>1709</v>
      </c>
      <c r="E451" s="2" t="s">
        <v>1704</v>
      </c>
      <c r="F451" s="2" t="s">
        <v>77</v>
      </c>
      <c r="G451" s="32" t="s">
        <v>603</v>
      </c>
      <c r="H451" s="32" t="s">
        <v>7179</v>
      </c>
      <c r="I451" s="32" t="s">
        <v>7497</v>
      </c>
      <c r="J451" s="32"/>
      <c r="K451" s="33" t="s">
        <v>7220</v>
      </c>
      <c r="L451" s="32" t="s">
        <v>7383</v>
      </c>
      <c r="M451" t="s">
        <v>7165</v>
      </c>
      <c r="N451" t="s">
        <v>7165</v>
      </c>
      <c r="O451" t="s">
        <v>7354</v>
      </c>
    </row>
    <row r="452" spans="1:15" x14ac:dyDescent="0.2">
      <c r="A452" s="27" t="s">
        <v>5760</v>
      </c>
      <c r="B452" s="2" t="s">
        <v>5761</v>
      </c>
      <c r="C452" s="2" t="s">
        <v>68</v>
      </c>
      <c r="D452" s="2" t="s">
        <v>5764</v>
      </c>
      <c r="E452" s="2" t="s">
        <v>5758</v>
      </c>
      <c r="F452" s="2" t="s">
        <v>77</v>
      </c>
      <c r="G452" s="32" t="s">
        <v>4872</v>
      </c>
      <c r="H452" s="32" t="s">
        <v>7235</v>
      </c>
      <c r="I452" s="32" t="s">
        <v>7498</v>
      </c>
      <c r="J452" s="32"/>
      <c r="K452" s="33" t="s">
        <v>7344</v>
      </c>
      <c r="L452" s="32" t="s">
        <v>7424</v>
      </c>
      <c r="M452" t="s">
        <v>7165</v>
      </c>
      <c r="N452" t="s">
        <v>7165</v>
      </c>
      <c r="O452" t="s">
        <v>7355</v>
      </c>
    </row>
    <row r="453" spans="1:15" x14ac:dyDescent="0.2">
      <c r="A453" s="27" t="s">
        <v>5029</v>
      </c>
      <c r="B453" s="2" t="s">
        <v>5030</v>
      </c>
      <c r="C453" s="2" t="s">
        <v>68</v>
      </c>
      <c r="D453" s="2" t="s">
        <v>5033</v>
      </c>
      <c r="E453" s="2" t="s">
        <v>5028</v>
      </c>
      <c r="F453" s="2" t="s">
        <v>77</v>
      </c>
      <c r="G453" s="32" t="s">
        <v>3150</v>
      </c>
      <c r="H453" s="32" t="s">
        <v>7252</v>
      </c>
      <c r="I453" s="32" t="s">
        <v>7504</v>
      </c>
      <c r="J453" s="32"/>
      <c r="K453" s="33" t="s">
        <v>7331</v>
      </c>
      <c r="L453" s="32" t="s">
        <v>7396</v>
      </c>
      <c r="M453" t="s">
        <v>7169</v>
      </c>
      <c r="N453" t="s">
        <v>7169</v>
      </c>
      <c r="O453" t="s">
        <v>7354</v>
      </c>
    </row>
    <row r="454" spans="1:15" x14ac:dyDescent="0.2">
      <c r="A454" s="27" t="s">
        <v>1038</v>
      </c>
      <c r="B454" s="2" t="s">
        <v>1041</v>
      </c>
      <c r="C454" s="2" t="s">
        <v>68</v>
      </c>
      <c r="D454" s="2" t="s">
        <v>1044</v>
      </c>
      <c r="E454" s="2" t="s">
        <v>1036</v>
      </c>
      <c r="F454" s="2" t="s">
        <v>77</v>
      </c>
      <c r="G454" s="32" t="s">
        <v>603</v>
      </c>
      <c r="H454" s="32" t="s">
        <v>7179</v>
      </c>
      <c r="I454" s="32" t="s">
        <v>7497</v>
      </c>
      <c r="J454" s="32"/>
      <c r="K454" s="33" t="s">
        <v>7211</v>
      </c>
      <c r="L454" s="32" t="s">
        <v>7387</v>
      </c>
      <c r="M454" t="s">
        <v>7165</v>
      </c>
      <c r="N454" t="s">
        <v>7165</v>
      </c>
      <c r="O454" t="s">
        <v>7463</v>
      </c>
    </row>
    <row r="455" spans="1:15" x14ac:dyDescent="0.2">
      <c r="A455" s="27" t="s">
        <v>5009</v>
      </c>
      <c r="B455" s="2" t="s">
        <v>5010</v>
      </c>
      <c r="C455" s="2" t="s">
        <v>68</v>
      </c>
      <c r="D455" s="2" t="s">
        <v>5013</v>
      </c>
      <c r="E455" s="2" t="s">
        <v>5008</v>
      </c>
      <c r="F455" s="2" t="s">
        <v>77</v>
      </c>
      <c r="G455" s="32" t="s">
        <v>3150</v>
      </c>
      <c r="H455" s="32" t="s">
        <v>7252</v>
      </c>
      <c r="I455" s="32" t="s">
        <v>7504</v>
      </c>
      <c r="J455" s="32"/>
      <c r="K455" s="33" t="s">
        <v>7331</v>
      </c>
      <c r="L455" s="32" t="s">
        <v>7396</v>
      </c>
      <c r="M455" t="s">
        <v>7169</v>
      </c>
      <c r="N455" t="s">
        <v>7169</v>
      </c>
      <c r="O455" t="s">
        <v>7354</v>
      </c>
    </row>
    <row r="456" spans="1:15" x14ac:dyDescent="0.2">
      <c r="A456" s="27" t="s">
        <v>3431</v>
      </c>
      <c r="B456" s="2" t="s">
        <v>3434</v>
      </c>
      <c r="C456" s="2" t="s">
        <v>68</v>
      </c>
      <c r="D456" s="2" t="s">
        <v>3437</v>
      </c>
      <c r="E456" s="2" t="s">
        <v>3429</v>
      </c>
      <c r="F456" s="2" t="s">
        <v>77</v>
      </c>
      <c r="G456" s="32" t="s">
        <v>3150</v>
      </c>
      <c r="H456" s="32" t="s">
        <v>7252</v>
      </c>
      <c r="I456" s="32" t="s">
        <v>7504</v>
      </c>
      <c r="J456" s="32"/>
      <c r="K456" s="33" t="s">
        <v>7349</v>
      </c>
      <c r="L456" s="32" t="s">
        <v>7447</v>
      </c>
      <c r="M456" t="s">
        <v>7165</v>
      </c>
      <c r="N456" t="s">
        <v>7165</v>
      </c>
      <c r="O456" t="s">
        <v>7469</v>
      </c>
    </row>
    <row r="457" spans="1:15" x14ac:dyDescent="0.2">
      <c r="A457" s="27" t="s">
        <v>975</v>
      </c>
      <c r="B457" s="2" t="s">
        <v>977</v>
      </c>
      <c r="C457" s="2" t="s">
        <v>68</v>
      </c>
      <c r="D457" s="2" t="s">
        <v>980</v>
      </c>
      <c r="E457" s="2" t="s">
        <v>973</v>
      </c>
      <c r="F457" s="2" t="s">
        <v>77</v>
      </c>
      <c r="G457" s="32" t="s">
        <v>603</v>
      </c>
      <c r="H457" s="32" t="s">
        <v>7179</v>
      </c>
      <c r="I457" s="32" t="s">
        <v>7497</v>
      </c>
      <c r="J457" s="32"/>
      <c r="K457" s="33" t="s">
        <v>7220</v>
      </c>
      <c r="L457" s="32" t="s">
        <v>7383</v>
      </c>
      <c r="M457" t="s">
        <v>7165</v>
      </c>
      <c r="N457" t="s">
        <v>7165</v>
      </c>
      <c r="O457" t="s">
        <v>7354</v>
      </c>
    </row>
    <row r="458" spans="1:15" x14ac:dyDescent="0.2">
      <c r="A458" s="27" t="s">
        <v>832</v>
      </c>
      <c r="B458" s="2" t="s">
        <v>834</v>
      </c>
      <c r="C458" s="2" t="s">
        <v>68</v>
      </c>
      <c r="D458" s="2" t="s">
        <v>837</v>
      </c>
      <c r="E458" s="2" t="s">
        <v>831</v>
      </c>
      <c r="F458" s="2" t="s">
        <v>77</v>
      </c>
      <c r="G458" s="32" t="s">
        <v>603</v>
      </c>
      <c r="H458" s="32" t="s">
        <v>7179</v>
      </c>
      <c r="I458" s="32" t="s">
        <v>7497</v>
      </c>
      <c r="J458" s="32"/>
      <c r="K458" s="33" t="s">
        <v>7194</v>
      </c>
      <c r="L458" s="32" t="s">
        <v>7390</v>
      </c>
      <c r="M458" t="s">
        <v>7165</v>
      </c>
      <c r="N458" t="s">
        <v>7165</v>
      </c>
      <c r="O458" t="s">
        <v>7464</v>
      </c>
    </row>
    <row r="459" spans="1:15" x14ac:dyDescent="0.2">
      <c r="A459" s="27" t="s">
        <v>2309</v>
      </c>
      <c r="B459" s="2" t="s">
        <v>2310</v>
      </c>
      <c r="C459" s="2" t="s">
        <v>68</v>
      </c>
      <c r="D459" s="2" t="s">
        <v>2313</v>
      </c>
      <c r="E459" s="2" t="s">
        <v>2308</v>
      </c>
      <c r="F459" s="2" t="s">
        <v>77</v>
      </c>
      <c r="G459" s="32" t="s">
        <v>603</v>
      </c>
      <c r="H459" s="32" t="s">
        <v>7179</v>
      </c>
      <c r="I459" s="32" t="s">
        <v>7497</v>
      </c>
      <c r="J459" s="32"/>
      <c r="K459" s="33" t="s">
        <v>7194</v>
      </c>
      <c r="L459" s="32" t="s">
        <v>7390</v>
      </c>
      <c r="M459" t="s">
        <v>7170</v>
      </c>
      <c r="N459" t="s">
        <v>7170</v>
      </c>
      <c r="O459" t="s">
        <v>7464</v>
      </c>
    </row>
    <row r="460" spans="1:15" x14ac:dyDescent="0.2">
      <c r="A460" s="27" t="s">
        <v>2409</v>
      </c>
      <c r="B460" s="2" t="s">
        <v>2410</v>
      </c>
      <c r="C460" s="2" t="s">
        <v>68</v>
      </c>
      <c r="D460" s="2" t="s">
        <v>2413</v>
      </c>
      <c r="E460" s="2" t="s">
        <v>2407</v>
      </c>
      <c r="F460" s="2" t="s">
        <v>77</v>
      </c>
      <c r="G460" s="32" t="s">
        <v>603</v>
      </c>
      <c r="H460" s="32" t="s">
        <v>7179</v>
      </c>
      <c r="I460" s="32" t="s">
        <v>7497</v>
      </c>
      <c r="J460" s="32"/>
      <c r="K460" s="33" t="s">
        <v>7194</v>
      </c>
      <c r="L460" s="32" t="s">
        <v>7390</v>
      </c>
      <c r="M460" t="s">
        <v>7165</v>
      </c>
      <c r="N460" t="s">
        <v>7165</v>
      </c>
      <c r="O460" t="s">
        <v>7464</v>
      </c>
    </row>
    <row r="461" spans="1:15" x14ac:dyDescent="0.2">
      <c r="A461" s="27" t="s">
        <v>2486</v>
      </c>
      <c r="B461" s="2" t="s">
        <v>2488</v>
      </c>
      <c r="C461" s="2" t="s">
        <v>68</v>
      </c>
      <c r="D461" s="2" t="s">
        <v>2491</v>
      </c>
      <c r="E461" s="2" t="s">
        <v>2484</v>
      </c>
      <c r="F461" s="2" t="s">
        <v>77</v>
      </c>
      <c r="G461" s="32" t="s">
        <v>603</v>
      </c>
      <c r="H461" s="32" t="s">
        <v>7179</v>
      </c>
      <c r="I461" s="32" t="s">
        <v>7497</v>
      </c>
      <c r="J461" s="32"/>
      <c r="K461" s="33" t="s">
        <v>7194</v>
      </c>
      <c r="L461" s="32" t="s">
        <v>7390</v>
      </c>
      <c r="M461" t="s">
        <v>7165</v>
      </c>
      <c r="N461" t="s">
        <v>7165</v>
      </c>
      <c r="O461" t="s">
        <v>7464</v>
      </c>
    </row>
    <row r="462" spans="1:15" x14ac:dyDescent="0.2">
      <c r="A462" s="27" t="s">
        <v>2674</v>
      </c>
      <c r="B462" s="2" t="s">
        <v>2675</v>
      </c>
      <c r="C462" s="2" t="s">
        <v>68</v>
      </c>
      <c r="D462" s="2" t="s">
        <v>2678</v>
      </c>
      <c r="E462" s="2" t="s">
        <v>2673</v>
      </c>
      <c r="F462" s="2" t="s">
        <v>77</v>
      </c>
      <c r="G462" s="32" t="s">
        <v>603</v>
      </c>
      <c r="H462" s="32" t="s">
        <v>7179</v>
      </c>
      <c r="I462" s="32" t="s">
        <v>7497</v>
      </c>
      <c r="J462" s="32"/>
      <c r="K462" s="33" t="s">
        <v>7211</v>
      </c>
      <c r="L462" s="32" t="s">
        <v>7387</v>
      </c>
      <c r="M462" t="s">
        <v>7165</v>
      </c>
      <c r="N462" t="s">
        <v>7165</v>
      </c>
      <c r="O462" t="s">
        <v>7463</v>
      </c>
    </row>
    <row r="463" spans="1:15" x14ac:dyDescent="0.2">
      <c r="A463" s="27" t="s">
        <v>1894</v>
      </c>
      <c r="B463" s="2" t="s">
        <v>1896</v>
      </c>
      <c r="C463" s="2" t="s">
        <v>68</v>
      </c>
      <c r="D463" s="2" t="s">
        <v>1899</v>
      </c>
      <c r="E463" s="2" t="s">
        <v>1892</v>
      </c>
      <c r="F463" s="2" t="s">
        <v>77</v>
      </c>
      <c r="G463" s="32" t="s">
        <v>603</v>
      </c>
      <c r="H463" s="32" t="s">
        <v>7179</v>
      </c>
      <c r="I463" s="32" t="s">
        <v>7497</v>
      </c>
      <c r="J463" s="32"/>
      <c r="K463" s="33" t="s">
        <v>7220</v>
      </c>
      <c r="L463" s="32" t="s">
        <v>7383</v>
      </c>
      <c r="M463" t="s">
        <v>7165</v>
      </c>
      <c r="N463" t="s">
        <v>7165</v>
      </c>
      <c r="O463" t="s">
        <v>7354</v>
      </c>
    </row>
    <row r="464" spans="1:15" x14ac:dyDescent="0.2">
      <c r="A464" s="27" t="s">
        <v>1270</v>
      </c>
      <c r="B464" s="2" t="s">
        <v>1272</v>
      </c>
      <c r="C464" s="2" t="s">
        <v>68</v>
      </c>
      <c r="D464" s="2" t="s">
        <v>1275</v>
      </c>
      <c r="E464" s="2" t="s">
        <v>1268</v>
      </c>
      <c r="F464" s="2" t="s">
        <v>77</v>
      </c>
      <c r="G464" s="32" t="s">
        <v>603</v>
      </c>
      <c r="H464" s="32" t="s">
        <v>7179</v>
      </c>
      <c r="I464" s="32" t="s">
        <v>7497</v>
      </c>
      <c r="J464" s="32"/>
      <c r="K464" s="33" t="s">
        <v>7293</v>
      </c>
      <c r="L464" s="32" t="s">
        <v>7383</v>
      </c>
      <c r="M464" t="s">
        <v>7165</v>
      </c>
      <c r="N464" t="s">
        <v>7165</v>
      </c>
      <c r="O464" t="s">
        <v>7354</v>
      </c>
    </row>
    <row r="465" spans="1:15" x14ac:dyDescent="0.2">
      <c r="A465" s="27" t="s">
        <v>1464</v>
      </c>
      <c r="B465" s="2" t="s">
        <v>1466</v>
      </c>
      <c r="C465" s="2" t="s">
        <v>68</v>
      </c>
      <c r="D465" s="2" t="s">
        <v>1469</v>
      </c>
      <c r="E465" s="2" t="s">
        <v>1462</v>
      </c>
      <c r="F465" s="2" t="s">
        <v>77</v>
      </c>
      <c r="G465" s="32" t="s">
        <v>603</v>
      </c>
      <c r="H465" s="32" t="s">
        <v>7179</v>
      </c>
      <c r="I465" s="32" t="s">
        <v>7497</v>
      </c>
      <c r="J465" s="32"/>
      <c r="K465" s="33" t="s">
        <v>7293</v>
      </c>
      <c r="L465" s="32" t="s">
        <v>7383</v>
      </c>
      <c r="M465" t="s">
        <v>7165</v>
      </c>
      <c r="N465" t="s">
        <v>7165</v>
      </c>
      <c r="O465" t="s">
        <v>7354</v>
      </c>
    </row>
    <row r="466" spans="1:15" x14ac:dyDescent="0.2">
      <c r="A466" s="27" t="s">
        <v>2628</v>
      </c>
      <c r="B466" s="2" t="s">
        <v>2629</v>
      </c>
      <c r="C466" s="2" t="s">
        <v>68</v>
      </c>
      <c r="D466" s="2" t="s">
        <v>2632</v>
      </c>
      <c r="E466" s="2" t="s">
        <v>2626</v>
      </c>
      <c r="F466" s="2" t="s">
        <v>77</v>
      </c>
      <c r="G466" s="32" t="s">
        <v>603</v>
      </c>
      <c r="H466" s="32" t="s">
        <v>7179</v>
      </c>
      <c r="I466" s="32" t="s">
        <v>7497</v>
      </c>
      <c r="J466" s="32"/>
      <c r="K466" s="33" t="s">
        <v>7293</v>
      </c>
      <c r="L466" s="32" t="s">
        <v>7383</v>
      </c>
      <c r="M466" t="s">
        <v>7165</v>
      </c>
      <c r="N466" t="s">
        <v>7165</v>
      </c>
      <c r="O466" t="s">
        <v>7354</v>
      </c>
    </row>
    <row r="467" spans="1:15" x14ac:dyDescent="0.2">
      <c r="A467" s="27" t="s">
        <v>856</v>
      </c>
      <c r="B467" s="2" t="s">
        <v>859</v>
      </c>
      <c r="C467" s="2" t="s">
        <v>68</v>
      </c>
      <c r="D467" s="2" t="s">
        <v>862</v>
      </c>
      <c r="E467" s="2" t="s">
        <v>854</v>
      </c>
      <c r="F467" s="2" t="s">
        <v>77</v>
      </c>
      <c r="G467" s="32" t="s">
        <v>603</v>
      </c>
      <c r="H467" s="32" t="s">
        <v>7179</v>
      </c>
      <c r="I467" s="32" t="s">
        <v>7497</v>
      </c>
      <c r="J467" s="32"/>
      <c r="K467" s="33" t="s">
        <v>7194</v>
      </c>
      <c r="L467" s="32" t="s">
        <v>7390</v>
      </c>
      <c r="M467" t="s">
        <v>7165</v>
      </c>
      <c r="N467" t="s">
        <v>7165</v>
      </c>
      <c r="O467" t="s">
        <v>7464</v>
      </c>
    </row>
    <row r="468" spans="1:15" x14ac:dyDescent="0.2">
      <c r="A468" s="27" t="s">
        <v>2152</v>
      </c>
      <c r="B468" s="2" t="s">
        <v>2153</v>
      </c>
      <c r="C468" s="2" t="s">
        <v>68</v>
      </c>
      <c r="D468" s="2" t="s">
        <v>2156</v>
      </c>
      <c r="E468" s="2" t="s">
        <v>2151</v>
      </c>
      <c r="F468" s="2" t="s">
        <v>77</v>
      </c>
      <c r="G468" s="32" t="s">
        <v>603</v>
      </c>
      <c r="H468" s="32" t="s">
        <v>7179</v>
      </c>
      <c r="I468" s="32" t="s">
        <v>7497</v>
      </c>
      <c r="J468" s="32"/>
      <c r="K468" s="33" t="s">
        <v>7194</v>
      </c>
      <c r="L468" s="32" t="s">
        <v>7390</v>
      </c>
      <c r="M468" t="s">
        <v>7165</v>
      </c>
      <c r="N468" t="s">
        <v>7165</v>
      </c>
      <c r="O468" t="s">
        <v>7464</v>
      </c>
    </row>
    <row r="469" spans="1:15" x14ac:dyDescent="0.2">
      <c r="A469" s="27" t="s">
        <v>2298</v>
      </c>
      <c r="B469" s="2" t="s">
        <v>2299</v>
      </c>
      <c r="C469" s="2" t="s">
        <v>68</v>
      </c>
      <c r="D469" s="2" t="s">
        <v>2302</v>
      </c>
      <c r="E469" s="2" t="s">
        <v>2296</v>
      </c>
      <c r="F469" s="2" t="s">
        <v>77</v>
      </c>
      <c r="G469" s="32" t="s">
        <v>603</v>
      </c>
      <c r="H469" s="32" t="s">
        <v>7179</v>
      </c>
      <c r="I469" s="32" t="s">
        <v>7497</v>
      </c>
      <c r="J469" s="32"/>
      <c r="K469" s="33" t="s">
        <v>7194</v>
      </c>
      <c r="L469" s="32" t="s">
        <v>7390</v>
      </c>
      <c r="M469" t="s">
        <v>7170</v>
      </c>
      <c r="N469" t="s">
        <v>7170</v>
      </c>
      <c r="O469" t="s">
        <v>7464</v>
      </c>
    </row>
    <row r="470" spans="1:15" x14ac:dyDescent="0.2">
      <c r="A470" s="27" t="s">
        <v>2512</v>
      </c>
      <c r="B470" s="2" t="s">
        <v>2514</v>
      </c>
      <c r="C470" s="2" t="s">
        <v>68</v>
      </c>
      <c r="D470" s="2" t="s">
        <v>2517</v>
      </c>
      <c r="E470" s="2" t="s">
        <v>2510</v>
      </c>
      <c r="F470" s="2" t="s">
        <v>77</v>
      </c>
      <c r="G470" s="32" t="s">
        <v>603</v>
      </c>
      <c r="H470" s="32" t="s">
        <v>7179</v>
      </c>
      <c r="I470" s="32" t="s">
        <v>7497</v>
      </c>
      <c r="J470" s="32"/>
      <c r="K470" s="33" t="s">
        <v>7211</v>
      </c>
      <c r="L470" s="32" t="s">
        <v>7387</v>
      </c>
      <c r="M470" t="s">
        <v>7165</v>
      </c>
      <c r="N470" t="s">
        <v>7165</v>
      </c>
      <c r="O470" t="s">
        <v>7463</v>
      </c>
    </row>
    <row r="471" spans="1:15" x14ac:dyDescent="0.2">
      <c r="A471" s="27" t="s">
        <v>2617</v>
      </c>
      <c r="B471" s="2" t="s">
        <v>2618</v>
      </c>
      <c r="C471" s="2" t="s">
        <v>68</v>
      </c>
      <c r="D471" s="2" t="s">
        <v>2621</v>
      </c>
      <c r="E471" s="2" t="s">
        <v>2616</v>
      </c>
      <c r="F471" s="2" t="s">
        <v>77</v>
      </c>
      <c r="G471" s="32" t="s">
        <v>603</v>
      </c>
      <c r="H471" s="32" t="s">
        <v>7179</v>
      </c>
      <c r="I471" s="32" t="s">
        <v>7497</v>
      </c>
      <c r="J471" s="32"/>
      <c r="K471" s="33" t="s">
        <v>7194</v>
      </c>
      <c r="L471" s="32" t="s">
        <v>7390</v>
      </c>
      <c r="M471" t="s">
        <v>7165</v>
      </c>
      <c r="N471" t="s">
        <v>7165</v>
      </c>
      <c r="O471" t="s">
        <v>7464</v>
      </c>
    </row>
    <row r="472" spans="1:15" x14ac:dyDescent="0.2">
      <c r="A472" s="27" t="s">
        <v>2662</v>
      </c>
      <c r="B472" s="2" t="s">
        <v>2664</v>
      </c>
      <c r="C472" s="2" t="s">
        <v>68</v>
      </c>
      <c r="D472" s="2" t="s">
        <v>2667</v>
      </c>
      <c r="E472" s="2" t="s">
        <v>2660</v>
      </c>
      <c r="F472" s="2" t="s">
        <v>77</v>
      </c>
      <c r="G472" s="32" t="s">
        <v>603</v>
      </c>
      <c r="H472" s="32" t="s">
        <v>7179</v>
      </c>
      <c r="I472" s="32" t="s">
        <v>7497</v>
      </c>
      <c r="J472" s="32"/>
      <c r="K472" s="33" t="s">
        <v>7194</v>
      </c>
      <c r="L472" s="32" t="s">
        <v>7390</v>
      </c>
      <c r="M472" t="s">
        <v>7165</v>
      </c>
      <c r="N472" t="s">
        <v>7165</v>
      </c>
      <c r="O472" t="s">
        <v>7464</v>
      </c>
    </row>
    <row r="473" spans="1:15" x14ac:dyDescent="0.2">
      <c r="A473" s="27" t="s">
        <v>2034</v>
      </c>
      <c r="B473" s="2" t="s">
        <v>2037</v>
      </c>
      <c r="C473" s="2" t="s">
        <v>68</v>
      </c>
      <c r="D473" s="2" t="s">
        <v>2040</v>
      </c>
      <c r="E473" s="2" t="s">
        <v>2032</v>
      </c>
      <c r="F473" s="2" t="s">
        <v>77</v>
      </c>
      <c r="G473" s="32" t="s">
        <v>603</v>
      </c>
      <c r="H473" s="32" t="s">
        <v>7179</v>
      </c>
      <c r="I473" s="32" t="s">
        <v>7497</v>
      </c>
      <c r="J473" s="32"/>
      <c r="K473" s="33" t="s">
        <v>7323</v>
      </c>
      <c r="L473" s="32" t="s">
        <v>7416</v>
      </c>
      <c r="M473" t="s">
        <v>7165</v>
      </c>
      <c r="N473" t="s">
        <v>7165</v>
      </c>
      <c r="O473" t="s">
        <v>7468</v>
      </c>
    </row>
    <row r="474" spans="1:15" x14ac:dyDescent="0.2">
      <c r="A474" s="27" t="s">
        <v>873</v>
      </c>
      <c r="B474" s="2" t="s">
        <v>876</v>
      </c>
      <c r="C474" s="2" t="s">
        <v>68</v>
      </c>
      <c r="D474" s="2" t="s">
        <v>879</v>
      </c>
      <c r="E474" s="2" t="s">
        <v>871</v>
      </c>
      <c r="F474" s="2" t="s">
        <v>77</v>
      </c>
      <c r="G474" s="32" t="s">
        <v>603</v>
      </c>
      <c r="H474" s="32" t="s">
        <v>7179</v>
      </c>
      <c r="I474" s="32" t="s">
        <v>7497</v>
      </c>
      <c r="J474" s="32"/>
      <c r="K474" s="33" t="s">
        <v>7339</v>
      </c>
      <c r="L474" s="32" t="s">
        <v>7398</v>
      </c>
      <c r="M474" t="s">
        <v>7165</v>
      </c>
      <c r="N474" t="s">
        <v>7165</v>
      </c>
      <c r="O474" t="s">
        <v>7356</v>
      </c>
    </row>
    <row r="475" spans="1:15" x14ac:dyDescent="0.2">
      <c r="A475" s="27" t="s">
        <v>6543</v>
      </c>
      <c r="B475" s="2" t="s">
        <v>6545</v>
      </c>
      <c r="C475" s="2" t="s">
        <v>68</v>
      </c>
      <c r="D475" s="2" t="s">
        <v>6548</v>
      </c>
      <c r="E475" s="2" t="s">
        <v>6541</v>
      </c>
      <c r="F475" s="2" t="s">
        <v>77</v>
      </c>
      <c r="G475" s="32" t="s">
        <v>4838</v>
      </c>
      <c r="H475" s="32" t="s">
        <v>7265</v>
      </c>
      <c r="I475" s="32" t="s">
        <v>7497</v>
      </c>
      <c r="J475" s="32"/>
      <c r="K475" s="33" t="s">
        <v>7339</v>
      </c>
      <c r="L475" s="32" t="s">
        <v>7398</v>
      </c>
      <c r="M475" t="s">
        <v>7165</v>
      </c>
      <c r="N475" t="s">
        <v>7165</v>
      </c>
      <c r="O475" t="s">
        <v>7356</v>
      </c>
    </row>
    <row r="476" spans="1:15" x14ac:dyDescent="0.2">
      <c r="A476" s="27" t="s">
        <v>5699</v>
      </c>
      <c r="B476" s="2" t="s">
        <v>5701</v>
      </c>
      <c r="C476" s="2" t="s">
        <v>68</v>
      </c>
      <c r="D476" s="2" t="s">
        <v>5704</v>
      </c>
      <c r="E476" s="2" t="s">
        <v>5697</v>
      </c>
      <c r="F476" s="2" t="s">
        <v>77</v>
      </c>
      <c r="G476" s="32" t="s">
        <v>3134</v>
      </c>
      <c r="H476" s="32" t="s">
        <v>7281</v>
      </c>
      <c r="I476" s="32" t="s">
        <v>7504</v>
      </c>
      <c r="J476" s="32"/>
      <c r="K476" s="33" t="s">
        <v>7331</v>
      </c>
      <c r="L476" s="32" t="s">
        <v>7396</v>
      </c>
      <c r="M476" t="s">
        <v>7169</v>
      </c>
      <c r="N476" t="s">
        <v>7169</v>
      </c>
      <c r="O476" t="s">
        <v>7354</v>
      </c>
    </row>
    <row r="477" spans="1:15" x14ac:dyDescent="0.2">
      <c r="A477" s="27" t="s">
        <v>6567</v>
      </c>
      <c r="B477" s="2" t="s">
        <v>6569</v>
      </c>
      <c r="C477" s="2" t="s">
        <v>68</v>
      </c>
      <c r="D477" s="2" t="s">
        <v>6572</v>
      </c>
      <c r="E477" s="2" t="s">
        <v>6566</v>
      </c>
      <c r="F477" s="2" t="s">
        <v>77</v>
      </c>
      <c r="G477" s="32" t="s">
        <v>95</v>
      </c>
      <c r="H477" s="32" t="s">
        <v>7281</v>
      </c>
      <c r="I477" s="32" t="s">
        <v>7518</v>
      </c>
      <c r="J477" s="32"/>
      <c r="K477" s="33" t="s">
        <v>7331</v>
      </c>
      <c r="L477" s="32" t="s">
        <v>7396</v>
      </c>
      <c r="M477" t="s">
        <v>60</v>
      </c>
      <c r="N477" t="s">
        <v>60</v>
      </c>
      <c r="O477" t="s">
        <v>7354</v>
      </c>
    </row>
    <row r="478" spans="1:15" x14ac:dyDescent="0.2">
      <c r="A478" s="27" t="s">
        <v>197</v>
      </c>
      <c r="B478" s="2" t="s">
        <v>199</v>
      </c>
      <c r="C478" s="2" t="s">
        <v>68</v>
      </c>
      <c r="D478" s="2" t="s">
        <v>202</v>
      </c>
      <c r="E478" s="2" t="s">
        <v>196</v>
      </c>
      <c r="F478" s="2" t="s">
        <v>77</v>
      </c>
      <c r="G478" s="32" t="s">
        <v>95</v>
      </c>
      <c r="H478" s="32" t="s">
        <v>7281</v>
      </c>
      <c r="I478" s="32" t="s">
        <v>7518</v>
      </c>
      <c r="J478" s="32"/>
      <c r="K478" s="33" t="s">
        <v>7331</v>
      </c>
      <c r="L478" s="32" t="s">
        <v>7396</v>
      </c>
      <c r="M478" t="s">
        <v>60</v>
      </c>
      <c r="N478" t="s">
        <v>60</v>
      </c>
      <c r="O478" t="s">
        <v>7354</v>
      </c>
    </row>
    <row r="479" spans="1:15" x14ac:dyDescent="0.2">
      <c r="A479" s="27" t="s">
        <v>5599</v>
      </c>
      <c r="B479" s="2" t="s">
        <v>5600</v>
      </c>
      <c r="C479" s="2" t="s">
        <v>68</v>
      </c>
      <c r="D479" s="2" t="s">
        <v>5603</v>
      </c>
      <c r="E479" s="2" t="s">
        <v>5598</v>
      </c>
      <c r="F479" s="2" t="s">
        <v>77</v>
      </c>
      <c r="G479" s="32" t="s">
        <v>3647</v>
      </c>
      <c r="H479" s="32" t="s">
        <v>7288</v>
      </c>
      <c r="I479" s="32" t="s">
        <v>7496</v>
      </c>
      <c r="J479" s="32"/>
      <c r="K479" s="33" t="s">
        <v>7314</v>
      </c>
      <c r="L479" s="32" t="s">
        <v>7448</v>
      </c>
      <c r="M479" t="s">
        <v>7165</v>
      </c>
      <c r="N479" t="s">
        <v>7165</v>
      </c>
      <c r="O479" t="s">
        <v>7355</v>
      </c>
    </row>
    <row r="480" spans="1:15" x14ac:dyDescent="0.2">
      <c r="A480" s="27" t="s">
        <v>1609</v>
      </c>
      <c r="B480" s="2" t="s">
        <v>1611</v>
      </c>
      <c r="C480" s="2" t="s">
        <v>68</v>
      </c>
      <c r="D480" s="2" t="s">
        <v>1614</v>
      </c>
      <c r="E480" s="2" t="s">
        <v>1607</v>
      </c>
      <c r="F480" s="2" t="s">
        <v>77</v>
      </c>
      <c r="G480" s="32" t="s">
        <v>603</v>
      </c>
      <c r="H480" s="32" t="s">
        <v>7179</v>
      </c>
      <c r="I480" s="32" t="s">
        <v>7497</v>
      </c>
      <c r="J480" s="32"/>
      <c r="K480" s="33" t="s">
        <v>7220</v>
      </c>
      <c r="L480" s="32" t="s">
        <v>7383</v>
      </c>
      <c r="M480" t="s">
        <v>7165</v>
      </c>
      <c r="N480" t="s">
        <v>7165</v>
      </c>
      <c r="O480" t="s">
        <v>7354</v>
      </c>
    </row>
    <row r="481" spans="1:15" x14ac:dyDescent="0.2">
      <c r="A481" s="27" t="s">
        <v>6487</v>
      </c>
      <c r="B481" s="2" t="s">
        <v>6490</v>
      </c>
      <c r="C481" s="2" t="s">
        <v>68</v>
      </c>
      <c r="D481" s="2" t="s">
        <v>6493</v>
      </c>
      <c r="E481" s="2" t="s">
        <v>6485</v>
      </c>
      <c r="F481" s="2" t="s">
        <v>77</v>
      </c>
      <c r="G481" s="32" t="s">
        <v>3635</v>
      </c>
      <c r="H481" s="32" t="s">
        <v>7274</v>
      </c>
      <c r="I481" s="32" t="s">
        <v>7504</v>
      </c>
      <c r="J481" s="32"/>
      <c r="K481" s="33" t="s">
        <v>7201</v>
      </c>
      <c r="L481" s="32" t="s">
        <v>7428</v>
      </c>
      <c r="M481" t="s">
        <v>7172</v>
      </c>
      <c r="N481" t="s">
        <v>7165</v>
      </c>
      <c r="O481" t="s">
        <v>7357</v>
      </c>
    </row>
    <row r="482" spans="1:15" x14ac:dyDescent="0.2">
      <c r="A482" s="27" t="s">
        <v>92</v>
      </c>
      <c r="B482" s="2" t="s">
        <v>99</v>
      </c>
      <c r="C482" s="2" t="s">
        <v>68</v>
      </c>
      <c r="D482" s="2" t="s">
        <v>102</v>
      </c>
      <c r="E482" s="2" t="s">
        <v>90</v>
      </c>
      <c r="F482" s="2" t="s">
        <v>77</v>
      </c>
      <c r="G482" s="32" t="s">
        <v>95</v>
      </c>
      <c r="H482" s="32" t="s">
        <v>7281</v>
      </c>
      <c r="I482" s="32" t="s">
        <v>7518</v>
      </c>
      <c r="J482" s="32"/>
      <c r="K482" s="33" t="s">
        <v>7331</v>
      </c>
      <c r="L482" s="32" t="s">
        <v>7396</v>
      </c>
      <c r="M482" t="s">
        <v>60</v>
      </c>
      <c r="N482" t="s">
        <v>60</v>
      </c>
      <c r="O482" t="s">
        <v>7354</v>
      </c>
    </row>
    <row r="483" spans="1:15" x14ac:dyDescent="0.2">
      <c r="A483" s="27" t="s">
        <v>5320</v>
      </c>
      <c r="B483" s="2" t="s">
        <v>5325</v>
      </c>
      <c r="C483" s="2" t="s">
        <v>68</v>
      </c>
      <c r="D483" s="2" t="s">
        <v>5327</v>
      </c>
      <c r="E483" s="2" t="s">
        <v>5318</v>
      </c>
      <c r="F483" s="2" t="s">
        <v>77</v>
      </c>
      <c r="G483" s="32" t="s">
        <v>5322</v>
      </c>
      <c r="H483" s="32" t="s">
        <v>7236</v>
      </c>
      <c r="I483" s="32" t="s">
        <v>7505</v>
      </c>
      <c r="J483" s="32"/>
      <c r="K483" s="33" t="s">
        <v>7327</v>
      </c>
      <c r="L483" s="32" t="s">
        <v>7385</v>
      </c>
      <c r="M483" t="s">
        <v>7165</v>
      </c>
      <c r="N483" t="s">
        <v>7165</v>
      </c>
      <c r="O483" t="s">
        <v>7353</v>
      </c>
    </row>
    <row r="484" spans="1:15" x14ac:dyDescent="0.2">
      <c r="A484" s="27" t="s">
        <v>5580</v>
      </c>
      <c r="B484" s="2" t="s">
        <v>5585</v>
      </c>
      <c r="C484" s="2" t="s">
        <v>68</v>
      </c>
      <c r="D484" s="2" t="s">
        <v>5588</v>
      </c>
      <c r="E484" s="2" t="s">
        <v>5578</v>
      </c>
      <c r="F484" s="2" t="s">
        <v>77</v>
      </c>
      <c r="G484" s="32" t="s">
        <v>3647</v>
      </c>
      <c r="H484" s="32" t="s">
        <v>7288</v>
      </c>
      <c r="I484" s="32" t="s">
        <v>7496</v>
      </c>
      <c r="J484" s="32"/>
      <c r="K484" s="33" t="s">
        <v>7314</v>
      </c>
      <c r="L484" s="32" t="s">
        <v>7448</v>
      </c>
      <c r="M484" t="s">
        <v>7165</v>
      </c>
      <c r="N484" t="s">
        <v>7165</v>
      </c>
      <c r="O484" t="s">
        <v>7355</v>
      </c>
    </row>
    <row r="485" spans="1:15" x14ac:dyDescent="0.2">
      <c r="A485" s="27" t="s">
        <v>221</v>
      </c>
      <c r="B485" s="2" t="s">
        <v>223</v>
      </c>
      <c r="C485" s="2" t="s">
        <v>68</v>
      </c>
      <c r="D485" s="2" t="s">
        <v>226</v>
      </c>
      <c r="E485" s="2" t="s">
        <v>219</v>
      </c>
      <c r="F485" s="2" t="s">
        <v>77</v>
      </c>
      <c r="G485" s="32" t="s">
        <v>95</v>
      </c>
      <c r="H485" s="32" t="s">
        <v>7281</v>
      </c>
      <c r="I485" s="32" t="s">
        <v>7518</v>
      </c>
      <c r="J485" s="32"/>
      <c r="K485" s="33" t="s">
        <v>7331</v>
      </c>
      <c r="L485" s="32" t="s">
        <v>7396</v>
      </c>
      <c r="M485" t="s">
        <v>60</v>
      </c>
      <c r="N485" t="s">
        <v>60</v>
      </c>
      <c r="O485" t="s">
        <v>7354</v>
      </c>
    </row>
    <row r="486" spans="1:15" x14ac:dyDescent="0.2">
      <c r="A486" s="27" t="s">
        <v>5568</v>
      </c>
      <c r="B486" s="2" t="s">
        <v>5570</v>
      </c>
      <c r="C486" s="2" t="s">
        <v>68</v>
      </c>
      <c r="D486" s="2" t="s">
        <v>5573</v>
      </c>
      <c r="E486" s="2" t="s">
        <v>5566</v>
      </c>
      <c r="F486" s="2" t="s">
        <v>77</v>
      </c>
      <c r="G486" s="32" t="s">
        <v>95</v>
      </c>
      <c r="H486" s="32" t="s">
        <v>7281</v>
      </c>
      <c r="I486" s="32" t="s">
        <v>7518</v>
      </c>
      <c r="J486" s="32"/>
      <c r="K486" s="33" t="s">
        <v>7331</v>
      </c>
      <c r="L486" s="32" t="s">
        <v>7396</v>
      </c>
      <c r="M486" t="s">
        <v>60</v>
      </c>
      <c r="N486" t="s">
        <v>60</v>
      </c>
      <c r="O486" t="s">
        <v>7354</v>
      </c>
    </row>
    <row r="487" spans="1:15" x14ac:dyDescent="0.2">
      <c r="A487" s="27" t="s">
        <v>4652</v>
      </c>
      <c r="B487" s="2" t="s">
        <v>4654</v>
      </c>
      <c r="C487" s="2" t="s">
        <v>68</v>
      </c>
      <c r="D487" s="2" t="s">
        <v>4657</v>
      </c>
      <c r="E487" s="2" t="s">
        <v>4650</v>
      </c>
      <c r="F487" s="2" t="s">
        <v>77</v>
      </c>
      <c r="G487" s="32" t="s">
        <v>268</v>
      </c>
      <c r="H487" s="32" t="s">
        <v>7259</v>
      </c>
      <c r="I487" s="32" t="s">
        <v>7498</v>
      </c>
      <c r="J487" s="32"/>
      <c r="K487" s="33" t="s">
        <v>7204</v>
      </c>
      <c r="L487" s="32" t="s">
        <v>7392</v>
      </c>
      <c r="M487" t="s">
        <v>7169</v>
      </c>
      <c r="N487" t="s">
        <v>7169</v>
      </c>
      <c r="O487" t="s">
        <v>7356</v>
      </c>
    </row>
    <row r="488" spans="1:15" x14ac:dyDescent="0.2">
      <c r="A488" s="27" t="s">
        <v>5441</v>
      </c>
      <c r="B488" s="2" t="s">
        <v>5448</v>
      </c>
      <c r="C488" s="2" t="s">
        <v>68</v>
      </c>
      <c r="D488" s="2" t="s">
        <v>5451</v>
      </c>
      <c r="E488" s="2" t="s">
        <v>5439</v>
      </c>
      <c r="F488" s="2" t="s">
        <v>77</v>
      </c>
      <c r="G488" s="32" t="s">
        <v>5444</v>
      </c>
      <c r="H488" s="32" t="s">
        <v>7247</v>
      </c>
      <c r="I488" s="32" t="s">
        <v>7513</v>
      </c>
      <c r="J488" s="32"/>
      <c r="K488" s="33" t="s">
        <v>7292</v>
      </c>
      <c r="L488" s="32" t="s">
        <v>7449</v>
      </c>
      <c r="M488" t="s">
        <v>7169</v>
      </c>
      <c r="N488" t="s">
        <v>7169</v>
      </c>
      <c r="O488" t="s">
        <v>7363</v>
      </c>
    </row>
    <row r="489" spans="1:15" x14ac:dyDescent="0.2">
      <c r="A489" s="27" t="s">
        <v>3330</v>
      </c>
      <c r="B489" s="2" t="s">
        <v>3335</v>
      </c>
      <c r="C489" s="2" t="s">
        <v>68</v>
      </c>
      <c r="D489" s="2" t="s">
        <v>3338</v>
      </c>
      <c r="E489" s="2" t="s">
        <v>3328</v>
      </c>
      <c r="F489" s="2" t="s">
        <v>77</v>
      </c>
      <c r="G489" s="32" t="s">
        <v>3331</v>
      </c>
      <c r="H489" s="32" t="s">
        <v>7264</v>
      </c>
      <c r="I489" s="32" t="s">
        <v>7510</v>
      </c>
      <c r="J489" s="32"/>
      <c r="K489" s="33" t="s">
        <v>7222</v>
      </c>
      <c r="L489" s="32" t="s">
        <v>7450</v>
      </c>
      <c r="M489" t="s">
        <v>7165</v>
      </c>
      <c r="N489" t="s">
        <v>7165</v>
      </c>
      <c r="O489" t="s">
        <v>7464</v>
      </c>
    </row>
    <row r="490" spans="1:15" x14ac:dyDescent="0.2">
      <c r="A490" s="27" t="s">
        <v>1297</v>
      </c>
      <c r="B490" s="2" t="s">
        <v>1299</v>
      </c>
      <c r="C490" s="2" t="s">
        <v>68</v>
      </c>
      <c r="D490" s="2" t="s">
        <v>1302</v>
      </c>
      <c r="E490" s="2" t="s">
        <v>1295</v>
      </c>
      <c r="F490" s="2" t="s">
        <v>77</v>
      </c>
      <c r="G490" s="32" t="s">
        <v>603</v>
      </c>
      <c r="H490" s="32" t="s">
        <v>7179</v>
      </c>
      <c r="I490" s="32" t="s">
        <v>7497</v>
      </c>
      <c r="J490" s="32"/>
      <c r="K490" s="33" t="s">
        <v>7293</v>
      </c>
      <c r="L490" s="32" t="s">
        <v>7383</v>
      </c>
      <c r="M490" t="s">
        <v>7169</v>
      </c>
      <c r="N490" t="s">
        <v>7169</v>
      </c>
      <c r="O490" t="s">
        <v>7354</v>
      </c>
    </row>
    <row r="491" spans="1:15" x14ac:dyDescent="0.2">
      <c r="A491" s="27" t="s">
        <v>5459</v>
      </c>
      <c r="B491" s="2" t="s">
        <v>5464</v>
      </c>
      <c r="C491" s="2" t="s">
        <v>68</v>
      </c>
      <c r="D491" s="2" t="s">
        <v>5467</v>
      </c>
      <c r="E491" s="2" t="s">
        <v>5457</v>
      </c>
      <c r="F491" s="2" t="s">
        <v>77</v>
      </c>
      <c r="G491" s="32" t="s">
        <v>5461</v>
      </c>
      <c r="H491" s="32" t="s">
        <v>7234</v>
      </c>
      <c r="I491" s="32" t="s">
        <v>7512</v>
      </c>
      <c r="J491" s="32"/>
      <c r="K491" s="33" t="s">
        <v>7315</v>
      </c>
      <c r="L491" s="32" t="s">
        <v>7451</v>
      </c>
      <c r="M491" t="s">
        <v>7165</v>
      </c>
      <c r="N491" t="s">
        <v>7165</v>
      </c>
      <c r="O491" t="s">
        <v>7353</v>
      </c>
    </row>
    <row r="492" spans="1:15" x14ac:dyDescent="0.2">
      <c r="A492" s="27" t="s">
        <v>3917</v>
      </c>
      <c r="B492" s="2" t="s">
        <v>3921</v>
      </c>
      <c r="C492" s="2" t="s">
        <v>68</v>
      </c>
      <c r="D492" s="2" t="s">
        <v>3924</v>
      </c>
      <c r="E492" s="2" t="s">
        <v>3915</v>
      </c>
      <c r="F492" s="2" t="s">
        <v>77</v>
      </c>
      <c r="G492" s="32" t="s">
        <v>3918</v>
      </c>
      <c r="H492" s="32" t="s">
        <v>7283</v>
      </c>
      <c r="I492" s="32" t="s">
        <v>7511</v>
      </c>
      <c r="J492" s="32"/>
      <c r="K492" s="33" t="s">
        <v>7325</v>
      </c>
      <c r="L492" s="32" t="s">
        <v>7452</v>
      </c>
      <c r="M492" t="s">
        <v>7165</v>
      </c>
      <c r="N492" t="s">
        <v>7165</v>
      </c>
      <c r="O492" t="s">
        <v>7470</v>
      </c>
    </row>
    <row r="493" spans="1:15" x14ac:dyDescent="0.2">
      <c r="A493" s="27" t="s">
        <v>247</v>
      </c>
      <c r="B493" s="2" t="s">
        <v>253</v>
      </c>
      <c r="C493" s="2" t="s">
        <v>68</v>
      </c>
      <c r="D493" s="2" t="s">
        <v>256</v>
      </c>
      <c r="E493" s="2" t="s">
        <v>245</v>
      </c>
      <c r="F493" s="2" t="s">
        <v>77</v>
      </c>
      <c r="G493" s="32" t="s">
        <v>248</v>
      </c>
      <c r="H493" s="32" t="s">
        <v>7280</v>
      </c>
      <c r="I493" s="32" t="s">
        <v>7511</v>
      </c>
      <c r="J493" s="32"/>
      <c r="K493" s="33" t="s">
        <v>7208</v>
      </c>
      <c r="L493" s="32" t="s">
        <v>7385</v>
      </c>
      <c r="M493" t="s">
        <v>7165</v>
      </c>
      <c r="N493" t="s">
        <v>7165</v>
      </c>
      <c r="O493" t="s">
        <v>7353</v>
      </c>
    </row>
    <row r="494" spans="1:15" x14ac:dyDescent="0.2">
      <c r="A494" s="27" t="s">
        <v>5729</v>
      </c>
      <c r="B494" s="2" t="s">
        <v>5731</v>
      </c>
      <c r="C494" s="2" t="s">
        <v>68</v>
      </c>
      <c r="D494" s="2" t="s">
        <v>5734</v>
      </c>
      <c r="E494" s="2" t="s">
        <v>5728</v>
      </c>
      <c r="F494" s="2" t="s">
        <v>77</v>
      </c>
      <c r="G494" s="32" t="s">
        <v>248</v>
      </c>
      <c r="H494" s="32" t="s">
        <v>7280</v>
      </c>
      <c r="I494" s="32" t="s">
        <v>7511</v>
      </c>
      <c r="J494" s="32"/>
      <c r="K494" s="33" t="s">
        <v>7208</v>
      </c>
      <c r="L494" s="32" t="s">
        <v>7385</v>
      </c>
      <c r="M494" t="s">
        <v>7165</v>
      </c>
      <c r="N494" t="s">
        <v>7165</v>
      </c>
      <c r="O494" t="s">
        <v>7353</v>
      </c>
    </row>
    <row r="495" spans="1:15" x14ac:dyDescent="0.2">
      <c r="A495" s="27" t="s">
        <v>5363</v>
      </c>
      <c r="B495" s="2" t="s">
        <v>5365</v>
      </c>
      <c r="C495" s="2" t="s">
        <v>68</v>
      </c>
      <c r="D495" s="2" t="s">
        <v>5368</v>
      </c>
      <c r="E495" s="2" t="s">
        <v>5361</v>
      </c>
      <c r="F495" s="2" t="s">
        <v>77</v>
      </c>
      <c r="G495" s="32" t="s">
        <v>3918</v>
      </c>
      <c r="H495" s="32" t="s">
        <v>7283</v>
      </c>
      <c r="I495" s="32" t="s">
        <v>7511</v>
      </c>
      <c r="J495" s="32"/>
      <c r="K495" s="33" t="s">
        <v>7219</v>
      </c>
      <c r="L495" s="32" t="s">
        <v>7377</v>
      </c>
      <c r="M495" t="s">
        <v>7165</v>
      </c>
      <c r="N495" t="s">
        <v>7165</v>
      </c>
      <c r="O495" t="s">
        <v>7358</v>
      </c>
    </row>
    <row r="496" spans="1:15" x14ac:dyDescent="0.2">
      <c r="A496" s="27" t="s">
        <v>7100</v>
      </c>
      <c r="B496" s="2" t="s">
        <v>7104</v>
      </c>
      <c r="C496" s="2" t="s">
        <v>68</v>
      </c>
      <c r="D496" s="2" t="s">
        <v>7453</v>
      </c>
      <c r="E496" s="28" t="s">
        <v>7098</v>
      </c>
      <c r="F496" s="2" t="s">
        <v>77</v>
      </c>
      <c r="G496" s="35" t="s">
        <v>7102</v>
      </c>
      <c r="H496" s="35" t="s">
        <v>7261</v>
      </c>
      <c r="I496" s="35" t="s">
        <v>7521</v>
      </c>
      <c r="J496" s="35"/>
      <c r="K496" t="s">
        <v>7454</v>
      </c>
      <c r="L496" s="11" t="s">
        <v>7455</v>
      </c>
      <c r="M496" t="s">
        <v>7168</v>
      </c>
      <c r="N496" t="s">
        <v>7168</v>
      </c>
      <c r="O496" t="s">
        <v>7471</v>
      </c>
    </row>
    <row r="497" spans="1:15" x14ac:dyDescent="0.2">
      <c r="A497" s="27" t="s">
        <v>7130</v>
      </c>
      <c r="B497" s="4" t="s">
        <v>7134</v>
      </c>
      <c r="C497" s="2" t="s">
        <v>68</v>
      </c>
      <c r="D497" s="2" t="s">
        <v>7456</v>
      </c>
      <c r="E497" s="4" t="s">
        <v>7128</v>
      </c>
      <c r="F497" s="2" t="s">
        <v>77</v>
      </c>
      <c r="G497" s="2" t="s">
        <v>7132</v>
      </c>
      <c r="H497" s="2" t="s">
        <v>7288</v>
      </c>
      <c r="I497" s="2" t="s">
        <v>7501</v>
      </c>
      <c r="J497" s="2"/>
      <c r="K497" t="s">
        <v>7457</v>
      </c>
      <c r="L497" s="11" t="s">
        <v>7458</v>
      </c>
      <c r="M497" t="s">
        <v>7168</v>
      </c>
      <c r="N497" t="s">
        <v>7168</v>
      </c>
      <c r="O497" t="s">
        <v>7472</v>
      </c>
    </row>
    <row r="498" spans="1:15" x14ac:dyDescent="0.2">
      <c r="A498" s="27" t="s">
        <v>7121</v>
      </c>
      <c r="B498" s="4" t="s">
        <v>7125</v>
      </c>
      <c r="C498" s="2" t="s">
        <v>68</v>
      </c>
      <c r="D498" s="2" t="s">
        <v>7459</v>
      </c>
      <c r="E498" s="4" t="s">
        <v>7120</v>
      </c>
      <c r="F498" s="2" t="s">
        <v>77</v>
      </c>
      <c r="G498" s="32" t="s">
        <v>603</v>
      </c>
      <c r="H498" s="32" t="s">
        <v>7179</v>
      </c>
      <c r="I498" s="32" t="s">
        <v>7497</v>
      </c>
      <c r="J498" s="32"/>
      <c r="K498" s="33" t="s">
        <v>7211</v>
      </c>
      <c r="L498" s="32" t="s">
        <v>7387</v>
      </c>
      <c r="M498" t="s">
        <v>7165</v>
      </c>
      <c r="N498" t="s">
        <v>7165</v>
      </c>
      <c r="O498" t="s">
        <v>7463</v>
      </c>
    </row>
  </sheetData>
  <autoFilter ref="A1:O498" xr:uid="{5FE7A037-B82E-4666-8756-5CDD550892B2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8C38-1CAE-4363-8E6F-4A0A0D9322E4}">
  <dimension ref="A1:Z107"/>
  <sheetViews>
    <sheetView workbookViewId="0">
      <selection activeCell="T11" sqref="T11"/>
    </sheetView>
  </sheetViews>
  <sheetFormatPr baseColWidth="10" defaultColWidth="8.83203125" defaultRowHeight="15" x14ac:dyDescent="0.2"/>
  <cols>
    <col min="8" max="9" width="10.5" customWidth="1"/>
  </cols>
  <sheetData>
    <row r="1" spans="1:26" x14ac:dyDescent="0.2">
      <c r="A1" s="17" t="s">
        <v>7173</v>
      </c>
      <c r="B1" s="17" t="s">
        <v>7167</v>
      </c>
      <c r="C1" s="17" t="s">
        <v>7170</v>
      </c>
      <c r="D1" s="17" t="s">
        <v>60</v>
      </c>
      <c r="E1" s="17" t="s">
        <v>7165</v>
      </c>
      <c r="F1" s="17" t="s">
        <v>7169</v>
      </c>
      <c r="G1" s="17" t="s">
        <v>7162</v>
      </c>
      <c r="H1" s="17" t="s">
        <v>7168</v>
      </c>
      <c r="I1" s="17" t="s">
        <v>7175</v>
      </c>
      <c r="K1" s="17" t="s">
        <v>7173</v>
      </c>
      <c r="L1" s="29" t="s">
        <v>7289</v>
      </c>
      <c r="O1" t="s">
        <v>7167</v>
      </c>
      <c r="P1" t="s">
        <v>7170</v>
      </c>
      <c r="Q1" t="s">
        <v>60</v>
      </c>
      <c r="R1" t="s">
        <v>7165</v>
      </c>
      <c r="S1" t="s">
        <v>7169</v>
      </c>
      <c r="T1" t="s">
        <v>7162</v>
      </c>
      <c r="U1" t="s">
        <v>7168</v>
      </c>
      <c r="V1" t="s">
        <v>7180</v>
      </c>
      <c r="Y1" t="s">
        <v>7182</v>
      </c>
      <c r="Z1" t="s">
        <v>7172</v>
      </c>
    </row>
    <row r="2" spans="1:26" x14ac:dyDescent="0.2">
      <c r="A2" s="16" t="s">
        <v>4492</v>
      </c>
      <c r="E2">
        <v>1</v>
      </c>
      <c r="G2">
        <v>3</v>
      </c>
      <c r="I2">
        <v>4</v>
      </c>
      <c r="J2" s="19" t="s">
        <v>7290</v>
      </c>
      <c r="K2" s="30" t="s">
        <v>7179</v>
      </c>
      <c r="L2">
        <f t="shared" ref="L2:L33" si="0">SUMIF($A$2:$A$105, CONCATENATE("*",K2,":*"),$I$2:$I$105)</f>
        <v>236</v>
      </c>
      <c r="M2" s="40" t="s">
        <v>7291</v>
      </c>
      <c r="N2" t="s">
        <v>603</v>
      </c>
      <c r="O2">
        <f>SUMIF($A$2:$A$106, "*O157:H7*",$B$2:$B$106)</f>
        <v>10</v>
      </c>
      <c r="P2">
        <f>SUMIF($A$2:$A$106, "*O157:H7*",$C$2:$C$106)</f>
        <v>9</v>
      </c>
      <c r="Q2">
        <f>SUMIF($A$2:$A$106, "*O157:H7*",$D$2:$D$106)</f>
        <v>0</v>
      </c>
      <c r="R2">
        <f>SUMIF($A$2:$A$106, "*O157:H7*",$E$2:$E$106)</f>
        <v>198</v>
      </c>
      <c r="S2">
        <f>SUMIF($A$2:$A$106, "*O157:H7*",$F$2:$F$106)</f>
        <v>1</v>
      </c>
      <c r="T2">
        <f>SUMIF($A$2:$A$106, "*O157:H7*",$G$2:$G$106)</f>
        <v>16</v>
      </c>
      <c r="U2">
        <f>SUMIF($A$2:$A$106, "*O157:H7*",$H$2:$H$106)</f>
        <v>2</v>
      </c>
      <c r="V2">
        <f>SUMIF($A$2:$A$106, "*O157:H7*",$I$2:$I$106)</f>
        <v>236</v>
      </c>
      <c r="Y2" s="16" t="s">
        <v>3194</v>
      </c>
      <c r="Z2">
        <v>4</v>
      </c>
    </row>
    <row r="3" spans="1:26" x14ac:dyDescent="0.2">
      <c r="A3" s="16" t="s">
        <v>6764</v>
      </c>
      <c r="D3">
        <v>4</v>
      </c>
      <c r="E3">
        <v>1</v>
      </c>
      <c r="I3">
        <v>5</v>
      </c>
      <c r="J3" s="19"/>
      <c r="K3" s="16" t="s">
        <v>7288</v>
      </c>
      <c r="L3">
        <f t="shared" si="0"/>
        <v>47</v>
      </c>
      <c r="M3" s="40"/>
      <c r="N3" t="s">
        <v>7152</v>
      </c>
      <c r="O3">
        <f>SUMIF($A$2:$A$106, "*O26:*",B2:B106)</f>
        <v>0</v>
      </c>
      <c r="P3">
        <f t="shared" ref="P3:U3" si="1">SUMIF($A$2:$A$106, "*O26*",C2:C106)</f>
        <v>0</v>
      </c>
      <c r="Q3">
        <f t="shared" si="1"/>
        <v>0</v>
      </c>
      <c r="R3">
        <f t="shared" si="1"/>
        <v>1</v>
      </c>
      <c r="S3">
        <f t="shared" si="1"/>
        <v>0</v>
      </c>
      <c r="T3">
        <f t="shared" si="1"/>
        <v>7</v>
      </c>
      <c r="U3">
        <f t="shared" si="1"/>
        <v>0</v>
      </c>
      <c r="V3">
        <f>SUMIF($A$2:$A$106, "*O26:*",I2:I106)</f>
        <v>8</v>
      </c>
      <c r="Y3" s="16" t="s">
        <v>448</v>
      </c>
      <c r="Z3">
        <v>8</v>
      </c>
    </row>
    <row r="4" spans="1:26" x14ac:dyDescent="0.2">
      <c r="A4" s="16" t="s">
        <v>4565</v>
      </c>
      <c r="G4">
        <v>2</v>
      </c>
      <c r="I4">
        <v>2</v>
      </c>
      <c r="J4" s="19"/>
      <c r="K4" s="16" t="s">
        <v>7286</v>
      </c>
      <c r="L4">
        <f t="shared" si="0"/>
        <v>42</v>
      </c>
      <c r="M4" s="40"/>
      <c r="N4" t="s">
        <v>7154</v>
      </c>
      <c r="O4">
        <f>SUMIF($A$2:$A$106, "*O103:*",B2:B106)</f>
        <v>0</v>
      </c>
      <c r="P4">
        <f t="shared" ref="P4:U4" si="2">SUMIF($A$2:$A$106, "*O103*",C2:C106)</f>
        <v>0</v>
      </c>
      <c r="Q4">
        <f t="shared" si="2"/>
        <v>4</v>
      </c>
      <c r="R4">
        <f t="shared" si="2"/>
        <v>2</v>
      </c>
      <c r="S4">
        <f t="shared" si="2"/>
        <v>0</v>
      </c>
      <c r="T4">
        <f t="shared" si="2"/>
        <v>3</v>
      </c>
      <c r="U4">
        <f t="shared" si="2"/>
        <v>0</v>
      </c>
      <c r="V4">
        <f>SUMIF($A$2:$A$106, "*O103:*",I2:I106)</f>
        <v>9</v>
      </c>
      <c r="Y4" s="16" t="s">
        <v>390</v>
      </c>
      <c r="Z4">
        <v>3</v>
      </c>
    </row>
    <row r="5" spans="1:26" x14ac:dyDescent="0.2">
      <c r="A5" s="16" t="s">
        <v>3194</v>
      </c>
      <c r="E5">
        <v>6</v>
      </c>
      <c r="G5">
        <v>1</v>
      </c>
      <c r="I5">
        <v>7</v>
      </c>
      <c r="J5" s="19"/>
      <c r="K5" s="16" t="s">
        <v>7244</v>
      </c>
      <c r="L5">
        <f t="shared" si="0"/>
        <v>26</v>
      </c>
      <c r="M5" s="40"/>
      <c r="N5" t="s">
        <v>7156</v>
      </c>
      <c r="O5">
        <f>SUMIF($A$2:$A$106, "*O111:*",B2:B106)</f>
        <v>0</v>
      </c>
      <c r="P5">
        <f t="shared" ref="P5:U5" si="3">SUMIF($A$2:$A$106, "*O111*",C2:C106)</f>
        <v>0</v>
      </c>
      <c r="Q5">
        <f t="shared" si="3"/>
        <v>0</v>
      </c>
      <c r="R5">
        <f t="shared" si="3"/>
        <v>0</v>
      </c>
      <c r="S5">
        <f t="shared" si="3"/>
        <v>0</v>
      </c>
      <c r="T5">
        <f t="shared" si="3"/>
        <v>10</v>
      </c>
      <c r="U5">
        <f t="shared" si="3"/>
        <v>0</v>
      </c>
      <c r="V5">
        <f>SUMIF($A$2:$A$106, "*O111:*",I2:I106)</f>
        <v>10</v>
      </c>
      <c r="Y5" s="16" t="s">
        <v>3392</v>
      </c>
      <c r="Z5">
        <v>2</v>
      </c>
    </row>
    <row r="6" spans="1:26" x14ac:dyDescent="0.2">
      <c r="A6" s="16" t="s">
        <v>372</v>
      </c>
      <c r="E6">
        <v>2</v>
      </c>
      <c r="I6">
        <v>2</v>
      </c>
      <c r="J6" s="19"/>
      <c r="K6" s="16" t="s">
        <v>7281</v>
      </c>
      <c r="L6">
        <f t="shared" si="0"/>
        <v>21</v>
      </c>
      <c r="M6" s="40"/>
      <c r="N6" t="s">
        <v>7158</v>
      </c>
      <c r="O6">
        <f>SUMIF($A$2:$A$106, "*O121:*",B2:B106)</f>
        <v>0</v>
      </c>
      <c r="P6">
        <f t="shared" ref="P6:U6" si="4">SUMIF($A$2:$A$106, "*O121*",C2:C106)</f>
        <v>0</v>
      </c>
      <c r="Q6">
        <f t="shared" si="4"/>
        <v>10</v>
      </c>
      <c r="R6">
        <f t="shared" si="4"/>
        <v>3</v>
      </c>
      <c r="S6">
        <f t="shared" si="4"/>
        <v>0</v>
      </c>
      <c r="T6">
        <f t="shared" si="4"/>
        <v>5</v>
      </c>
      <c r="U6">
        <f t="shared" si="4"/>
        <v>0</v>
      </c>
      <c r="V6">
        <f>SUMIF($A$2:$A$106, "*O121:*",I2:I106)</f>
        <v>18</v>
      </c>
      <c r="Y6" s="16" t="s">
        <v>6363</v>
      </c>
      <c r="Z6">
        <v>1</v>
      </c>
    </row>
    <row r="7" spans="1:26" x14ac:dyDescent="0.2">
      <c r="A7" s="16" t="s">
        <v>5461</v>
      </c>
      <c r="E7">
        <v>3</v>
      </c>
      <c r="I7">
        <v>3</v>
      </c>
      <c r="J7" s="19" t="s">
        <v>7290</v>
      </c>
      <c r="K7" s="30" t="s">
        <v>7158</v>
      </c>
      <c r="L7">
        <f t="shared" si="0"/>
        <v>18</v>
      </c>
      <c r="M7" s="40"/>
      <c r="N7" t="s">
        <v>7160</v>
      </c>
      <c r="O7">
        <f>SUMIF($A$2:$A$106, "*O145:*",B2:B106)</f>
        <v>0</v>
      </c>
      <c r="P7">
        <f t="shared" ref="P7:U7" si="5">SUMIF($A$2:$A$106, "*O145*",C2:C106)</f>
        <v>0</v>
      </c>
      <c r="Q7">
        <f t="shared" si="5"/>
        <v>0</v>
      </c>
      <c r="R7">
        <f t="shared" si="5"/>
        <v>0</v>
      </c>
      <c r="S7">
        <f t="shared" si="5"/>
        <v>0</v>
      </c>
      <c r="T7">
        <f t="shared" si="5"/>
        <v>3</v>
      </c>
      <c r="U7">
        <f t="shared" si="5"/>
        <v>0</v>
      </c>
      <c r="V7">
        <f>SUMIF($A$2:$A$106, "*O145:*",I2:I106)</f>
        <v>3</v>
      </c>
      <c r="Y7" s="16" t="s">
        <v>3635</v>
      </c>
      <c r="Z7">
        <v>2</v>
      </c>
    </row>
    <row r="8" spans="1:26" x14ac:dyDescent="0.2">
      <c r="A8" s="16" t="s">
        <v>6945</v>
      </c>
      <c r="G8">
        <v>2</v>
      </c>
      <c r="I8">
        <v>2</v>
      </c>
      <c r="J8" s="19"/>
      <c r="K8" s="16" t="s">
        <v>7235</v>
      </c>
      <c r="L8">
        <f t="shared" si="0"/>
        <v>12</v>
      </c>
      <c r="N8" s="16" t="s">
        <v>7286</v>
      </c>
      <c r="O8">
        <f>SUMIF($A$2:$A$106, "*O91:*",B2:B106)</f>
        <v>0</v>
      </c>
      <c r="P8">
        <f t="shared" ref="P8:U8" si="6">SUMIF($A$2:$A$106, "*O91:*",C2:C106)</f>
        <v>0</v>
      </c>
      <c r="Q8">
        <f t="shared" si="6"/>
        <v>0</v>
      </c>
      <c r="R8">
        <f t="shared" si="6"/>
        <v>41</v>
      </c>
      <c r="S8">
        <f t="shared" si="6"/>
        <v>0</v>
      </c>
      <c r="T8">
        <f t="shared" si="6"/>
        <v>1</v>
      </c>
      <c r="U8">
        <f t="shared" si="6"/>
        <v>0</v>
      </c>
      <c r="V8">
        <f>SUMIF($A$2:$A$106, "*O91:*",I2:I106)</f>
        <v>42</v>
      </c>
      <c r="Y8" s="16" t="s">
        <v>465</v>
      </c>
      <c r="Z8">
        <v>1</v>
      </c>
    </row>
    <row r="9" spans="1:26" x14ac:dyDescent="0.2">
      <c r="A9" s="16" t="s">
        <v>7110</v>
      </c>
      <c r="G9">
        <v>1</v>
      </c>
      <c r="I9">
        <v>1</v>
      </c>
      <c r="J9" s="19"/>
      <c r="K9" s="16" t="s">
        <v>7248</v>
      </c>
      <c r="L9">
        <f t="shared" si="0"/>
        <v>12</v>
      </c>
      <c r="N9" s="16" t="s">
        <v>7244</v>
      </c>
      <c r="O9">
        <f>SUMIF($A$2:$A$106, "*O128:*",B2:B106)</f>
        <v>0</v>
      </c>
      <c r="P9">
        <f t="shared" ref="P9:U9" si="7">SUMIF($A$2:$A$106, "*O128:*",C2:C106)</f>
        <v>0</v>
      </c>
      <c r="Q9">
        <f t="shared" si="7"/>
        <v>0</v>
      </c>
      <c r="R9">
        <f t="shared" si="7"/>
        <v>24</v>
      </c>
      <c r="S9">
        <f t="shared" si="7"/>
        <v>0</v>
      </c>
      <c r="T9">
        <f t="shared" si="7"/>
        <v>2</v>
      </c>
      <c r="U9">
        <f t="shared" si="7"/>
        <v>0</v>
      </c>
      <c r="V9">
        <f>SUMIF($A$2:$A$106, "*O128:*",I2:I106)</f>
        <v>26</v>
      </c>
      <c r="Y9" s="16" t="s">
        <v>208</v>
      </c>
      <c r="Z9">
        <v>1</v>
      </c>
    </row>
    <row r="10" spans="1:26" x14ac:dyDescent="0.2">
      <c r="A10" s="16" t="s">
        <v>4511</v>
      </c>
      <c r="G10">
        <v>5</v>
      </c>
      <c r="I10">
        <v>5</v>
      </c>
      <c r="J10" s="19"/>
      <c r="K10" s="16" t="s">
        <v>7259</v>
      </c>
      <c r="L10">
        <f t="shared" si="0"/>
        <v>11</v>
      </c>
      <c r="N10" s="16" t="s">
        <v>7281</v>
      </c>
      <c r="O10">
        <f>SUMIF($A$2:$A$106, "*O8:*",B2:B106)</f>
        <v>0</v>
      </c>
      <c r="P10">
        <f t="shared" ref="P10:U10" si="8">SUMIF($A$2:$A$106, "*O8:*",C2:C106)</f>
        <v>0</v>
      </c>
      <c r="Q10">
        <f t="shared" si="8"/>
        <v>9</v>
      </c>
      <c r="R10">
        <f t="shared" si="8"/>
        <v>9</v>
      </c>
      <c r="S10">
        <f t="shared" si="8"/>
        <v>1</v>
      </c>
      <c r="T10">
        <f t="shared" si="8"/>
        <v>2</v>
      </c>
      <c r="U10">
        <f t="shared" si="8"/>
        <v>0</v>
      </c>
      <c r="V10">
        <f>SUMIF($A$2:$A$106, "*O8:*",I2:I106)</f>
        <v>21</v>
      </c>
      <c r="Y10" s="16" t="s">
        <v>6379</v>
      </c>
      <c r="Z10">
        <v>1</v>
      </c>
    </row>
    <row r="11" spans="1:26" x14ac:dyDescent="0.2">
      <c r="A11" s="16" t="s">
        <v>7001</v>
      </c>
      <c r="G11">
        <v>2</v>
      </c>
      <c r="I11">
        <v>2</v>
      </c>
      <c r="J11" s="19" t="s">
        <v>7290</v>
      </c>
      <c r="K11" s="30" t="s">
        <v>7156</v>
      </c>
      <c r="L11">
        <f t="shared" si="0"/>
        <v>10</v>
      </c>
      <c r="N11" s="16" t="s">
        <v>7235</v>
      </c>
      <c r="O11">
        <f>SUMIF($A$2:$A$106, "*O113:*",B2:B106)</f>
        <v>0</v>
      </c>
      <c r="P11">
        <f t="shared" ref="P11:V11" si="9">SUMIF($A$2:$A$106, "*O113:*",C2:C106)</f>
        <v>0</v>
      </c>
      <c r="Q11">
        <f t="shared" si="9"/>
        <v>0</v>
      </c>
      <c r="R11">
        <f t="shared" si="9"/>
        <v>10</v>
      </c>
      <c r="S11">
        <f t="shared" si="9"/>
        <v>0</v>
      </c>
      <c r="T11">
        <f t="shared" si="9"/>
        <v>2</v>
      </c>
      <c r="U11">
        <f t="shared" si="9"/>
        <v>0</v>
      </c>
      <c r="V11">
        <f t="shared" si="9"/>
        <v>12</v>
      </c>
      <c r="Y11" s="16" t="s">
        <v>6185</v>
      </c>
      <c r="Z11">
        <v>1</v>
      </c>
    </row>
    <row r="12" spans="1:26" x14ac:dyDescent="0.2">
      <c r="A12" s="16" t="s">
        <v>4872</v>
      </c>
      <c r="E12">
        <v>7</v>
      </c>
      <c r="G12">
        <v>1</v>
      </c>
      <c r="I12">
        <v>8</v>
      </c>
      <c r="J12" s="19" t="s">
        <v>7290</v>
      </c>
      <c r="K12" s="30" t="s">
        <v>7154</v>
      </c>
      <c r="L12">
        <f t="shared" si="0"/>
        <v>9</v>
      </c>
      <c r="N12" s="16" t="s">
        <v>7248</v>
      </c>
      <c r="O12">
        <f>SUMIF($A$2:$A$106, "*O146:*",B2:B106)</f>
        <v>0</v>
      </c>
      <c r="P12">
        <f t="shared" ref="P12:V12" si="10">SUMIF($A$2:$A$106, "*O146:*",C2:C106)</f>
        <v>0</v>
      </c>
      <c r="Q12">
        <f t="shared" si="10"/>
        <v>0</v>
      </c>
      <c r="R12">
        <f t="shared" si="10"/>
        <v>8</v>
      </c>
      <c r="S12">
        <f t="shared" si="10"/>
        <v>0</v>
      </c>
      <c r="T12">
        <f t="shared" si="10"/>
        <v>2</v>
      </c>
      <c r="U12">
        <f t="shared" si="10"/>
        <v>2</v>
      </c>
      <c r="V12">
        <f t="shared" si="10"/>
        <v>12</v>
      </c>
      <c r="Y12" s="16" t="s">
        <v>4039</v>
      </c>
      <c r="Z12">
        <v>1</v>
      </c>
    </row>
    <row r="13" spans="1:26" x14ac:dyDescent="0.2">
      <c r="A13" s="16" t="s">
        <v>3261</v>
      </c>
      <c r="E13">
        <v>3</v>
      </c>
      <c r="G13">
        <v>1</v>
      </c>
      <c r="I13">
        <v>4</v>
      </c>
      <c r="J13" s="19"/>
      <c r="K13" s="16" t="s">
        <v>7232</v>
      </c>
      <c r="L13">
        <f t="shared" si="0"/>
        <v>9</v>
      </c>
      <c r="N13" s="16" t="s">
        <v>7259</v>
      </c>
      <c r="O13" s="31">
        <f>SUMIF($A$2:$A$106, "*O174:*",B2:B106)</f>
        <v>0</v>
      </c>
      <c r="P13" s="31">
        <f t="shared" ref="P13:V13" si="11">SUMIF($A$2:$A$106, "*O174:*",C2:C106)</f>
        <v>0</v>
      </c>
      <c r="Q13" s="31">
        <f t="shared" si="11"/>
        <v>0</v>
      </c>
      <c r="R13" s="31">
        <f t="shared" si="11"/>
        <v>9</v>
      </c>
      <c r="S13" s="31">
        <f t="shared" si="11"/>
        <v>1</v>
      </c>
      <c r="T13" s="31">
        <f t="shared" si="11"/>
        <v>1</v>
      </c>
      <c r="U13" s="31">
        <f t="shared" si="11"/>
        <v>0</v>
      </c>
      <c r="V13" s="31">
        <f t="shared" si="11"/>
        <v>11</v>
      </c>
      <c r="Y13" s="16" t="s">
        <v>183</v>
      </c>
      <c r="Z13">
        <v>9</v>
      </c>
    </row>
    <row r="14" spans="1:26" x14ac:dyDescent="0.2">
      <c r="A14" s="16" t="s">
        <v>5322</v>
      </c>
      <c r="E14">
        <v>1</v>
      </c>
      <c r="I14">
        <v>1</v>
      </c>
      <c r="J14" s="19"/>
      <c r="K14" s="16" t="s">
        <v>7252</v>
      </c>
      <c r="L14">
        <f t="shared" si="0"/>
        <v>8</v>
      </c>
      <c r="N14" t="s">
        <v>7162</v>
      </c>
      <c r="O14" s="31">
        <f>B107-SUM(O2:O13)</f>
        <v>3</v>
      </c>
      <c r="P14" s="31">
        <f t="shared" ref="P14:U14" si="12">C107-SUM(P2:P13)</f>
        <v>0</v>
      </c>
      <c r="Q14" s="31">
        <f t="shared" si="12"/>
        <v>6</v>
      </c>
      <c r="R14" s="31">
        <f t="shared" si="12"/>
        <v>115</v>
      </c>
      <c r="S14" s="31">
        <f t="shared" si="12"/>
        <v>15</v>
      </c>
      <c r="T14" s="31">
        <f t="shared" si="12"/>
        <v>38</v>
      </c>
      <c r="U14" s="31">
        <f t="shared" si="12"/>
        <v>1</v>
      </c>
      <c r="V14" s="31">
        <f>586-SUM(V2:V13)</f>
        <v>178</v>
      </c>
      <c r="Y14" s="16" t="s">
        <v>6128</v>
      </c>
      <c r="Z14">
        <v>1</v>
      </c>
    </row>
    <row r="15" spans="1:26" x14ac:dyDescent="0.2">
      <c r="A15" s="16" t="s">
        <v>7092</v>
      </c>
      <c r="G15">
        <v>1</v>
      </c>
      <c r="I15">
        <v>1</v>
      </c>
      <c r="J15" s="19" t="s">
        <v>7290</v>
      </c>
      <c r="K15" s="30" t="s">
        <v>7152</v>
      </c>
      <c r="L15">
        <f t="shared" si="0"/>
        <v>8</v>
      </c>
      <c r="N15" t="s">
        <v>7181</v>
      </c>
      <c r="O15" s="31">
        <f>SUM(O2:O14)</f>
        <v>13</v>
      </c>
      <c r="P15" s="31">
        <f t="shared" ref="P15:V15" si="13">SUM(P2:P14)</f>
        <v>9</v>
      </c>
      <c r="Q15" s="31">
        <f t="shared" si="13"/>
        <v>29</v>
      </c>
      <c r="R15" s="31">
        <f t="shared" si="13"/>
        <v>420</v>
      </c>
      <c r="S15" s="31">
        <f t="shared" si="13"/>
        <v>18</v>
      </c>
      <c r="T15" s="31">
        <f t="shared" si="13"/>
        <v>92</v>
      </c>
      <c r="U15" s="31">
        <f t="shared" si="13"/>
        <v>5</v>
      </c>
      <c r="V15" s="31">
        <f t="shared" si="13"/>
        <v>586</v>
      </c>
      <c r="Y15" s="16" t="s">
        <v>3165</v>
      </c>
      <c r="Z15">
        <v>1</v>
      </c>
    </row>
    <row r="16" spans="1:26" x14ac:dyDescent="0.2">
      <c r="A16" s="16" t="s">
        <v>5551</v>
      </c>
      <c r="E16">
        <v>2</v>
      </c>
      <c r="I16">
        <v>2</v>
      </c>
      <c r="J16" s="19"/>
      <c r="K16" s="16" t="s">
        <v>7275</v>
      </c>
      <c r="L16">
        <f t="shared" si="0"/>
        <v>8</v>
      </c>
      <c r="Y16" s="16" t="s">
        <v>353</v>
      </c>
      <c r="Z16">
        <v>3</v>
      </c>
    </row>
    <row r="17" spans="1:26" x14ac:dyDescent="0.2">
      <c r="A17" s="16" t="s">
        <v>4364</v>
      </c>
      <c r="G17">
        <v>1</v>
      </c>
      <c r="I17">
        <v>1</v>
      </c>
      <c r="J17" s="19"/>
      <c r="K17" s="16" t="s">
        <v>7279</v>
      </c>
      <c r="L17">
        <f t="shared" si="0"/>
        <v>7</v>
      </c>
      <c r="N17" t="s">
        <v>7142</v>
      </c>
      <c r="O17" t="s">
        <v>7167</v>
      </c>
      <c r="P17" t="s">
        <v>7170</v>
      </c>
      <c r="Q17" t="s">
        <v>60</v>
      </c>
      <c r="R17" t="s">
        <v>7165</v>
      </c>
      <c r="S17" t="s">
        <v>7169</v>
      </c>
      <c r="T17" t="s">
        <v>7162</v>
      </c>
      <c r="U17" t="s">
        <v>7168</v>
      </c>
      <c r="V17" t="s">
        <v>7351</v>
      </c>
      <c r="Y17" s="16" t="s">
        <v>4502</v>
      </c>
      <c r="Z17">
        <v>1</v>
      </c>
    </row>
    <row r="18" spans="1:26" x14ac:dyDescent="0.2">
      <c r="A18" s="16" t="s">
        <v>5613</v>
      </c>
      <c r="E18">
        <v>1</v>
      </c>
      <c r="I18">
        <v>1</v>
      </c>
      <c r="J18" s="19"/>
      <c r="K18" s="16" t="s">
        <v>7262</v>
      </c>
      <c r="L18">
        <f t="shared" si="0"/>
        <v>6</v>
      </c>
      <c r="N18" t="s">
        <v>603</v>
      </c>
      <c r="O18">
        <v>10</v>
      </c>
      <c r="P18">
        <v>9</v>
      </c>
      <c r="Q18" t="s">
        <v>57</v>
      </c>
      <c r="R18">
        <v>198</v>
      </c>
      <c r="S18">
        <v>1</v>
      </c>
      <c r="T18">
        <v>16</v>
      </c>
      <c r="U18">
        <v>2</v>
      </c>
      <c r="V18">
        <v>236</v>
      </c>
      <c r="Y18" s="16" t="s">
        <v>3702</v>
      </c>
      <c r="Z18">
        <v>2</v>
      </c>
    </row>
    <row r="19" spans="1:26" x14ac:dyDescent="0.2">
      <c r="A19" s="16" t="s">
        <v>7013</v>
      </c>
      <c r="G19">
        <v>1</v>
      </c>
      <c r="I19">
        <v>1</v>
      </c>
      <c r="J19" s="19"/>
      <c r="K19" s="16" t="s">
        <v>7274</v>
      </c>
      <c r="L19">
        <f t="shared" si="0"/>
        <v>6</v>
      </c>
      <c r="N19" t="s">
        <v>7152</v>
      </c>
      <c r="O19" t="s">
        <v>57</v>
      </c>
      <c r="P19" t="s">
        <v>57</v>
      </c>
      <c r="Q19" t="s">
        <v>57</v>
      </c>
      <c r="R19">
        <v>1</v>
      </c>
      <c r="S19" t="s">
        <v>57</v>
      </c>
      <c r="T19">
        <v>7</v>
      </c>
      <c r="U19" t="s">
        <v>57</v>
      </c>
      <c r="V19">
        <v>8</v>
      </c>
      <c r="Y19" s="16" t="s">
        <v>7175</v>
      </c>
      <c r="Z19">
        <v>42</v>
      </c>
    </row>
    <row r="20" spans="1:26" x14ac:dyDescent="0.2">
      <c r="A20" s="16" t="s">
        <v>5058</v>
      </c>
      <c r="E20">
        <v>3</v>
      </c>
      <c r="I20">
        <v>3</v>
      </c>
      <c r="J20" s="19"/>
      <c r="K20" s="16" t="s">
        <v>7245</v>
      </c>
      <c r="L20">
        <f t="shared" si="0"/>
        <v>5</v>
      </c>
      <c r="N20" t="s">
        <v>7154</v>
      </c>
      <c r="O20" t="s">
        <v>57</v>
      </c>
      <c r="P20" t="s">
        <v>57</v>
      </c>
      <c r="Q20">
        <v>4</v>
      </c>
      <c r="R20">
        <v>2</v>
      </c>
      <c r="S20" t="s">
        <v>57</v>
      </c>
      <c r="T20">
        <v>3</v>
      </c>
      <c r="U20" t="s">
        <v>57</v>
      </c>
      <c r="V20">
        <v>9</v>
      </c>
    </row>
    <row r="21" spans="1:26" x14ac:dyDescent="0.2">
      <c r="A21" s="16" t="s">
        <v>61</v>
      </c>
      <c r="D21">
        <v>10</v>
      </c>
      <c r="G21">
        <v>4</v>
      </c>
      <c r="I21">
        <v>14</v>
      </c>
      <c r="J21" s="19"/>
      <c r="K21" s="16" t="s">
        <v>7260</v>
      </c>
      <c r="L21">
        <f t="shared" si="0"/>
        <v>5</v>
      </c>
      <c r="N21" t="s">
        <v>7156</v>
      </c>
      <c r="O21" t="s">
        <v>57</v>
      </c>
      <c r="P21" t="s">
        <v>57</v>
      </c>
      <c r="Q21" t="s">
        <v>57</v>
      </c>
      <c r="R21" t="s">
        <v>57</v>
      </c>
      <c r="S21" t="s">
        <v>57</v>
      </c>
      <c r="T21">
        <v>10</v>
      </c>
      <c r="U21" t="s">
        <v>57</v>
      </c>
      <c r="V21">
        <v>10</v>
      </c>
    </row>
    <row r="22" spans="1:26" x14ac:dyDescent="0.2">
      <c r="A22" s="16" t="s">
        <v>7024</v>
      </c>
      <c r="G22">
        <v>1</v>
      </c>
      <c r="I22">
        <v>1</v>
      </c>
      <c r="J22" s="19"/>
      <c r="K22" s="16" t="s">
        <v>7265</v>
      </c>
      <c r="L22">
        <f t="shared" si="0"/>
        <v>5</v>
      </c>
      <c r="N22" t="s">
        <v>7158</v>
      </c>
      <c r="O22" t="s">
        <v>57</v>
      </c>
      <c r="P22" t="s">
        <v>57</v>
      </c>
      <c r="Q22">
        <v>10</v>
      </c>
      <c r="R22">
        <v>3</v>
      </c>
      <c r="S22" t="s">
        <v>57</v>
      </c>
      <c r="T22">
        <v>5</v>
      </c>
      <c r="U22" t="s">
        <v>57</v>
      </c>
      <c r="V22">
        <v>18</v>
      </c>
    </row>
    <row r="23" spans="1:26" x14ac:dyDescent="0.2">
      <c r="A23" s="16" t="s">
        <v>431</v>
      </c>
      <c r="E23">
        <v>1</v>
      </c>
      <c r="I23">
        <v>1</v>
      </c>
      <c r="J23" s="19"/>
      <c r="K23" s="16" t="s">
        <v>7280</v>
      </c>
      <c r="L23">
        <f t="shared" si="0"/>
        <v>5</v>
      </c>
      <c r="N23" t="s">
        <v>7160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>
        <v>3</v>
      </c>
      <c r="U23" t="s">
        <v>57</v>
      </c>
      <c r="V23">
        <v>3</v>
      </c>
    </row>
    <row r="24" spans="1:26" x14ac:dyDescent="0.2">
      <c r="A24" s="16" t="s">
        <v>3863</v>
      </c>
      <c r="E24">
        <v>1</v>
      </c>
      <c r="I24">
        <v>1</v>
      </c>
      <c r="J24" s="19"/>
      <c r="K24" s="16" t="s">
        <v>7258</v>
      </c>
      <c r="L24">
        <f t="shared" si="0"/>
        <v>4</v>
      </c>
      <c r="N24" t="s">
        <v>7286</v>
      </c>
      <c r="O24" t="s">
        <v>57</v>
      </c>
      <c r="P24" t="s">
        <v>57</v>
      </c>
      <c r="Q24" t="s">
        <v>57</v>
      </c>
      <c r="R24">
        <v>41</v>
      </c>
      <c r="S24" t="s">
        <v>57</v>
      </c>
      <c r="T24">
        <v>1</v>
      </c>
      <c r="U24" t="s">
        <v>57</v>
      </c>
      <c r="V24">
        <v>42</v>
      </c>
    </row>
    <row r="25" spans="1:26" x14ac:dyDescent="0.2">
      <c r="A25" s="16" t="s">
        <v>4528</v>
      </c>
      <c r="G25">
        <v>1</v>
      </c>
      <c r="I25">
        <v>1</v>
      </c>
      <c r="J25" s="19"/>
      <c r="K25" s="16" t="s">
        <v>7234</v>
      </c>
      <c r="L25">
        <f t="shared" si="0"/>
        <v>3</v>
      </c>
      <c r="N25" t="s">
        <v>7244</v>
      </c>
      <c r="O25" t="s">
        <v>57</v>
      </c>
      <c r="P25" t="s">
        <v>57</v>
      </c>
      <c r="Q25" t="s">
        <v>57</v>
      </c>
      <c r="R25">
        <v>24</v>
      </c>
      <c r="S25" t="s">
        <v>57</v>
      </c>
      <c r="T25">
        <v>2</v>
      </c>
      <c r="U25" t="s">
        <v>57</v>
      </c>
      <c r="V25">
        <v>26</v>
      </c>
    </row>
    <row r="26" spans="1:26" x14ac:dyDescent="0.2">
      <c r="A26" s="16" t="s">
        <v>7067</v>
      </c>
      <c r="G26">
        <v>1</v>
      </c>
      <c r="I26">
        <v>1</v>
      </c>
      <c r="J26" s="19" t="s">
        <v>7290</v>
      </c>
      <c r="K26" s="30" t="s">
        <v>7160</v>
      </c>
      <c r="L26">
        <f t="shared" si="0"/>
        <v>3</v>
      </c>
      <c r="N26" t="s">
        <v>7281</v>
      </c>
      <c r="O26" t="s">
        <v>57</v>
      </c>
      <c r="P26" t="s">
        <v>57</v>
      </c>
      <c r="Q26">
        <v>9</v>
      </c>
      <c r="R26">
        <v>9</v>
      </c>
      <c r="S26">
        <v>1</v>
      </c>
      <c r="T26">
        <v>2</v>
      </c>
      <c r="U26" t="s">
        <v>57</v>
      </c>
      <c r="V26">
        <v>21</v>
      </c>
    </row>
    <row r="27" spans="1:26" x14ac:dyDescent="0.2">
      <c r="A27" s="16" t="s">
        <v>448</v>
      </c>
      <c r="E27">
        <v>24</v>
      </c>
      <c r="G27">
        <v>2</v>
      </c>
      <c r="I27">
        <v>26</v>
      </c>
      <c r="J27" s="19"/>
      <c r="K27" s="16" t="s">
        <v>7254</v>
      </c>
      <c r="L27">
        <f t="shared" si="0"/>
        <v>3</v>
      </c>
      <c r="N27" t="s">
        <v>7235</v>
      </c>
      <c r="O27" t="s">
        <v>57</v>
      </c>
      <c r="P27" t="s">
        <v>57</v>
      </c>
      <c r="Q27" t="s">
        <v>57</v>
      </c>
      <c r="R27">
        <v>10</v>
      </c>
      <c r="S27" t="s">
        <v>57</v>
      </c>
      <c r="T27">
        <v>2</v>
      </c>
      <c r="U27" t="s">
        <v>57</v>
      </c>
      <c r="V27">
        <v>12</v>
      </c>
    </row>
    <row r="28" spans="1:26" x14ac:dyDescent="0.2">
      <c r="A28" s="16" t="s">
        <v>3210</v>
      </c>
      <c r="E28">
        <v>4</v>
      </c>
      <c r="F28">
        <v>1</v>
      </c>
      <c r="I28">
        <v>5</v>
      </c>
      <c r="J28" s="19"/>
      <c r="K28" s="16" t="s">
        <v>7256</v>
      </c>
      <c r="L28">
        <f t="shared" si="0"/>
        <v>3</v>
      </c>
      <c r="N28" t="s">
        <v>7248</v>
      </c>
      <c r="O28" t="s">
        <v>57</v>
      </c>
      <c r="P28" t="s">
        <v>57</v>
      </c>
      <c r="Q28" t="s">
        <v>57</v>
      </c>
      <c r="R28">
        <v>8</v>
      </c>
      <c r="S28" t="s">
        <v>57</v>
      </c>
      <c r="T28">
        <v>2</v>
      </c>
      <c r="U28">
        <v>2</v>
      </c>
      <c r="V28">
        <v>12</v>
      </c>
    </row>
    <row r="29" spans="1:26" x14ac:dyDescent="0.2">
      <c r="A29" s="16" t="s">
        <v>4316</v>
      </c>
      <c r="G29">
        <v>2</v>
      </c>
      <c r="I29">
        <v>2</v>
      </c>
      <c r="J29" s="19"/>
      <c r="K29" s="16" t="s">
        <v>7271</v>
      </c>
      <c r="L29">
        <f t="shared" si="0"/>
        <v>3</v>
      </c>
      <c r="N29" t="s">
        <v>7259</v>
      </c>
      <c r="O29" t="s">
        <v>57</v>
      </c>
      <c r="P29" t="s">
        <v>57</v>
      </c>
      <c r="Q29" t="s">
        <v>57</v>
      </c>
      <c r="R29">
        <v>9</v>
      </c>
      <c r="S29">
        <v>1</v>
      </c>
      <c r="T29">
        <v>1</v>
      </c>
      <c r="U29" t="s">
        <v>57</v>
      </c>
      <c r="V29">
        <v>11</v>
      </c>
    </row>
    <row r="30" spans="1:26" x14ac:dyDescent="0.2">
      <c r="A30" s="16" t="s">
        <v>5444</v>
      </c>
      <c r="F30">
        <v>1</v>
      </c>
      <c r="I30">
        <v>1</v>
      </c>
      <c r="J30" s="19"/>
      <c r="K30" s="16" t="s">
        <v>7278</v>
      </c>
      <c r="L30">
        <f t="shared" si="0"/>
        <v>3</v>
      </c>
      <c r="N30" t="s">
        <v>7162</v>
      </c>
      <c r="O30">
        <v>3</v>
      </c>
      <c r="P30" t="s">
        <v>57</v>
      </c>
      <c r="Q30">
        <v>6</v>
      </c>
      <c r="R30">
        <v>115</v>
      </c>
      <c r="S30">
        <v>15</v>
      </c>
      <c r="T30">
        <v>38</v>
      </c>
      <c r="U30">
        <v>1</v>
      </c>
      <c r="V30">
        <v>178</v>
      </c>
    </row>
    <row r="31" spans="1:26" x14ac:dyDescent="0.2">
      <c r="A31" s="16" t="s">
        <v>4223</v>
      </c>
      <c r="G31">
        <v>2</v>
      </c>
      <c r="I31">
        <v>2</v>
      </c>
      <c r="J31" s="19"/>
      <c r="K31" s="16" t="s">
        <v>7233</v>
      </c>
      <c r="L31">
        <f t="shared" si="0"/>
        <v>2</v>
      </c>
      <c r="N31" t="s">
        <v>7352</v>
      </c>
      <c r="O31">
        <v>13</v>
      </c>
      <c r="P31">
        <v>9</v>
      </c>
      <c r="Q31">
        <v>29</v>
      </c>
      <c r="R31">
        <v>420</v>
      </c>
      <c r="S31">
        <v>18</v>
      </c>
      <c r="T31">
        <v>92</v>
      </c>
      <c r="U31">
        <v>5</v>
      </c>
      <c r="V31">
        <v>586</v>
      </c>
    </row>
    <row r="32" spans="1:26" x14ac:dyDescent="0.2">
      <c r="A32" s="16" t="s">
        <v>7017</v>
      </c>
      <c r="G32">
        <v>1</v>
      </c>
      <c r="I32">
        <v>1</v>
      </c>
      <c r="J32" s="19"/>
      <c r="K32" s="16" t="s">
        <v>7236</v>
      </c>
      <c r="L32">
        <f t="shared" si="0"/>
        <v>2</v>
      </c>
    </row>
    <row r="33" spans="1:12" x14ac:dyDescent="0.2">
      <c r="A33" s="16" t="s">
        <v>4337</v>
      </c>
      <c r="G33">
        <v>2</v>
      </c>
      <c r="I33">
        <v>2</v>
      </c>
      <c r="J33" s="19"/>
      <c r="K33" s="16" t="s">
        <v>7237</v>
      </c>
      <c r="L33">
        <f t="shared" si="0"/>
        <v>2</v>
      </c>
    </row>
    <row r="34" spans="1:12" x14ac:dyDescent="0.2">
      <c r="A34" s="16" t="s">
        <v>4900</v>
      </c>
      <c r="H34">
        <v>2</v>
      </c>
      <c r="I34">
        <v>2</v>
      </c>
      <c r="J34" s="19"/>
      <c r="K34" s="16" t="s">
        <v>7238</v>
      </c>
      <c r="L34">
        <f t="shared" ref="L34:L64" si="14">SUMIF($A$2:$A$105, CONCATENATE("*",K34,":*"),$I$2:$I$105)</f>
        <v>2</v>
      </c>
    </row>
    <row r="35" spans="1:12" x14ac:dyDescent="0.2">
      <c r="A35" s="16" t="s">
        <v>390</v>
      </c>
      <c r="E35">
        <v>8</v>
      </c>
      <c r="I35">
        <v>8</v>
      </c>
      <c r="J35" s="19"/>
      <c r="K35" s="16" t="s">
        <v>7246</v>
      </c>
      <c r="L35">
        <f t="shared" si="14"/>
        <v>2</v>
      </c>
    </row>
    <row r="36" spans="1:12" x14ac:dyDescent="0.2">
      <c r="A36" s="16" t="s">
        <v>3475</v>
      </c>
      <c r="E36">
        <v>1</v>
      </c>
      <c r="I36">
        <v>1</v>
      </c>
      <c r="J36" s="19"/>
      <c r="K36" s="16" t="s">
        <v>7253</v>
      </c>
      <c r="L36">
        <f t="shared" si="14"/>
        <v>2</v>
      </c>
    </row>
    <row r="37" spans="1:12" x14ac:dyDescent="0.2">
      <c r="A37" s="16" t="s">
        <v>3823</v>
      </c>
      <c r="E37">
        <v>1</v>
      </c>
      <c r="I37">
        <v>1</v>
      </c>
      <c r="J37" s="19"/>
      <c r="K37" s="16" t="s">
        <v>7255</v>
      </c>
      <c r="L37">
        <f t="shared" si="14"/>
        <v>2</v>
      </c>
    </row>
    <row r="38" spans="1:12" x14ac:dyDescent="0.2">
      <c r="A38" s="16" t="s">
        <v>4326</v>
      </c>
      <c r="G38">
        <v>1</v>
      </c>
      <c r="I38">
        <v>1</v>
      </c>
      <c r="J38" s="19"/>
      <c r="K38" s="16" t="s">
        <v>7261</v>
      </c>
      <c r="L38">
        <f t="shared" si="14"/>
        <v>2</v>
      </c>
    </row>
    <row r="39" spans="1:12" x14ac:dyDescent="0.2">
      <c r="A39" s="16" t="s">
        <v>603</v>
      </c>
      <c r="B39">
        <v>10</v>
      </c>
      <c r="C39">
        <v>9</v>
      </c>
      <c r="E39">
        <v>198</v>
      </c>
      <c r="F39">
        <v>1</v>
      </c>
      <c r="G39">
        <v>16</v>
      </c>
      <c r="H39">
        <v>2</v>
      </c>
      <c r="I39">
        <v>236</v>
      </c>
      <c r="J39" s="19"/>
      <c r="K39" s="16" t="s">
        <v>7267</v>
      </c>
      <c r="L39">
        <f t="shared" si="14"/>
        <v>2</v>
      </c>
    </row>
    <row r="40" spans="1:12" x14ac:dyDescent="0.2">
      <c r="A40" s="16" t="s">
        <v>3150</v>
      </c>
      <c r="D40">
        <v>2</v>
      </c>
      <c r="E40">
        <v>1</v>
      </c>
      <c r="F40">
        <v>5</v>
      </c>
      <c r="I40">
        <v>8</v>
      </c>
      <c r="J40" s="19"/>
      <c r="K40" s="16" t="s">
        <v>7268</v>
      </c>
      <c r="L40">
        <f t="shared" si="14"/>
        <v>2</v>
      </c>
    </row>
    <row r="41" spans="1:12" x14ac:dyDescent="0.2">
      <c r="A41" s="16" t="s">
        <v>5217</v>
      </c>
      <c r="E41">
        <v>2</v>
      </c>
      <c r="I41">
        <v>2</v>
      </c>
      <c r="J41" s="19"/>
      <c r="K41" s="16" t="s">
        <v>7283</v>
      </c>
      <c r="L41">
        <f t="shared" si="14"/>
        <v>2</v>
      </c>
    </row>
    <row r="42" spans="1:12" x14ac:dyDescent="0.2">
      <c r="A42" s="16" t="s">
        <v>4574</v>
      </c>
      <c r="G42">
        <v>3</v>
      </c>
      <c r="I42">
        <v>3</v>
      </c>
      <c r="J42" s="19"/>
      <c r="K42" s="16" t="s">
        <v>7284</v>
      </c>
      <c r="L42">
        <f t="shared" si="14"/>
        <v>2</v>
      </c>
    </row>
    <row r="43" spans="1:12" x14ac:dyDescent="0.2">
      <c r="A43" s="16" t="s">
        <v>4666</v>
      </c>
      <c r="F43">
        <v>2</v>
      </c>
      <c r="I43">
        <v>2</v>
      </c>
      <c r="J43" s="19"/>
      <c r="K43" s="16" t="s">
        <v>7285</v>
      </c>
      <c r="L43">
        <f t="shared" si="14"/>
        <v>2</v>
      </c>
    </row>
    <row r="44" spans="1:12" x14ac:dyDescent="0.2">
      <c r="A44" s="16" t="s">
        <v>311</v>
      </c>
      <c r="B44">
        <v>3</v>
      </c>
      <c r="I44">
        <v>3</v>
      </c>
      <c r="J44" s="19"/>
      <c r="K44" s="16" t="s">
        <v>7287</v>
      </c>
      <c r="L44">
        <f t="shared" si="14"/>
        <v>2</v>
      </c>
    </row>
    <row r="45" spans="1:12" x14ac:dyDescent="0.2">
      <c r="A45" s="16" t="s">
        <v>4372</v>
      </c>
      <c r="G45">
        <v>1</v>
      </c>
      <c r="I45">
        <v>1</v>
      </c>
      <c r="J45" s="19"/>
      <c r="K45" s="16" t="s">
        <v>7239</v>
      </c>
      <c r="L45">
        <f t="shared" si="14"/>
        <v>1</v>
      </c>
    </row>
    <row r="46" spans="1:12" x14ac:dyDescent="0.2">
      <c r="A46" s="16" t="s">
        <v>142</v>
      </c>
      <c r="E46">
        <v>3</v>
      </c>
      <c r="G46">
        <v>1</v>
      </c>
      <c r="I46">
        <v>4</v>
      </c>
      <c r="J46" s="19"/>
      <c r="K46" s="16" t="s">
        <v>7240</v>
      </c>
      <c r="L46">
        <f t="shared" si="14"/>
        <v>1</v>
      </c>
    </row>
    <row r="47" spans="1:12" x14ac:dyDescent="0.2">
      <c r="A47" s="16" t="s">
        <v>268</v>
      </c>
      <c r="E47">
        <v>9</v>
      </c>
      <c r="F47">
        <v>1</v>
      </c>
      <c r="I47">
        <v>10</v>
      </c>
      <c r="J47" s="19"/>
      <c r="K47" s="16" t="s">
        <v>7241</v>
      </c>
      <c r="L47">
        <f t="shared" si="14"/>
        <v>1</v>
      </c>
    </row>
    <row r="48" spans="1:12" x14ac:dyDescent="0.2">
      <c r="A48" s="16" t="s">
        <v>4460</v>
      </c>
      <c r="G48">
        <v>1</v>
      </c>
      <c r="I48">
        <v>1</v>
      </c>
      <c r="J48" s="19"/>
      <c r="K48" s="16" t="s">
        <v>7242</v>
      </c>
      <c r="L48">
        <f t="shared" si="14"/>
        <v>1</v>
      </c>
    </row>
    <row r="49" spans="1:12" x14ac:dyDescent="0.2">
      <c r="A49" s="16" t="s">
        <v>3392</v>
      </c>
      <c r="E49">
        <v>5</v>
      </c>
      <c r="I49">
        <v>5</v>
      </c>
      <c r="J49" s="19"/>
      <c r="K49" s="16" t="s">
        <v>7243</v>
      </c>
      <c r="L49">
        <f t="shared" si="14"/>
        <v>1</v>
      </c>
    </row>
    <row r="50" spans="1:12" x14ac:dyDescent="0.2">
      <c r="A50" s="16" t="s">
        <v>4583</v>
      </c>
      <c r="G50">
        <v>1</v>
      </c>
      <c r="I50">
        <v>1</v>
      </c>
      <c r="J50" s="19"/>
      <c r="K50" s="16" t="s">
        <v>7247</v>
      </c>
      <c r="L50">
        <f t="shared" si="14"/>
        <v>1</v>
      </c>
    </row>
    <row r="51" spans="1:12" x14ac:dyDescent="0.2">
      <c r="A51" s="16" t="s">
        <v>7102</v>
      </c>
      <c r="H51">
        <v>1</v>
      </c>
      <c r="I51">
        <v>1</v>
      </c>
      <c r="J51" s="19"/>
      <c r="K51" s="16" t="s">
        <v>7249</v>
      </c>
      <c r="L51">
        <f t="shared" si="14"/>
        <v>1</v>
      </c>
    </row>
    <row r="52" spans="1:12" x14ac:dyDescent="0.2">
      <c r="A52" s="16" t="s">
        <v>5416</v>
      </c>
      <c r="E52">
        <v>2</v>
      </c>
      <c r="I52">
        <v>2</v>
      </c>
      <c r="J52" s="19"/>
      <c r="K52" s="16" t="s">
        <v>7250</v>
      </c>
      <c r="L52">
        <f t="shared" si="14"/>
        <v>1</v>
      </c>
    </row>
    <row r="53" spans="1:12" x14ac:dyDescent="0.2">
      <c r="A53" s="16" t="s">
        <v>481</v>
      </c>
      <c r="E53">
        <v>4</v>
      </c>
      <c r="I53">
        <v>4</v>
      </c>
      <c r="J53" s="19"/>
      <c r="K53" s="16" t="s">
        <v>7251</v>
      </c>
      <c r="L53">
        <f t="shared" si="14"/>
        <v>1</v>
      </c>
    </row>
    <row r="54" spans="1:12" x14ac:dyDescent="0.2">
      <c r="A54" s="16" t="s">
        <v>3739</v>
      </c>
      <c r="E54">
        <v>1</v>
      </c>
      <c r="I54">
        <v>1</v>
      </c>
      <c r="J54" s="19"/>
      <c r="K54" s="16" t="s">
        <v>7257</v>
      </c>
      <c r="L54">
        <f t="shared" si="14"/>
        <v>1</v>
      </c>
    </row>
    <row r="55" spans="1:12" x14ac:dyDescent="0.2">
      <c r="A55" s="16" t="s">
        <v>3331</v>
      </c>
      <c r="E55">
        <v>1</v>
      </c>
      <c r="I55">
        <v>1</v>
      </c>
      <c r="J55" s="19"/>
      <c r="K55" s="16" t="s">
        <v>7263</v>
      </c>
      <c r="L55">
        <f t="shared" si="14"/>
        <v>1</v>
      </c>
    </row>
    <row r="56" spans="1:12" x14ac:dyDescent="0.2">
      <c r="A56" s="16" t="s">
        <v>4838</v>
      </c>
      <c r="E56">
        <v>3</v>
      </c>
      <c r="F56">
        <v>2</v>
      </c>
      <c r="I56">
        <v>5</v>
      </c>
      <c r="J56" s="19"/>
      <c r="K56" s="16" t="s">
        <v>7264</v>
      </c>
      <c r="L56">
        <f t="shared" si="14"/>
        <v>1</v>
      </c>
    </row>
    <row r="57" spans="1:12" x14ac:dyDescent="0.2">
      <c r="A57" s="16" t="s">
        <v>164</v>
      </c>
      <c r="D57">
        <v>1</v>
      </c>
      <c r="I57">
        <v>1</v>
      </c>
      <c r="J57" s="19"/>
      <c r="K57" s="16" t="s">
        <v>7266</v>
      </c>
      <c r="L57">
        <f t="shared" si="14"/>
        <v>1</v>
      </c>
    </row>
    <row r="58" spans="1:12" x14ac:dyDescent="0.2">
      <c r="A58" s="16" t="s">
        <v>4381</v>
      </c>
      <c r="G58">
        <v>2</v>
      </c>
      <c r="I58">
        <v>2</v>
      </c>
      <c r="J58" s="19"/>
      <c r="K58" s="16" t="s">
        <v>7269</v>
      </c>
      <c r="L58">
        <f t="shared" si="14"/>
        <v>1</v>
      </c>
    </row>
    <row r="59" spans="1:12" x14ac:dyDescent="0.2">
      <c r="A59" s="16" t="s">
        <v>4213</v>
      </c>
      <c r="G59">
        <v>2</v>
      </c>
      <c r="I59">
        <v>2</v>
      </c>
      <c r="J59" s="19"/>
      <c r="K59" s="16" t="s">
        <v>7270</v>
      </c>
      <c r="L59">
        <f t="shared" si="14"/>
        <v>1</v>
      </c>
    </row>
    <row r="60" spans="1:12" x14ac:dyDescent="0.2">
      <c r="A60" s="16" t="s">
        <v>4538</v>
      </c>
      <c r="G60">
        <v>7</v>
      </c>
      <c r="I60">
        <v>7</v>
      </c>
      <c r="J60" s="19"/>
      <c r="K60" s="16" t="s">
        <v>7272</v>
      </c>
      <c r="L60">
        <f t="shared" si="14"/>
        <v>1</v>
      </c>
    </row>
    <row r="61" spans="1:12" x14ac:dyDescent="0.2">
      <c r="A61" s="16" t="s">
        <v>6777</v>
      </c>
      <c r="E61">
        <v>1</v>
      </c>
      <c r="I61">
        <v>1</v>
      </c>
      <c r="J61" s="19"/>
      <c r="K61" s="16" t="s">
        <v>7273</v>
      </c>
      <c r="L61">
        <f t="shared" si="14"/>
        <v>1</v>
      </c>
    </row>
    <row r="62" spans="1:12" x14ac:dyDescent="0.2">
      <c r="A62" s="16" t="s">
        <v>6363</v>
      </c>
      <c r="E62">
        <v>1</v>
      </c>
      <c r="I62">
        <v>1</v>
      </c>
      <c r="J62" s="19"/>
      <c r="K62" s="16" t="s">
        <v>7276</v>
      </c>
      <c r="L62">
        <f t="shared" si="14"/>
        <v>1</v>
      </c>
    </row>
    <row r="63" spans="1:12" x14ac:dyDescent="0.2">
      <c r="A63" s="16" t="s">
        <v>5099</v>
      </c>
      <c r="E63">
        <v>1</v>
      </c>
      <c r="I63">
        <v>1</v>
      </c>
      <c r="J63" s="19"/>
      <c r="K63" s="16" t="s">
        <v>7277</v>
      </c>
      <c r="L63">
        <f t="shared" si="14"/>
        <v>1</v>
      </c>
    </row>
    <row r="64" spans="1:12" x14ac:dyDescent="0.2">
      <c r="A64" s="16" t="s">
        <v>3461</v>
      </c>
      <c r="E64">
        <v>3</v>
      </c>
      <c r="I64">
        <v>3</v>
      </c>
      <c r="J64" s="19"/>
      <c r="K64" s="16" t="s">
        <v>7282</v>
      </c>
      <c r="L64">
        <f t="shared" si="14"/>
        <v>1</v>
      </c>
    </row>
    <row r="65" spans="1:11" x14ac:dyDescent="0.2">
      <c r="A65" s="16" t="s">
        <v>7047</v>
      </c>
      <c r="G65">
        <v>1</v>
      </c>
      <c r="I65">
        <v>1</v>
      </c>
      <c r="J65" s="19"/>
      <c r="K65" s="16"/>
    </row>
    <row r="66" spans="1:11" x14ac:dyDescent="0.2">
      <c r="A66" s="16" t="s">
        <v>4348</v>
      </c>
      <c r="G66">
        <v>1</v>
      </c>
      <c r="I66">
        <v>1</v>
      </c>
      <c r="J66" s="19"/>
    </row>
    <row r="67" spans="1:11" x14ac:dyDescent="0.2">
      <c r="A67" s="16" t="s">
        <v>3635</v>
      </c>
      <c r="E67">
        <v>5</v>
      </c>
      <c r="I67">
        <v>5</v>
      </c>
      <c r="J67" s="19"/>
      <c r="K67" s="16"/>
    </row>
    <row r="68" spans="1:11" x14ac:dyDescent="0.2">
      <c r="A68" s="16" t="s">
        <v>3988</v>
      </c>
      <c r="E68">
        <v>1</v>
      </c>
      <c r="I68">
        <v>1</v>
      </c>
      <c r="J68" s="19"/>
      <c r="K68" s="16"/>
    </row>
    <row r="69" spans="1:11" x14ac:dyDescent="0.2">
      <c r="A69" s="16" t="s">
        <v>3903</v>
      </c>
      <c r="E69">
        <v>8</v>
      </c>
      <c r="I69">
        <v>8</v>
      </c>
      <c r="J69" s="19"/>
      <c r="K69" s="16"/>
    </row>
    <row r="70" spans="1:11" x14ac:dyDescent="0.2">
      <c r="A70" s="16" t="s">
        <v>3515</v>
      </c>
      <c r="E70">
        <v>1</v>
      </c>
      <c r="I70">
        <v>1</v>
      </c>
      <c r="J70" s="19"/>
      <c r="K70" s="16"/>
    </row>
    <row r="71" spans="1:11" x14ac:dyDescent="0.2">
      <c r="A71" s="16" t="s">
        <v>4964</v>
      </c>
      <c r="G71">
        <v>1</v>
      </c>
      <c r="I71">
        <v>1</v>
      </c>
      <c r="J71" s="19"/>
      <c r="K71" s="16"/>
    </row>
    <row r="72" spans="1:11" x14ac:dyDescent="0.2">
      <c r="A72" s="16" t="s">
        <v>465</v>
      </c>
      <c r="E72">
        <v>3</v>
      </c>
      <c r="I72">
        <v>3</v>
      </c>
      <c r="J72" s="19"/>
      <c r="K72" s="16"/>
    </row>
    <row r="73" spans="1:11" x14ac:dyDescent="0.2">
      <c r="A73" s="16" t="s">
        <v>208</v>
      </c>
      <c r="E73">
        <v>6</v>
      </c>
      <c r="G73">
        <v>1</v>
      </c>
      <c r="I73">
        <v>7</v>
      </c>
      <c r="J73" s="19"/>
      <c r="K73" s="16"/>
    </row>
    <row r="74" spans="1:11" x14ac:dyDescent="0.2">
      <c r="A74" s="16" t="s">
        <v>4556</v>
      </c>
      <c r="G74">
        <v>1</v>
      </c>
      <c r="I74">
        <v>1</v>
      </c>
      <c r="J74" s="19"/>
      <c r="K74" s="16"/>
    </row>
    <row r="75" spans="1:11" x14ac:dyDescent="0.2">
      <c r="A75" s="16" t="s">
        <v>248</v>
      </c>
      <c r="E75">
        <v>2</v>
      </c>
      <c r="I75">
        <v>2</v>
      </c>
      <c r="J75" s="19"/>
      <c r="K75" s="16"/>
    </row>
    <row r="76" spans="1:11" x14ac:dyDescent="0.2">
      <c r="A76" s="16" t="s">
        <v>4754</v>
      </c>
      <c r="G76">
        <v>2</v>
      </c>
      <c r="I76">
        <v>2</v>
      </c>
      <c r="J76" s="19"/>
      <c r="K76" s="16"/>
    </row>
    <row r="77" spans="1:11" x14ac:dyDescent="0.2">
      <c r="A77" s="16" t="s">
        <v>4787</v>
      </c>
      <c r="G77">
        <v>1</v>
      </c>
      <c r="I77">
        <v>1</v>
      </c>
      <c r="J77" s="19"/>
      <c r="K77" s="16"/>
    </row>
    <row r="78" spans="1:11" x14ac:dyDescent="0.2">
      <c r="A78" s="16" t="s">
        <v>3134</v>
      </c>
      <c r="D78">
        <v>1</v>
      </c>
      <c r="E78">
        <v>1</v>
      </c>
      <c r="F78">
        <v>1</v>
      </c>
      <c r="G78">
        <v>1</v>
      </c>
      <c r="I78">
        <v>4</v>
      </c>
      <c r="J78" s="19"/>
      <c r="K78" s="16"/>
    </row>
    <row r="79" spans="1:11" x14ac:dyDescent="0.2">
      <c r="A79" s="16" t="s">
        <v>5479</v>
      </c>
      <c r="E79">
        <v>5</v>
      </c>
      <c r="I79">
        <v>5</v>
      </c>
      <c r="J79" s="19"/>
      <c r="K79" s="16"/>
    </row>
    <row r="80" spans="1:11" x14ac:dyDescent="0.2">
      <c r="A80" s="16" t="s">
        <v>3607</v>
      </c>
      <c r="E80">
        <v>1</v>
      </c>
      <c r="I80">
        <v>1</v>
      </c>
      <c r="J80" s="19"/>
      <c r="K80" s="16"/>
    </row>
    <row r="81" spans="1:11" x14ac:dyDescent="0.2">
      <c r="A81" s="16" t="s">
        <v>6379</v>
      </c>
      <c r="E81">
        <v>1</v>
      </c>
      <c r="I81">
        <v>1</v>
      </c>
      <c r="J81" s="19"/>
      <c r="K81" s="16"/>
    </row>
    <row r="82" spans="1:11" x14ac:dyDescent="0.2">
      <c r="A82" s="16" t="s">
        <v>95</v>
      </c>
      <c r="D82">
        <v>8</v>
      </c>
      <c r="I82">
        <v>8</v>
      </c>
      <c r="J82" s="19"/>
      <c r="K82" s="16"/>
    </row>
    <row r="83" spans="1:11" x14ac:dyDescent="0.2">
      <c r="A83" s="16" t="s">
        <v>6185</v>
      </c>
      <c r="E83">
        <v>1</v>
      </c>
      <c r="I83">
        <v>1</v>
      </c>
      <c r="J83" s="19"/>
      <c r="K83" s="16"/>
    </row>
    <row r="84" spans="1:11" x14ac:dyDescent="0.2">
      <c r="A84" s="16" t="s">
        <v>5231</v>
      </c>
      <c r="E84">
        <v>1</v>
      </c>
      <c r="I84">
        <v>1</v>
      </c>
      <c r="J84" s="19"/>
      <c r="K84" s="16"/>
    </row>
    <row r="85" spans="1:11" x14ac:dyDescent="0.2">
      <c r="A85" s="16" t="s">
        <v>3918</v>
      </c>
      <c r="E85">
        <v>2</v>
      </c>
      <c r="I85">
        <v>2</v>
      </c>
      <c r="J85" s="19"/>
      <c r="K85" s="16"/>
    </row>
    <row r="86" spans="1:11" x14ac:dyDescent="0.2">
      <c r="A86" s="16" t="s">
        <v>124</v>
      </c>
      <c r="D86">
        <v>1</v>
      </c>
      <c r="E86">
        <v>1</v>
      </c>
      <c r="I86">
        <v>2</v>
      </c>
      <c r="J86" s="19"/>
      <c r="K86" s="16"/>
    </row>
    <row r="87" spans="1:11" x14ac:dyDescent="0.2">
      <c r="A87" s="16" t="s">
        <v>4039</v>
      </c>
      <c r="E87">
        <v>2</v>
      </c>
      <c r="I87">
        <v>2</v>
      </c>
      <c r="J87" s="19"/>
      <c r="K87" s="16"/>
    </row>
    <row r="88" spans="1:11" x14ac:dyDescent="0.2">
      <c r="A88" s="16" t="s">
        <v>183</v>
      </c>
      <c r="E88">
        <v>39</v>
      </c>
      <c r="I88">
        <v>39</v>
      </c>
      <c r="J88" s="19"/>
      <c r="K88" s="16"/>
    </row>
    <row r="89" spans="1:11" x14ac:dyDescent="0.2">
      <c r="A89" s="16" t="s">
        <v>4285</v>
      </c>
      <c r="E89">
        <v>2</v>
      </c>
      <c r="G89">
        <v>1</v>
      </c>
      <c r="I89">
        <v>3</v>
      </c>
      <c r="J89" s="19"/>
      <c r="K89" s="16"/>
    </row>
    <row r="90" spans="1:11" x14ac:dyDescent="0.2">
      <c r="A90" s="16" t="s">
        <v>3529</v>
      </c>
      <c r="E90">
        <v>2</v>
      </c>
      <c r="I90">
        <v>2</v>
      </c>
      <c r="J90" s="19"/>
      <c r="K90" s="16"/>
    </row>
    <row r="91" spans="1:11" x14ac:dyDescent="0.2">
      <c r="A91" s="16" t="s">
        <v>3848</v>
      </c>
      <c r="E91">
        <v>2</v>
      </c>
      <c r="I91">
        <v>2</v>
      </c>
      <c r="J91" s="19"/>
      <c r="K91" s="16"/>
    </row>
    <row r="92" spans="1:11" x14ac:dyDescent="0.2">
      <c r="A92" s="16" t="s">
        <v>4768</v>
      </c>
      <c r="E92">
        <v>2</v>
      </c>
      <c r="G92">
        <v>1</v>
      </c>
      <c r="I92">
        <v>3</v>
      </c>
      <c r="J92" s="19"/>
      <c r="K92" s="16"/>
    </row>
    <row r="93" spans="1:11" x14ac:dyDescent="0.2">
      <c r="A93" s="16" t="s">
        <v>4699</v>
      </c>
      <c r="G93">
        <v>1</v>
      </c>
      <c r="I93">
        <v>1</v>
      </c>
      <c r="J93" s="19"/>
      <c r="K93" s="16"/>
    </row>
    <row r="94" spans="1:11" x14ac:dyDescent="0.2">
      <c r="A94" s="16" t="s">
        <v>4477</v>
      </c>
      <c r="G94">
        <v>1</v>
      </c>
      <c r="I94">
        <v>1</v>
      </c>
      <c r="J94" s="19"/>
      <c r="K94" s="16"/>
    </row>
    <row r="95" spans="1:11" x14ac:dyDescent="0.2">
      <c r="A95" s="16" t="s">
        <v>6128</v>
      </c>
      <c r="E95">
        <v>1</v>
      </c>
      <c r="I95">
        <v>1</v>
      </c>
      <c r="J95" s="19"/>
      <c r="K95" s="16"/>
    </row>
    <row r="96" spans="1:11" x14ac:dyDescent="0.2">
      <c r="A96" s="16" t="s">
        <v>4600</v>
      </c>
      <c r="F96">
        <v>4</v>
      </c>
      <c r="I96">
        <v>4</v>
      </c>
      <c r="J96" s="19"/>
      <c r="K96" s="16"/>
    </row>
    <row r="97" spans="1:11" x14ac:dyDescent="0.2">
      <c r="A97" s="16" t="s">
        <v>3179</v>
      </c>
      <c r="D97">
        <v>1</v>
      </c>
      <c r="E97">
        <v>1</v>
      </c>
      <c r="I97">
        <v>2</v>
      </c>
      <c r="J97" s="19"/>
      <c r="K97" s="16"/>
    </row>
    <row r="98" spans="1:11" x14ac:dyDescent="0.2">
      <c r="A98" s="16" t="s">
        <v>3165</v>
      </c>
      <c r="D98">
        <v>1</v>
      </c>
      <c r="E98">
        <v>4</v>
      </c>
      <c r="G98">
        <v>1</v>
      </c>
      <c r="I98">
        <v>6</v>
      </c>
      <c r="J98" s="19"/>
      <c r="K98" s="16"/>
    </row>
    <row r="99" spans="1:11" x14ac:dyDescent="0.2">
      <c r="A99" s="16" t="s">
        <v>5713</v>
      </c>
      <c r="E99">
        <v>1</v>
      </c>
      <c r="I99">
        <v>1</v>
      </c>
      <c r="J99" s="19"/>
      <c r="K99" s="16"/>
    </row>
    <row r="100" spans="1:11" x14ac:dyDescent="0.2">
      <c r="A100" s="16" t="s">
        <v>353</v>
      </c>
      <c r="E100">
        <v>8</v>
      </c>
      <c r="G100">
        <v>3</v>
      </c>
      <c r="I100">
        <v>11</v>
      </c>
      <c r="J100" s="19"/>
      <c r="K100" s="16"/>
    </row>
    <row r="101" spans="1:11" x14ac:dyDescent="0.2">
      <c r="A101" s="16" t="s">
        <v>4502</v>
      </c>
      <c r="E101">
        <v>2</v>
      </c>
      <c r="G101">
        <v>2</v>
      </c>
      <c r="I101">
        <v>4</v>
      </c>
      <c r="J101" s="19"/>
      <c r="K101" s="16"/>
    </row>
    <row r="102" spans="1:11" x14ac:dyDescent="0.2">
      <c r="A102" s="16" t="s">
        <v>3647</v>
      </c>
      <c r="E102">
        <v>5</v>
      </c>
      <c r="I102">
        <v>5</v>
      </c>
      <c r="J102" s="19"/>
      <c r="K102" s="16"/>
    </row>
    <row r="103" spans="1:11" x14ac:dyDescent="0.2">
      <c r="A103" s="16" t="s">
        <v>5118</v>
      </c>
      <c r="E103">
        <v>1</v>
      </c>
      <c r="I103">
        <v>1</v>
      </c>
      <c r="J103" s="19"/>
      <c r="K103" s="16"/>
    </row>
    <row r="104" spans="1:11" x14ac:dyDescent="0.2">
      <c r="A104" s="16" t="s">
        <v>4732</v>
      </c>
      <c r="G104">
        <v>1</v>
      </c>
      <c r="I104">
        <v>1</v>
      </c>
      <c r="J104" s="19"/>
      <c r="K104" s="16"/>
    </row>
    <row r="105" spans="1:11" x14ac:dyDescent="0.2">
      <c r="A105" s="16" t="s">
        <v>3702</v>
      </c>
      <c r="E105">
        <v>4</v>
      </c>
      <c r="I105">
        <v>4</v>
      </c>
      <c r="J105" s="19"/>
      <c r="K105" s="16"/>
    </row>
    <row r="106" spans="1:11" x14ac:dyDescent="0.2">
      <c r="A106" s="16" t="s">
        <v>7174</v>
      </c>
      <c r="J106" s="19"/>
      <c r="K106" s="16"/>
    </row>
    <row r="107" spans="1:11" x14ac:dyDescent="0.2">
      <c r="A107" t="s">
        <v>7175</v>
      </c>
      <c r="B107" s="31">
        <v>13</v>
      </c>
      <c r="C107" s="31">
        <v>9</v>
      </c>
      <c r="D107" s="31">
        <v>29</v>
      </c>
      <c r="E107" s="31">
        <v>420</v>
      </c>
      <c r="F107" s="31">
        <v>18</v>
      </c>
      <c r="G107" s="31">
        <v>92</v>
      </c>
      <c r="H107" s="31">
        <v>5</v>
      </c>
      <c r="I107" s="19"/>
      <c r="J107" s="19"/>
    </row>
  </sheetData>
  <sortState xmlns:xlrd2="http://schemas.microsoft.com/office/spreadsheetml/2017/richdata2" ref="K2:L64">
    <sortCondition descending="1" ref="L1:L64"/>
  </sortState>
  <mergeCells count="1">
    <mergeCell ref="M2:M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9553-5950-4B49-9BC6-9FA318870631}">
  <dimension ref="A1:L27"/>
  <sheetViews>
    <sheetView workbookViewId="0">
      <selection activeCell="O26" sqref="O26"/>
    </sheetView>
  </sheetViews>
  <sheetFormatPr baseColWidth="10" defaultColWidth="8.83203125" defaultRowHeight="15" x14ac:dyDescent="0.2"/>
  <cols>
    <col min="6" max="6" width="12" bestFit="1" customWidth="1"/>
    <col min="10" max="10" width="12" bestFit="1" customWidth="1"/>
  </cols>
  <sheetData>
    <row r="1" spans="1:12" x14ac:dyDescent="0.2">
      <c r="A1" t="s">
        <v>7136</v>
      </c>
      <c r="B1" t="s">
        <v>7137</v>
      </c>
      <c r="C1" t="s">
        <v>7138</v>
      </c>
      <c r="D1" t="s">
        <v>7139</v>
      </c>
      <c r="E1" t="s">
        <v>7140</v>
      </c>
      <c r="F1" t="s">
        <v>7141</v>
      </c>
      <c r="G1" t="s">
        <v>7142</v>
      </c>
      <c r="H1" t="s">
        <v>7143</v>
      </c>
      <c r="I1" t="s">
        <v>7144</v>
      </c>
      <c r="J1" t="s">
        <v>7145</v>
      </c>
      <c r="K1" t="s">
        <v>7146</v>
      </c>
      <c r="L1" t="s">
        <v>7147</v>
      </c>
    </row>
    <row r="2" spans="1:12" x14ac:dyDescent="0.2">
      <c r="A2">
        <v>5</v>
      </c>
      <c r="B2" t="s">
        <v>57</v>
      </c>
      <c r="C2">
        <v>17</v>
      </c>
      <c r="D2">
        <v>588</v>
      </c>
      <c r="E2">
        <f>588-326</f>
        <v>262</v>
      </c>
      <c r="F2">
        <f>E2/D2*100</f>
        <v>44.557823129251702</v>
      </c>
      <c r="G2" t="s">
        <v>7148</v>
      </c>
      <c r="H2">
        <v>237</v>
      </c>
      <c r="I2">
        <v>1</v>
      </c>
      <c r="J2">
        <f>I2/E2*100</f>
        <v>0.38167938931297707</v>
      </c>
      <c r="K2" t="s">
        <v>7149</v>
      </c>
      <c r="L2" t="s">
        <v>7150</v>
      </c>
    </row>
    <row r="3" spans="1:12" x14ac:dyDescent="0.2">
      <c r="A3">
        <v>40</v>
      </c>
      <c r="B3" t="s">
        <v>7151</v>
      </c>
      <c r="C3">
        <v>17</v>
      </c>
      <c r="D3">
        <v>588</v>
      </c>
      <c r="E3">
        <v>326</v>
      </c>
      <c r="F3">
        <f t="shared" ref="F3:F27" si="0">E3/D3*100</f>
        <v>55.442176870748291</v>
      </c>
      <c r="G3" t="s">
        <v>7148</v>
      </c>
      <c r="H3">
        <v>237</v>
      </c>
      <c r="I3">
        <v>236</v>
      </c>
      <c r="J3">
        <f t="shared" ref="J3:J15" si="1">I3/E3*100</f>
        <v>72.392638036809814</v>
      </c>
      <c r="K3" t="s">
        <v>7149</v>
      </c>
      <c r="L3" t="s">
        <v>7150</v>
      </c>
    </row>
    <row r="4" spans="1:12" x14ac:dyDescent="0.2">
      <c r="A4">
        <v>5</v>
      </c>
      <c r="B4" t="s">
        <v>57</v>
      </c>
      <c r="C4">
        <v>17</v>
      </c>
      <c r="D4">
        <v>588</v>
      </c>
      <c r="E4">
        <f>588-326</f>
        <v>262</v>
      </c>
      <c r="F4">
        <f t="shared" si="0"/>
        <v>44.557823129251702</v>
      </c>
      <c r="G4" t="s">
        <v>7152</v>
      </c>
      <c r="H4">
        <v>8</v>
      </c>
      <c r="I4">
        <v>1</v>
      </c>
      <c r="J4">
        <f t="shared" si="1"/>
        <v>0.38167938931297707</v>
      </c>
      <c r="K4" t="s">
        <v>7153</v>
      </c>
      <c r="L4" t="s">
        <v>7150</v>
      </c>
    </row>
    <row r="5" spans="1:12" x14ac:dyDescent="0.2">
      <c r="A5">
        <v>40</v>
      </c>
      <c r="B5" t="s">
        <v>7151</v>
      </c>
      <c r="C5">
        <v>17</v>
      </c>
      <c r="D5">
        <v>588</v>
      </c>
      <c r="E5">
        <v>326</v>
      </c>
      <c r="F5">
        <f t="shared" si="0"/>
        <v>55.442176870748291</v>
      </c>
      <c r="G5" t="s">
        <v>7152</v>
      </c>
      <c r="H5">
        <v>8</v>
      </c>
      <c r="I5">
        <v>7</v>
      </c>
      <c r="J5">
        <f t="shared" si="1"/>
        <v>2.147239263803681</v>
      </c>
      <c r="K5" t="s">
        <v>7153</v>
      </c>
      <c r="L5" t="s">
        <v>7150</v>
      </c>
    </row>
    <row r="6" spans="1:12" x14ac:dyDescent="0.2">
      <c r="A6">
        <v>5</v>
      </c>
      <c r="B6" t="s">
        <v>57</v>
      </c>
      <c r="C6">
        <v>17</v>
      </c>
      <c r="D6">
        <v>588</v>
      </c>
      <c r="E6">
        <f>588-326</f>
        <v>262</v>
      </c>
      <c r="F6">
        <f t="shared" si="0"/>
        <v>44.557823129251702</v>
      </c>
      <c r="G6" t="s">
        <v>7154</v>
      </c>
      <c r="H6">
        <v>9</v>
      </c>
      <c r="I6">
        <v>3</v>
      </c>
      <c r="J6">
        <f t="shared" si="1"/>
        <v>1.1450381679389312</v>
      </c>
      <c r="K6" t="s">
        <v>7155</v>
      </c>
      <c r="L6" t="s">
        <v>7150</v>
      </c>
    </row>
    <row r="7" spans="1:12" x14ac:dyDescent="0.2">
      <c r="A7">
        <v>40</v>
      </c>
      <c r="B7" t="s">
        <v>7151</v>
      </c>
      <c r="C7">
        <v>17</v>
      </c>
      <c r="D7">
        <v>588</v>
      </c>
      <c r="E7">
        <v>326</v>
      </c>
      <c r="F7">
        <f t="shared" si="0"/>
        <v>55.442176870748291</v>
      </c>
      <c r="G7" t="s">
        <v>7154</v>
      </c>
      <c r="H7">
        <v>9</v>
      </c>
      <c r="I7">
        <v>6</v>
      </c>
      <c r="J7">
        <f t="shared" si="1"/>
        <v>1.8404907975460123</v>
      </c>
      <c r="K7" t="s">
        <v>7155</v>
      </c>
      <c r="L7" t="s">
        <v>7150</v>
      </c>
    </row>
    <row r="8" spans="1:12" x14ac:dyDescent="0.2">
      <c r="A8">
        <v>5</v>
      </c>
      <c r="B8" t="s">
        <v>57</v>
      </c>
      <c r="C8">
        <v>17</v>
      </c>
      <c r="D8">
        <v>588</v>
      </c>
      <c r="E8">
        <f>588-326</f>
        <v>262</v>
      </c>
      <c r="F8">
        <f t="shared" si="0"/>
        <v>44.557823129251702</v>
      </c>
      <c r="G8" t="s">
        <v>7156</v>
      </c>
      <c r="H8">
        <v>10</v>
      </c>
      <c r="I8">
        <v>1</v>
      </c>
      <c r="J8">
        <f t="shared" si="1"/>
        <v>0.38167938931297707</v>
      </c>
      <c r="K8" t="s">
        <v>7157</v>
      </c>
      <c r="L8" t="s">
        <v>7150</v>
      </c>
    </row>
    <row r="9" spans="1:12" x14ac:dyDescent="0.2">
      <c r="A9">
        <v>40</v>
      </c>
      <c r="B9" t="s">
        <v>7151</v>
      </c>
      <c r="C9">
        <v>17</v>
      </c>
      <c r="D9">
        <v>588</v>
      </c>
      <c r="E9">
        <v>326</v>
      </c>
      <c r="F9">
        <f t="shared" si="0"/>
        <v>55.442176870748291</v>
      </c>
      <c r="G9" t="s">
        <v>7156</v>
      </c>
      <c r="H9">
        <v>10</v>
      </c>
      <c r="I9">
        <v>9</v>
      </c>
      <c r="J9">
        <f t="shared" si="1"/>
        <v>2.7607361963190185</v>
      </c>
      <c r="K9" t="s">
        <v>7157</v>
      </c>
      <c r="L9" t="s">
        <v>7150</v>
      </c>
    </row>
    <row r="10" spans="1:12" x14ac:dyDescent="0.2">
      <c r="A10">
        <v>5</v>
      </c>
      <c r="B10" t="s">
        <v>57</v>
      </c>
      <c r="C10">
        <v>17</v>
      </c>
      <c r="D10">
        <v>588</v>
      </c>
      <c r="E10">
        <f>588-326</f>
        <v>262</v>
      </c>
      <c r="F10">
        <f t="shared" si="0"/>
        <v>44.557823129251702</v>
      </c>
      <c r="G10" t="s">
        <v>7158</v>
      </c>
      <c r="H10">
        <v>18</v>
      </c>
      <c r="I10">
        <v>3</v>
      </c>
      <c r="J10">
        <f t="shared" si="1"/>
        <v>1.1450381679389312</v>
      </c>
      <c r="K10" t="s">
        <v>7159</v>
      </c>
      <c r="L10" t="s">
        <v>7150</v>
      </c>
    </row>
    <row r="11" spans="1:12" x14ac:dyDescent="0.2">
      <c r="A11">
        <v>40</v>
      </c>
      <c r="B11" t="s">
        <v>7151</v>
      </c>
      <c r="C11">
        <v>17</v>
      </c>
      <c r="D11">
        <v>588</v>
      </c>
      <c r="E11">
        <v>326</v>
      </c>
      <c r="F11">
        <f t="shared" si="0"/>
        <v>55.442176870748291</v>
      </c>
      <c r="G11" t="s">
        <v>7158</v>
      </c>
      <c r="H11">
        <v>18</v>
      </c>
      <c r="I11">
        <v>15</v>
      </c>
      <c r="J11">
        <f t="shared" si="1"/>
        <v>4.6012269938650308</v>
      </c>
      <c r="K11" t="s">
        <v>7159</v>
      </c>
      <c r="L11" t="s">
        <v>7150</v>
      </c>
    </row>
    <row r="12" spans="1:12" x14ac:dyDescent="0.2">
      <c r="A12">
        <v>5</v>
      </c>
      <c r="B12" t="s">
        <v>57</v>
      </c>
      <c r="C12">
        <v>17</v>
      </c>
      <c r="D12">
        <v>588</v>
      </c>
      <c r="E12">
        <f>588-326</f>
        <v>262</v>
      </c>
      <c r="F12">
        <f t="shared" si="0"/>
        <v>44.557823129251702</v>
      </c>
      <c r="G12" t="s">
        <v>7160</v>
      </c>
      <c r="H12">
        <v>3</v>
      </c>
      <c r="I12">
        <v>2</v>
      </c>
      <c r="J12">
        <f t="shared" si="1"/>
        <v>0.76335877862595414</v>
      </c>
      <c r="K12" t="s">
        <v>7161</v>
      </c>
      <c r="L12" t="s">
        <v>7150</v>
      </c>
    </row>
    <row r="13" spans="1:12" x14ac:dyDescent="0.2">
      <c r="A13">
        <v>40</v>
      </c>
      <c r="B13" t="s">
        <v>7151</v>
      </c>
      <c r="C13">
        <v>17</v>
      </c>
      <c r="D13">
        <v>588</v>
      </c>
      <c r="E13">
        <v>326</v>
      </c>
      <c r="F13">
        <f t="shared" si="0"/>
        <v>55.442176870748291</v>
      </c>
      <c r="G13" t="s">
        <v>7160</v>
      </c>
      <c r="H13">
        <v>3</v>
      </c>
      <c r="I13">
        <v>1</v>
      </c>
      <c r="J13">
        <f t="shared" si="1"/>
        <v>0.30674846625766872</v>
      </c>
      <c r="K13" t="s">
        <v>7161</v>
      </c>
      <c r="L13" t="s">
        <v>7150</v>
      </c>
    </row>
    <row r="14" spans="1:12" x14ac:dyDescent="0.2">
      <c r="A14">
        <v>5</v>
      </c>
      <c r="B14" t="s">
        <v>57</v>
      </c>
      <c r="C14">
        <v>17</v>
      </c>
      <c r="D14">
        <v>588</v>
      </c>
      <c r="E14">
        <f>588-326</f>
        <v>262</v>
      </c>
      <c r="F14">
        <f t="shared" si="0"/>
        <v>44.557823129251702</v>
      </c>
      <c r="G14" t="s">
        <v>7162</v>
      </c>
      <c r="H14">
        <v>303</v>
      </c>
      <c r="I14">
        <f>303-52</f>
        <v>251</v>
      </c>
      <c r="J14">
        <f t="shared" si="1"/>
        <v>95.801526717557252</v>
      </c>
      <c r="K14" t="s">
        <v>7163</v>
      </c>
      <c r="L14" t="s">
        <v>7150</v>
      </c>
    </row>
    <row r="15" spans="1:12" x14ac:dyDescent="0.2">
      <c r="A15">
        <v>40</v>
      </c>
      <c r="B15" t="s">
        <v>7151</v>
      </c>
      <c r="C15">
        <v>17</v>
      </c>
      <c r="D15">
        <v>588</v>
      </c>
      <c r="E15">
        <v>326</v>
      </c>
      <c r="F15">
        <f t="shared" si="0"/>
        <v>55.442176870748291</v>
      </c>
      <c r="G15" t="s">
        <v>7162</v>
      </c>
      <c r="H15">
        <v>303</v>
      </c>
      <c r="I15">
        <v>52</v>
      </c>
      <c r="J15">
        <f t="shared" si="1"/>
        <v>15.950920245398773</v>
      </c>
      <c r="K15" t="s">
        <v>7163</v>
      </c>
      <c r="L15" t="s">
        <v>7150</v>
      </c>
    </row>
    <row r="16" spans="1:12" x14ac:dyDescent="0.2">
      <c r="A16">
        <v>5</v>
      </c>
      <c r="B16" t="s">
        <v>57</v>
      </c>
      <c r="C16">
        <v>17</v>
      </c>
      <c r="D16">
        <f>588-237</f>
        <v>351</v>
      </c>
      <c r="E16">
        <f>E2-1</f>
        <v>261</v>
      </c>
      <c r="F16">
        <f t="shared" si="0"/>
        <v>74.358974358974365</v>
      </c>
      <c r="G16" t="s">
        <v>7152</v>
      </c>
      <c r="H16">
        <v>8</v>
      </c>
      <c r="I16">
        <v>1</v>
      </c>
      <c r="J16">
        <f>I16/E16*100</f>
        <v>0.38314176245210724</v>
      </c>
      <c r="K16" t="s">
        <v>7153</v>
      </c>
      <c r="L16" t="s">
        <v>7164</v>
      </c>
    </row>
    <row r="17" spans="1:12" x14ac:dyDescent="0.2">
      <c r="A17">
        <v>40</v>
      </c>
      <c r="B17" t="s">
        <v>7151</v>
      </c>
      <c r="C17">
        <v>17</v>
      </c>
      <c r="D17">
        <f t="shared" ref="D17:D27" si="2">588-237</f>
        <v>351</v>
      </c>
      <c r="E17">
        <f>E3-236</f>
        <v>90</v>
      </c>
      <c r="F17">
        <f t="shared" si="0"/>
        <v>25.641025641025639</v>
      </c>
      <c r="G17" t="s">
        <v>7152</v>
      </c>
      <c r="H17">
        <v>8</v>
      </c>
      <c r="I17">
        <v>7</v>
      </c>
      <c r="J17">
        <f t="shared" ref="J17:J27" si="3">I17/E17*100</f>
        <v>7.7777777777777777</v>
      </c>
      <c r="K17" t="s">
        <v>7153</v>
      </c>
      <c r="L17" t="s">
        <v>7164</v>
      </c>
    </row>
    <row r="18" spans="1:12" x14ac:dyDescent="0.2">
      <c r="A18">
        <v>5</v>
      </c>
      <c r="B18" t="s">
        <v>57</v>
      </c>
      <c r="C18">
        <v>17</v>
      </c>
      <c r="D18">
        <f t="shared" si="2"/>
        <v>351</v>
      </c>
      <c r="E18">
        <f>E4-1</f>
        <v>261</v>
      </c>
      <c r="F18">
        <f t="shared" si="0"/>
        <v>74.358974358974365</v>
      </c>
      <c r="G18" t="s">
        <v>7154</v>
      </c>
      <c r="H18">
        <v>9</v>
      </c>
      <c r="I18">
        <v>3</v>
      </c>
      <c r="J18">
        <f t="shared" si="3"/>
        <v>1.1494252873563218</v>
      </c>
      <c r="K18" t="s">
        <v>7155</v>
      </c>
      <c r="L18" t="s">
        <v>7164</v>
      </c>
    </row>
    <row r="19" spans="1:12" x14ac:dyDescent="0.2">
      <c r="A19">
        <v>40</v>
      </c>
      <c r="B19" t="s">
        <v>7151</v>
      </c>
      <c r="C19">
        <v>17</v>
      </c>
      <c r="D19">
        <f t="shared" si="2"/>
        <v>351</v>
      </c>
      <c r="E19">
        <f>E5-236</f>
        <v>90</v>
      </c>
      <c r="F19">
        <f t="shared" si="0"/>
        <v>25.641025641025639</v>
      </c>
      <c r="G19" t="s">
        <v>7154</v>
      </c>
      <c r="H19">
        <v>9</v>
      </c>
      <c r="I19">
        <v>6</v>
      </c>
      <c r="J19">
        <f t="shared" si="3"/>
        <v>6.666666666666667</v>
      </c>
      <c r="K19" t="s">
        <v>7155</v>
      </c>
      <c r="L19" t="s">
        <v>7164</v>
      </c>
    </row>
    <row r="20" spans="1:12" x14ac:dyDescent="0.2">
      <c r="A20">
        <v>5</v>
      </c>
      <c r="B20" t="s">
        <v>57</v>
      </c>
      <c r="C20">
        <v>17</v>
      </c>
      <c r="D20">
        <f t="shared" si="2"/>
        <v>351</v>
      </c>
      <c r="E20">
        <f>E6-1</f>
        <v>261</v>
      </c>
      <c r="F20">
        <f t="shared" si="0"/>
        <v>74.358974358974365</v>
      </c>
      <c r="G20" t="s">
        <v>7156</v>
      </c>
      <c r="H20">
        <v>10</v>
      </c>
      <c r="I20">
        <v>1</v>
      </c>
      <c r="J20">
        <f t="shared" si="3"/>
        <v>0.38314176245210724</v>
      </c>
      <c r="K20" t="s">
        <v>7157</v>
      </c>
      <c r="L20" t="s">
        <v>7164</v>
      </c>
    </row>
    <row r="21" spans="1:12" x14ac:dyDescent="0.2">
      <c r="A21">
        <v>40</v>
      </c>
      <c r="B21" t="s">
        <v>7151</v>
      </c>
      <c r="C21">
        <v>17</v>
      </c>
      <c r="D21">
        <f t="shared" si="2"/>
        <v>351</v>
      </c>
      <c r="E21">
        <f>E7-236</f>
        <v>90</v>
      </c>
      <c r="F21">
        <f t="shared" si="0"/>
        <v>25.641025641025639</v>
      </c>
      <c r="G21" t="s">
        <v>7156</v>
      </c>
      <c r="H21">
        <v>10</v>
      </c>
      <c r="I21">
        <v>9</v>
      </c>
      <c r="J21">
        <f t="shared" si="3"/>
        <v>10</v>
      </c>
      <c r="K21" t="s">
        <v>7157</v>
      </c>
      <c r="L21" t="s">
        <v>7164</v>
      </c>
    </row>
    <row r="22" spans="1:12" x14ac:dyDescent="0.2">
      <c r="A22">
        <v>5</v>
      </c>
      <c r="B22" t="s">
        <v>57</v>
      </c>
      <c r="C22">
        <v>17</v>
      </c>
      <c r="D22">
        <f t="shared" si="2"/>
        <v>351</v>
      </c>
      <c r="E22">
        <f>E8-1</f>
        <v>261</v>
      </c>
      <c r="F22">
        <f t="shared" si="0"/>
        <v>74.358974358974365</v>
      </c>
      <c r="G22" t="s">
        <v>7158</v>
      </c>
      <c r="H22">
        <v>18</v>
      </c>
      <c r="I22">
        <v>3</v>
      </c>
      <c r="J22">
        <f t="shared" si="3"/>
        <v>1.1494252873563218</v>
      </c>
      <c r="K22" t="s">
        <v>7159</v>
      </c>
      <c r="L22" t="s">
        <v>7164</v>
      </c>
    </row>
    <row r="23" spans="1:12" x14ac:dyDescent="0.2">
      <c r="A23">
        <v>40</v>
      </c>
      <c r="B23" t="s">
        <v>7151</v>
      </c>
      <c r="C23">
        <v>17</v>
      </c>
      <c r="D23">
        <f t="shared" si="2"/>
        <v>351</v>
      </c>
      <c r="E23">
        <f>E9-236</f>
        <v>90</v>
      </c>
      <c r="F23">
        <f t="shared" si="0"/>
        <v>25.641025641025639</v>
      </c>
      <c r="G23" t="s">
        <v>7158</v>
      </c>
      <c r="H23">
        <v>18</v>
      </c>
      <c r="I23">
        <v>15</v>
      </c>
      <c r="J23">
        <f t="shared" si="3"/>
        <v>16.666666666666664</v>
      </c>
      <c r="K23" t="s">
        <v>7159</v>
      </c>
      <c r="L23" t="s">
        <v>7164</v>
      </c>
    </row>
    <row r="24" spans="1:12" x14ac:dyDescent="0.2">
      <c r="A24">
        <v>5</v>
      </c>
      <c r="B24" t="s">
        <v>57</v>
      </c>
      <c r="C24">
        <v>17</v>
      </c>
      <c r="D24">
        <f t="shared" si="2"/>
        <v>351</v>
      </c>
      <c r="E24">
        <f>E10-1</f>
        <v>261</v>
      </c>
      <c r="F24">
        <f t="shared" si="0"/>
        <v>74.358974358974365</v>
      </c>
      <c r="G24" t="s">
        <v>7160</v>
      </c>
      <c r="H24">
        <v>3</v>
      </c>
      <c r="I24">
        <v>2</v>
      </c>
      <c r="J24">
        <f t="shared" si="3"/>
        <v>0.76628352490421447</v>
      </c>
      <c r="K24" t="s">
        <v>7161</v>
      </c>
      <c r="L24" t="s">
        <v>7164</v>
      </c>
    </row>
    <row r="25" spans="1:12" x14ac:dyDescent="0.2">
      <c r="A25">
        <v>40</v>
      </c>
      <c r="B25" t="s">
        <v>7151</v>
      </c>
      <c r="C25">
        <v>17</v>
      </c>
      <c r="D25">
        <f t="shared" si="2"/>
        <v>351</v>
      </c>
      <c r="E25">
        <f>E11-236</f>
        <v>90</v>
      </c>
      <c r="F25">
        <f t="shared" si="0"/>
        <v>25.641025641025639</v>
      </c>
      <c r="G25" t="s">
        <v>7160</v>
      </c>
      <c r="H25">
        <v>3</v>
      </c>
      <c r="I25">
        <v>1</v>
      </c>
      <c r="J25">
        <f t="shared" si="3"/>
        <v>1.1111111111111112</v>
      </c>
      <c r="K25" t="s">
        <v>7161</v>
      </c>
      <c r="L25" t="s">
        <v>7164</v>
      </c>
    </row>
    <row r="26" spans="1:12" x14ac:dyDescent="0.2">
      <c r="A26">
        <v>5</v>
      </c>
      <c r="B26" t="s">
        <v>57</v>
      </c>
      <c r="C26">
        <v>17</v>
      </c>
      <c r="D26">
        <f t="shared" si="2"/>
        <v>351</v>
      </c>
      <c r="E26">
        <f>E12-1</f>
        <v>261</v>
      </c>
      <c r="F26">
        <f t="shared" si="0"/>
        <v>74.358974358974365</v>
      </c>
      <c r="G26" t="s">
        <v>7162</v>
      </c>
      <c r="H26">
        <v>303</v>
      </c>
      <c r="I26">
        <f>303-52</f>
        <v>251</v>
      </c>
      <c r="J26">
        <f t="shared" si="3"/>
        <v>96.168582375478934</v>
      </c>
      <c r="K26" t="s">
        <v>7163</v>
      </c>
      <c r="L26" t="s">
        <v>7164</v>
      </c>
    </row>
    <row r="27" spans="1:12" x14ac:dyDescent="0.2">
      <c r="A27">
        <v>40</v>
      </c>
      <c r="B27" t="s">
        <v>7151</v>
      </c>
      <c r="C27">
        <v>17</v>
      </c>
      <c r="D27">
        <f t="shared" si="2"/>
        <v>351</v>
      </c>
      <c r="E27">
        <f>E13-236</f>
        <v>90</v>
      </c>
      <c r="F27">
        <f t="shared" si="0"/>
        <v>25.641025641025639</v>
      </c>
      <c r="G27" t="s">
        <v>7162</v>
      </c>
      <c r="H27">
        <v>303</v>
      </c>
      <c r="I27">
        <v>52</v>
      </c>
      <c r="J27">
        <f t="shared" si="3"/>
        <v>57.777777777777771</v>
      </c>
      <c r="K27" t="s">
        <v>7163</v>
      </c>
      <c r="L27" t="s">
        <v>7164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22A2-3639-4CDB-8CA0-13C40C2C4B1F}">
  <dimension ref="A1:L169"/>
  <sheetViews>
    <sheetView workbookViewId="0">
      <selection activeCell="K156" sqref="K156"/>
    </sheetView>
  </sheetViews>
  <sheetFormatPr baseColWidth="10" defaultColWidth="8.83203125" defaultRowHeight="15" x14ac:dyDescent="0.2"/>
  <sheetData>
    <row r="1" spans="1:12" x14ac:dyDescent="0.2">
      <c r="A1" t="s">
        <v>7136</v>
      </c>
      <c r="B1" t="s">
        <v>7138</v>
      </c>
      <c r="C1" t="s">
        <v>7367</v>
      </c>
      <c r="D1" t="s">
        <v>7368</v>
      </c>
      <c r="E1" t="s">
        <v>7369</v>
      </c>
      <c r="F1" t="s">
        <v>7370</v>
      </c>
      <c r="G1" t="s">
        <v>7371</v>
      </c>
      <c r="H1" t="s">
        <v>7145</v>
      </c>
      <c r="I1" t="s">
        <v>7141</v>
      </c>
      <c r="J1" t="s">
        <v>7147</v>
      </c>
      <c r="K1" t="s">
        <v>7373</v>
      </c>
      <c r="L1" t="s">
        <v>7374</v>
      </c>
    </row>
    <row r="2" spans="1:12" x14ac:dyDescent="0.2">
      <c r="A2">
        <v>5</v>
      </c>
      <c r="B2">
        <v>12</v>
      </c>
      <c r="C2">
        <v>586</v>
      </c>
      <c r="D2" t="s">
        <v>7353</v>
      </c>
      <c r="E2">
        <v>245</v>
      </c>
      <c r="F2" t="s">
        <v>7167</v>
      </c>
      <c r="G2">
        <v>8</v>
      </c>
      <c r="H2">
        <f>G2/E2*100</f>
        <v>3.2653061224489797</v>
      </c>
      <c r="I2">
        <f>E2/C2*100</f>
        <v>41.808873720136518</v>
      </c>
      <c r="J2" t="s">
        <v>7150</v>
      </c>
      <c r="K2">
        <v>5</v>
      </c>
      <c r="L2">
        <v>14</v>
      </c>
    </row>
    <row r="3" spans="1:12" x14ac:dyDescent="0.2">
      <c r="A3">
        <v>35</v>
      </c>
      <c r="B3">
        <v>12</v>
      </c>
      <c r="C3">
        <v>586</v>
      </c>
      <c r="D3" t="s">
        <v>7354</v>
      </c>
      <c r="E3">
        <v>238</v>
      </c>
      <c r="F3" t="s">
        <v>7167</v>
      </c>
      <c r="G3">
        <v>10</v>
      </c>
      <c r="H3">
        <f t="shared" ref="H3:H55" si="0">G3/E3*100</f>
        <v>4.2016806722689077</v>
      </c>
      <c r="I3">
        <f t="shared" ref="I3:I56" si="1">E3/C3*100</f>
        <v>40.61433447098976</v>
      </c>
      <c r="J3" t="s">
        <v>7150</v>
      </c>
      <c r="K3">
        <v>40</v>
      </c>
      <c r="L3">
        <v>14</v>
      </c>
    </row>
    <row r="4" spans="1:12" x14ac:dyDescent="0.2">
      <c r="A4">
        <v>60</v>
      </c>
      <c r="B4">
        <v>12</v>
      </c>
      <c r="C4">
        <v>586</v>
      </c>
      <c r="D4" t="s">
        <v>7355</v>
      </c>
      <c r="E4">
        <v>20</v>
      </c>
      <c r="F4" t="s">
        <v>7167</v>
      </c>
      <c r="G4">
        <v>3</v>
      </c>
      <c r="H4">
        <f t="shared" si="0"/>
        <v>15</v>
      </c>
      <c r="I4">
        <f t="shared" si="1"/>
        <v>3.4129692832764507</v>
      </c>
      <c r="J4" t="s">
        <v>7150</v>
      </c>
      <c r="K4">
        <v>65</v>
      </c>
      <c r="L4">
        <v>14</v>
      </c>
    </row>
    <row r="5" spans="1:12" x14ac:dyDescent="0.2">
      <c r="A5">
        <v>85</v>
      </c>
      <c r="B5">
        <v>12</v>
      </c>
      <c r="C5">
        <v>586</v>
      </c>
      <c r="D5" t="s">
        <v>7356</v>
      </c>
      <c r="E5">
        <v>67</v>
      </c>
      <c r="F5" t="s">
        <v>7167</v>
      </c>
      <c r="G5">
        <v>0</v>
      </c>
      <c r="H5">
        <f t="shared" si="0"/>
        <v>0</v>
      </c>
      <c r="I5">
        <f t="shared" si="1"/>
        <v>11.433447098976108</v>
      </c>
      <c r="J5" t="s">
        <v>7150</v>
      </c>
      <c r="K5">
        <v>90</v>
      </c>
      <c r="L5">
        <v>14</v>
      </c>
    </row>
    <row r="6" spans="1:12" x14ac:dyDescent="0.2">
      <c r="A6">
        <v>110</v>
      </c>
      <c r="B6">
        <v>12</v>
      </c>
      <c r="C6">
        <v>586</v>
      </c>
      <c r="D6" t="s">
        <v>7357</v>
      </c>
      <c r="E6">
        <v>108</v>
      </c>
      <c r="F6" t="s">
        <v>7167</v>
      </c>
      <c r="G6">
        <v>0</v>
      </c>
      <c r="H6">
        <f t="shared" si="0"/>
        <v>0</v>
      </c>
      <c r="I6">
        <f t="shared" si="1"/>
        <v>18.430034129692832</v>
      </c>
      <c r="J6" t="s">
        <v>7150</v>
      </c>
      <c r="K6">
        <v>115</v>
      </c>
      <c r="L6">
        <v>14</v>
      </c>
    </row>
    <row r="7" spans="1:12" x14ac:dyDescent="0.2">
      <c r="A7">
        <v>135</v>
      </c>
      <c r="B7">
        <v>12</v>
      </c>
      <c r="C7">
        <v>586</v>
      </c>
      <c r="D7" t="s">
        <v>7358</v>
      </c>
      <c r="E7">
        <v>118</v>
      </c>
      <c r="F7" t="s">
        <v>7167</v>
      </c>
      <c r="G7">
        <v>0</v>
      </c>
      <c r="H7">
        <f t="shared" si="0"/>
        <v>0</v>
      </c>
      <c r="I7">
        <f t="shared" si="1"/>
        <v>20.136518771331058</v>
      </c>
      <c r="J7" t="s">
        <v>7150</v>
      </c>
      <c r="K7">
        <v>140</v>
      </c>
      <c r="L7">
        <v>14</v>
      </c>
    </row>
    <row r="8" spans="1:12" x14ac:dyDescent="0.2">
      <c r="A8">
        <v>160</v>
      </c>
      <c r="B8">
        <v>12</v>
      </c>
      <c r="C8">
        <v>586</v>
      </c>
      <c r="D8" t="s">
        <v>7359</v>
      </c>
      <c r="E8">
        <v>1</v>
      </c>
      <c r="F8" t="s">
        <v>7167</v>
      </c>
      <c r="G8">
        <v>0</v>
      </c>
      <c r="H8">
        <f t="shared" si="0"/>
        <v>0</v>
      </c>
      <c r="I8">
        <f t="shared" si="1"/>
        <v>0.17064846416382254</v>
      </c>
      <c r="J8" t="s">
        <v>7150</v>
      </c>
      <c r="K8">
        <v>165</v>
      </c>
      <c r="L8">
        <v>14</v>
      </c>
    </row>
    <row r="9" spans="1:12" x14ac:dyDescent="0.2">
      <c r="A9">
        <v>185</v>
      </c>
      <c r="B9">
        <v>12</v>
      </c>
      <c r="C9">
        <v>586</v>
      </c>
      <c r="D9" t="s">
        <v>7360</v>
      </c>
      <c r="E9">
        <v>8</v>
      </c>
      <c r="F9" t="s">
        <v>7167</v>
      </c>
      <c r="G9">
        <v>0</v>
      </c>
      <c r="H9">
        <f t="shared" si="0"/>
        <v>0</v>
      </c>
      <c r="I9">
        <f t="shared" si="1"/>
        <v>1.3651877133105803</v>
      </c>
      <c r="J9" t="s">
        <v>7150</v>
      </c>
      <c r="K9">
        <v>190</v>
      </c>
      <c r="L9">
        <v>14</v>
      </c>
    </row>
    <row r="10" spans="1:12" x14ac:dyDescent="0.2">
      <c r="A10">
        <v>210</v>
      </c>
      <c r="B10">
        <v>12</v>
      </c>
      <c r="C10">
        <v>586</v>
      </c>
      <c r="D10" t="s">
        <v>7361</v>
      </c>
      <c r="E10">
        <v>3</v>
      </c>
      <c r="F10" t="s">
        <v>7167</v>
      </c>
      <c r="G10">
        <v>0</v>
      </c>
      <c r="H10">
        <f t="shared" si="0"/>
        <v>0</v>
      </c>
      <c r="I10">
        <f t="shared" si="1"/>
        <v>0.51194539249146753</v>
      </c>
      <c r="J10" t="s">
        <v>7150</v>
      </c>
      <c r="K10">
        <v>215</v>
      </c>
      <c r="L10">
        <v>14</v>
      </c>
    </row>
    <row r="11" spans="1:12" x14ac:dyDescent="0.2">
      <c r="A11">
        <v>235</v>
      </c>
      <c r="B11">
        <v>12</v>
      </c>
      <c r="C11">
        <v>586</v>
      </c>
      <c r="D11" t="s">
        <v>7362</v>
      </c>
      <c r="E11">
        <v>16</v>
      </c>
      <c r="F11" t="s">
        <v>7167</v>
      </c>
      <c r="G11">
        <v>0</v>
      </c>
      <c r="H11">
        <f t="shared" si="0"/>
        <v>0</v>
      </c>
      <c r="I11">
        <f t="shared" si="1"/>
        <v>2.7303754266211606</v>
      </c>
      <c r="J11" t="s">
        <v>7150</v>
      </c>
      <c r="K11">
        <v>240</v>
      </c>
      <c r="L11">
        <v>14</v>
      </c>
    </row>
    <row r="12" spans="1:12" x14ac:dyDescent="0.2">
      <c r="A12">
        <v>260</v>
      </c>
      <c r="B12">
        <v>12</v>
      </c>
      <c r="C12">
        <v>586</v>
      </c>
      <c r="D12" t="s">
        <v>7363</v>
      </c>
      <c r="E12">
        <v>1</v>
      </c>
      <c r="F12" t="s">
        <v>7167</v>
      </c>
      <c r="G12">
        <v>0</v>
      </c>
      <c r="H12">
        <f t="shared" si="0"/>
        <v>0</v>
      </c>
      <c r="I12">
        <f t="shared" si="1"/>
        <v>0.17064846416382254</v>
      </c>
      <c r="J12" t="s">
        <v>7150</v>
      </c>
      <c r="K12">
        <v>265</v>
      </c>
      <c r="L12">
        <v>14</v>
      </c>
    </row>
    <row r="13" spans="1:12" x14ac:dyDescent="0.2">
      <c r="A13">
        <v>5</v>
      </c>
      <c r="B13">
        <v>12</v>
      </c>
      <c r="C13">
        <v>586</v>
      </c>
      <c r="D13" t="s">
        <v>7353</v>
      </c>
      <c r="E13">
        <v>245</v>
      </c>
      <c r="F13" s="21" t="s">
        <v>7170</v>
      </c>
      <c r="G13">
        <v>3</v>
      </c>
      <c r="H13">
        <f t="shared" si="0"/>
        <v>1.2244897959183674</v>
      </c>
      <c r="I13">
        <f t="shared" si="1"/>
        <v>41.808873720136518</v>
      </c>
      <c r="J13" t="s">
        <v>7150</v>
      </c>
      <c r="K13">
        <v>5</v>
      </c>
      <c r="L13">
        <v>14</v>
      </c>
    </row>
    <row r="14" spans="1:12" x14ac:dyDescent="0.2">
      <c r="A14">
        <v>35</v>
      </c>
      <c r="B14">
        <v>12</v>
      </c>
      <c r="C14">
        <v>586</v>
      </c>
      <c r="D14" t="s">
        <v>7354</v>
      </c>
      <c r="E14">
        <v>238</v>
      </c>
      <c r="F14" s="21" t="s">
        <v>7170</v>
      </c>
      <c r="G14" s="21">
        <v>2</v>
      </c>
      <c r="H14">
        <f t="shared" si="0"/>
        <v>0.84033613445378152</v>
      </c>
      <c r="I14">
        <f t="shared" si="1"/>
        <v>40.61433447098976</v>
      </c>
      <c r="J14" t="s">
        <v>7150</v>
      </c>
      <c r="K14">
        <v>40</v>
      </c>
      <c r="L14">
        <v>14</v>
      </c>
    </row>
    <row r="15" spans="1:12" x14ac:dyDescent="0.2">
      <c r="A15">
        <v>60</v>
      </c>
      <c r="B15">
        <v>12</v>
      </c>
      <c r="C15">
        <v>586</v>
      </c>
      <c r="D15" t="s">
        <v>7355</v>
      </c>
      <c r="E15">
        <v>20</v>
      </c>
      <c r="F15" s="21" t="s">
        <v>7170</v>
      </c>
      <c r="G15">
        <v>0</v>
      </c>
      <c r="H15">
        <f t="shared" si="0"/>
        <v>0</v>
      </c>
      <c r="I15">
        <f t="shared" si="1"/>
        <v>3.4129692832764507</v>
      </c>
      <c r="J15" t="s">
        <v>7150</v>
      </c>
      <c r="K15">
        <v>65</v>
      </c>
      <c r="L15">
        <v>14</v>
      </c>
    </row>
    <row r="16" spans="1:12" x14ac:dyDescent="0.2">
      <c r="A16">
        <v>85</v>
      </c>
      <c r="B16">
        <v>12</v>
      </c>
      <c r="C16">
        <v>586</v>
      </c>
      <c r="D16" t="s">
        <v>7356</v>
      </c>
      <c r="E16">
        <v>67</v>
      </c>
      <c r="F16" s="21" t="s">
        <v>7170</v>
      </c>
      <c r="G16" s="21">
        <v>7</v>
      </c>
      <c r="H16">
        <f t="shared" si="0"/>
        <v>10.44776119402985</v>
      </c>
      <c r="I16">
        <f t="shared" si="1"/>
        <v>11.433447098976108</v>
      </c>
      <c r="J16" t="s">
        <v>7150</v>
      </c>
      <c r="K16">
        <v>90</v>
      </c>
      <c r="L16">
        <v>14</v>
      </c>
    </row>
    <row r="17" spans="1:12" x14ac:dyDescent="0.2">
      <c r="A17">
        <v>110</v>
      </c>
      <c r="B17">
        <v>12</v>
      </c>
      <c r="C17">
        <v>586</v>
      </c>
      <c r="D17" t="s">
        <v>7357</v>
      </c>
      <c r="E17">
        <v>108</v>
      </c>
      <c r="F17" s="21" t="s">
        <v>7170</v>
      </c>
      <c r="G17">
        <v>0</v>
      </c>
      <c r="H17">
        <f t="shared" si="0"/>
        <v>0</v>
      </c>
      <c r="I17">
        <f t="shared" si="1"/>
        <v>18.430034129692832</v>
      </c>
      <c r="J17" t="s">
        <v>7150</v>
      </c>
      <c r="K17">
        <v>115</v>
      </c>
      <c r="L17">
        <v>14</v>
      </c>
    </row>
    <row r="18" spans="1:12" x14ac:dyDescent="0.2">
      <c r="A18">
        <v>135</v>
      </c>
      <c r="B18">
        <v>12</v>
      </c>
      <c r="C18">
        <v>586</v>
      </c>
      <c r="D18" t="s">
        <v>7358</v>
      </c>
      <c r="E18">
        <v>118</v>
      </c>
      <c r="F18" s="21" t="s">
        <v>7170</v>
      </c>
      <c r="G18">
        <v>0</v>
      </c>
      <c r="H18">
        <f t="shared" si="0"/>
        <v>0</v>
      </c>
      <c r="I18">
        <f t="shared" si="1"/>
        <v>20.136518771331058</v>
      </c>
      <c r="J18" t="s">
        <v>7150</v>
      </c>
      <c r="K18">
        <v>140</v>
      </c>
      <c r="L18">
        <v>14</v>
      </c>
    </row>
    <row r="19" spans="1:12" x14ac:dyDescent="0.2">
      <c r="A19">
        <v>160</v>
      </c>
      <c r="B19">
        <v>12</v>
      </c>
      <c r="C19">
        <v>586</v>
      </c>
      <c r="D19" t="s">
        <v>7359</v>
      </c>
      <c r="E19">
        <v>1</v>
      </c>
      <c r="F19" s="21" t="s">
        <v>7170</v>
      </c>
      <c r="G19" s="21">
        <v>0</v>
      </c>
      <c r="H19">
        <f t="shared" si="0"/>
        <v>0</v>
      </c>
      <c r="I19">
        <f t="shared" si="1"/>
        <v>0.17064846416382254</v>
      </c>
      <c r="J19" t="s">
        <v>7150</v>
      </c>
      <c r="K19">
        <v>165</v>
      </c>
      <c r="L19">
        <v>14</v>
      </c>
    </row>
    <row r="20" spans="1:12" x14ac:dyDescent="0.2">
      <c r="A20">
        <v>185</v>
      </c>
      <c r="B20">
        <v>12</v>
      </c>
      <c r="C20">
        <v>586</v>
      </c>
      <c r="D20" t="s">
        <v>7360</v>
      </c>
      <c r="E20">
        <v>8</v>
      </c>
      <c r="F20" s="21" t="s">
        <v>7170</v>
      </c>
      <c r="G20">
        <v>0</v>
      </c>
      <c r="H20">
        <f t="shared" si="0"/>
        <v>0</v>
      </c>
      <c r="I20">
        <f t="shared" si="1"/>
        <v>1.3651877133105803</v>
      </c>
      <c r="J20" t="s">
        <v>7150</v>
      </c>
      <c r="K20">
        <v>190</v>
      </c>
      <c r="L20">
        <v>14</v>
      </c>
    </row>
    <row r="21" spans="1:12" x14ac:dyDescent="0.2">
      <c r="A21">
        <v>210</v>
      </c>
      <c r="B21">
        <v>12</v>
      </c>
      <c r="C21">
        <v>586</v>
      </c>
      <c r="D21" t="s">
        <v>7361</v>
      </c>
      <c r="E21">
        <v>3</v>
      </c>
      <c r="F21" s="21" t="s">
        <v>7170</v>
      </c>
      <c r="G21" s="21">
        <v>0</v>
      </c>
      <c r="H21">
        <f t="shared" si="0"/>
        <v>0</v>
      </c>
      <c r="I21">
        <f t="shared" si="1"/>
        <v>0.51194539249146753</v>
      </c>
      <c r="J21" t="s">
        <v>7150</v>
      </c>
      <c r="K21">
        <v>215</v>
      </c>
      <c r="L21">
        <v>14</v>
      </c>
    </row>
    <row r="22" spans="1:12" x14ac:dyDescent="0.2">
      <c r="A22">
        <v>235</v>
      </c>
      <c r="B22">
        <v>12</v>
      </c>
      <c r="C22">
        <v>586</v>
      </c>
      <c r="D22" t="s">
        <v>7362</v>
      </c>
      <c r="E22">
        <v>16</v>
      </c>
      <c r="F22" s="21" t="s">
        <v>7170</v>
      </c>
      <c r="G22">
        <v>0</v>
      </c>
      <c r="H22">
        <f t="shared" si="0"/>
        <v>0</v>
      </c>
      <c r="I22">
        <f t="shared" si="1"/>
        <v>2.7303754266211606</v>
      </c>
      <c r="J22" t="s">
        <v>7150</v>
      </c>
      <c r="K22">
        <v>240</v>
      </c>
      <c r="L22">
        <v>14</v>
      </c>
    </row>
    <row r="23" spans="1:12" x14ac:dyDescent="0.2">
      <c r="A23">
        <v>260</v>
      </c>
      <c r="B23">
        <v>12</v>
      </c>
      <c r="C23">
        <v>586</v>
      </c>
      <c r="D23" t="s">
        <v>7363</v>
      </c>
      <c r="E23">
        <v>1</v>
      </c>
      <c r="F23" s="21" t="s">
        <v>7170</v>
      </c>
      <c r="G23">
        <v>0</v>
      </c>
      <c r="H23">
        <f t="shared" si="0"/>
        <v>0</v>
      </c>
      <c r="I23">
        <f t="shared" si="1"/>
        <v>0.17064846416382254</v>
      </c>
      <c r="J23" t="s">
        <v>7150</v>
      </c>
      <c r="K23">
        <v>265</v>
      </c>
      <c r="L23">
        <v>14</v>
      </c>
    </row>
    <row r="24" spans="1:12" x14ac:dyDescent="0.2">
      <c r="A24">
        <v>5</v>
      </c>
      <c r="B24">
        <v>12</v>
      </c>
      <c r="C24">
        <v>586</v>
      </c>
      <c r="D24" t="s">
        <v>7353</v>
      </c>
      <c r="E24">
        <v>245</v>
      </c>
      <c r="F24" t="s">
        <v>60</v>
      </c>
      <c r="G24">
        <v>5</v>
      </c>
      <c r="H24">
        <f t="shared" si="0"/>
        <v>2.0408163265306123</v>
      </c>
      <c r="I24">
        <f t="shared" si="1"/>
        <v>41.808873720136518</v>
      </c>
      <c r="J24" t="s">
        <v>7150</v>
      </c>
      <c r="K24">
        <v>5</v>
      </c>
      <c r="L24">
        <v>14</v>
      </c>
    </row>
    <row r="25" spans="1:12" x14ac:dyDescent="0.2">
      <c r="A25">
        <v>35</v>
      </c>
      <c r="B25">
        <v>12</v>
      </c>
      <c r="C25">
        <v>586</v>
      </c>
      <c r="D25" t="s">
        <v>7354</v>
      </c>
      <c r="E25">
        <v>238</v>
      </c>
      <c r="F25" t="s">
        <v>60</v>
      </c>
      <c r="G25">
        <v>23</v>
      </c>
      <c r="H25">
        <f t="shared" si="0"/>
        <v>9.6638655462184886</v>
      </c>
      <c r="I25">
        <f t="shared" si="1"/>
        <v>40.61433447098976</v>
      </c>
      <c r="J25" t="s">
        <v>7150</v>
      </c>
      <c r="K25">
        <v>40</v>
      </c>
      <c r="L25">
        <v>14</v>
      </c>
    </row>
    <row r="26" spans="1:12" x14ac:dyDescent="0.2">
      <c r="A26">
        <v>60</v>
      </c>
      <c r="B26">
        <v>12</v>
      </c>
      <c r="C26">
        <v>586</v>
      </c>
      <c r="D26" t="s">
        <v>7355</v>
      </c>
      <c r="E26">
        <v>20</v>
      </c>
      <c r="F26" t="s">
        <v>60</v>
      </c>
      <c r="G26">
        <v>0</v>
      </c>
      <c r="H26">
        <f t="shared" si="0"/>
        <v>0</v>
      </c>
      <c r="I26">
        <f t="shared" si="1"/>
        <v>3.4129692832764507</v>
      </c>
      <c r="J26" t="s">
        <v>7150</v>
      </c>
      <c r="K26">
        <v>65</v>
      </c>
      <c r="L26">
        <v>14</v>
      </c>
    </row>
    <row r="27" spans="1:12" x14ac:dyDescent="0.2">
      <c r="A27">
        <v>85</v>
      </c>
      <c r="B27">
        <v>12</v>
      </c>
      <c r="C27">
        <v>586</v>
      </c>
      <c r="D27" t="s">
        <v>7356</v>
      </c>
      <c r="E27">
        <v>67</v>
      </c>
      <c r="F27" t="s">
        <v>60</v>
      </c>
      <c r="G27">
        <v>1</v>
      </c>
      <c r="H27">
        <f t="shared" si="0"/>
        <v>1.4925373134328357</v>
      </c>
      <c r="I27">
        <f t="shared" si="1"/>
        <v>11.433447098976108</v>
      </c>
      <c r="J27" t="s">
        <v>7150</v>
      </c>
      <c r="K27">
        <v>90</v>
      </c>
      <c r="L27">
        <v>14</v>
      </c>
    </row>
    <row r="28" spans="1:12" x14ac:dyDescent="0.2">
      <c r="A28">
        <v>110</v>
      </c>
      <c r="B28">
        <v>12</v>
      </c>
      <c r="C28">
        <v>586</v>
      </c>
      <c r="D28" t="s">
        <v>7357</v>
      </c>
      <c r="E28">
        <v>108</v>
      </c>
      <c r="F28" t="s">
        <v>60</v>
      </c>
      <c r="G28">
        <v>1</v>
      </c>
      <c r="H28">
        <f t="shared" si="0"/>
        <v>0.92592592592592582</v>
      </c>
      <c r="I28">
        <f t="shared" si="1"/>
        <v>18.430034129692832</v>
      </c>
      <c r="J28" t="s">
        <v>7150</v>
      </c>
      <c r="K28">
        <v>115</v>
      </c>
      <c r="L28">
        <v>14</v>
      </c>
    </row>
    <row r="29" spans="1:12" x14ac:dyDescent="0.2">
      <c r="A29">
        <v>135</v>
      </c>
      <c r="B29">
        <v>12</v>
      </c>
      <c r="C29">
        <v>586</v>
      </c>
      <c r="D29" t="s">
        <v>7358</v>
      </c>
      <c r="E29">
        <v>118</v>
      </c>
      <c r="F29" t="s">
        <v>60</v>
      </c>
      <c r="G29">
        <v>0</v>
      </c>
      <c r="H29">
        <f t="shared" si="0"/>
        <v>0</v>
      </c>
      <c r="I29">
        <f t="shared" si="1"/>
        <v>20.136518771331058</v>
      </c>
      <c r="J29" t="s">
        <v>7150</v>
      </c>
      <c r="K29">
        <v>140</v>
      </c>
      <c r="L29">
        <v>14</v>
      </c>
    </row>
    <row r="30" spans="1:12" x14ac:dyDescent="0.2">
      <c r="A30">
        <v>160</v>
      </c>
      <c r="B30">
        <v>12</v>
      </c>
      <c r="C30">
        <v>586</v>
      </c>
      <c r="D30" t="s">
        <v>7359</v>
      </c>
      <c r="E30">
        <v>1</v>
      </c>
      <c r="F30" t="s">
        <v>60</v>
      </c>
      <c r="G30">
        <v>0</v>
      </c>
      <c r="H30">
        <f t="shared" si="0"/>
        <v>0</v>
      </c>
      <c r="I30">
        <f t="shared" si="1"/>
        <v>0.17064846416382254</v>
      </c>
      <c r="J30" t="s">
        <v>7150</v>
      </c>
      <c r="K30">
        <v>165</v>
      </c>
      <c r="L30">
        <v>14</v>
      </c>
    </row>
    <row r="31" spans="1:12" x14ac:dyDescent="0.2">
      <c r="A31">
        <v>185</v>
      </c>
      <c r="B31">
        <v>12</v>
      </c>
      <c r="C31">
        <v>586</v>
      </c>
      <c r="D31" t="s">
        <v>7360</v>
      </c>
      <c r="E31">
        <v>8</v>
      </c>
      <c r="F31" t="s">
        <v>60</v>
      </c>
      <c r="G31">
        <v>0</v>
      </c>
      <c r="H31">
        <f t="shared" si="0"/>
        <v>0</v>
      </c>
      <c r="I31">
        <f t="shared" si="1"/>
        <v>1.3651877133105803</v>
      </c>
      <c r="J31" t="s">
        <v>7150</v>
      </c>
      <c r="K31">
        <v>190</v>
      </c>
      <c r="L31">
        <v>14</v>
      </c>
    </row>
    <row r="32" spans="1:12" x14ac:dyDescent="0.2">
      <c r="A32">
        <v>210</v>
      </c>
      <c r="B32">
        <v>12</v>
      </c>
      <c r="C32">
        <v>586</v>
      </c>
      <c r="D32" t="s">
        <v>7361</v>
      </c>
      <c r="E32">
        <v>3</v>
      </c>
      <c r="F32" t="s">
        <v>60</v>
      </c>
      <c r="G32">
        <v>0</v>
      </c>
      <c r="H32">
        <f t="shared" si="0"/>
        <v>0</v>
      </c>
      <c r="I32">
        <f t="shared" si="1"/>
        <v>0.51194539249146753</v>
      </c>
      <c r="J32" t="s">
        <v>7150</v>
      </c>
      <c r="K32">
        <v>215</v>
      </c>
      <c r="L32">
        <v>14</v>
      </c>
    </row>
    <row r="33" spans="1:12" x14ac:dyDescent="0.2">
      <c r="A33">
        <v>235</v>
      </c>
      <c r="B33">
        <v>12</v>
      </c>
      <c r="C33">
        <v>586</v>
      </c>
      <c r="D33" t="s">
        <v>7362</v>
      </c>
      <c r="E33">
        <v>16</v>
      </c>
      <c r="F33" t="s">
        <v>60</v>
      </c>
      <c r="G33">
        <v>0</v>
      </c>
      <c r="H33">
        <f t="shared" si="0"/>
        <v>0</v>
      </c>
      <c r="I33">
        <f t="shared" si="1"/>
        <v>2.7303754266211606</v>
      </c>
      <c r="J33" t="s">
        <v>7150</v>
      </c>
      <c r="K33">
        <v>240</v>
      </c>
      <c r="L33">
        <v>14</v>
      </c>
    </row>
    <row r="34" spans="1:12" x14ac:dyDescent="0.2">
      <c r="A34">
        <v>260</v>
      </c>
      <c r="B34">
        <v>12</v>
      </c>
      <c r="C34">
        <v>586</v>
      </c>
      <c r="D34" t="s">
        <v>7363</v>
      </c>
      <c r="E34">
        <v>1</v>
      </c>
      <c r="F34" t="s">
        <v>60</v>
      </c>
      <c r="G34">
        <v>0</v>
      </c>
      <c r="H34">
        <f t="shared" si="0"/>
        <v>0</v>
      </c>
      <c r="I34">
        <f t="shared" si="1"/>
        <v>0.17064846416382254</v>
      </c>
      <c r="J34" t="s">
        <v>7150</v>
      </c>
      <c r="K34">
        <v>265</v>
      </c>
      <c r="L34">
        <v>14</v>
      </c>
    </row>
    <row r="35" spans="1:12" x14ac:dyDescent="0.2">
      <c r="A35">
        <v>5</v>
      </c>
      <c r="B35">
        <v>12</v>
      </c>
      <c r="C35">
        <v>586</v>
      </c>
      <c r="D35" t="s">
        <v>7353</v>
      </c>
      <c r="E35">
        <v>245</v>
      </c>
      <c r="F35" t="s">
        <v>7165</v>
      </c>
      <c r="G35">
        <v>203</v>
      </c>
      <c r="H35">
        <f t="shared" si="0"/>
        <v>82.857142857142861</v>
      </c>
      <c r="I35">
        <f t="shared" si="1"/>
        <v>41.808873720136518</v>
      </c>
      <c r="J35" t="s">
        <v>7150</v>
      </c>
      <c r="K35">
        <v>5</v>
      </c>
      <c r="L35">
        <v>14</v>
      </c>
    </row>
    <row r="36" spans="1:12" x14ac:dyDescent="0.2">
      <c r="A36">
        <v>35</v>
      </c>
      <c r="B36">
        <v>12</v>
      </c>
      <c r="C36">
        <v>586</v>
      </c>
      <c r="D36" t="s">
        <v>7354</v>
      </c>
      <c r="E36">
        <v>238</v>
      </c>
      <c r="F36" t="s">
        <v>7165</v>
      </c>
      <c r="G36">
        <v>175</v>
      </c>
      <c r="H36">
        <f t="shared" si="0"/>
        <v>73.529411764705884</v>
      </c>
      <c r="I36">
        <f t="shared" si="1"/>
        <v>40.61433447098976</v>
      </c>
      <c r="J36" t="s">
        <v>7150</v>
      </c>
      <c r="K36">
        <v>40</v>
      </c>
      <c r="L36">
        <v>14</v>
      </c>
    </row>
    <row r="37" spans="1:12" x14ac:dyDescent="0.2">
      <c r="A37">
        <v>60</v>
      </c>
      <c r="B37">
        <v>12</v>
      </c>
      <c r="C37">
        <v>586</v>
      </c>
      <c r="D37" t="s">
        <v>7355</v>
      </c>
      <c r="E37">
        <v>20</v>
      </c>
      <c r="F37" t="s">
        <v>7165</v>
      </c>
      <c r="G37">
        <v>15</v>
      </c>
      <c r="H37">
        <f t="shared" si="0"/>
        <v>75</v>
      </c>
      <c r="I37">
        <f t="shared" si="1"/>
        <v>3.4129692832764507</v>
      </c>
      <c r="J37" t="s">
        <v>7150</v>
      </c>
      <c r="K37">
        <v>65</v>
      </c>
      <c r="L37">
        <v>14</v>
      </c>
    </row>
    <row r="38" spans="1:12" x14ac:dyDescent="0.2">
      <c r="A38">
        <v>85</v>
      </c>
      <c r="B38">
        <v>12</v>
      </c>
      <c r="C38">
        <v>586</v>
      </c>
      <c r="D38" t="s">
        <v>7356</v>
      </c>
      <c r="E38">
        <v>67</v>
      </c>
      <c r="F38" t="s">
        <v>7165</v>
      </c>
      <c r="G38">
        <v>52</v>
      </c>
      <c r="H38">
        <f t="shared" si="0"/>
        <v>77.611940298507463</v>
      </c>
      <c r="I38">
        <f t="shared" si="1"/>
        <v>11.433447098976108</v>
      </c>
      <c r="J38" t="s">
        <v>7150</v>
      </c>
      <c r="K38">
        <v>90</v>
      </c>
      <c r="L38">
        <v>14</v>
      </c>
    </row>
    <row r="39" spans="1:12" x14ac:dyDescent="0.2">
      <c r="A39">
        <v>110</v>
      </c>
      <c r="B39">
        <v>12</v>
      </c>
      <c r="C39">
        <v>586</v>
      </c>
      <c r="D39" t="s">
        <v>7357</v>
      </c>
      <c r="E39">
        <v>108</v>
      </c>
      <c r="F39" t="s">
        <v>7165</v>
      </c>
      <c r="G39">
        <v>80</v>
      </c>
      <c r="H39">
        <f>G39/E39*100</f>
        <v>74.074074074074076</v>
      </c>
      <c r="I39">
        <f t="shared" si="1"/>
        <v>18.430034129692832</v>
      </c>
      <c r="J39" t="s">
        <v>7150</v>
      </c>
      <c r="K39">
        <v>115</v>
      </c>
      <c r="L39">
        <v>14</v>
      </c>
    </row>
    <row r="40" spans="1:12" x14ac:dyDescent="0.2">
      <c r="A40">
        <v>135</v>
      </c>
      <c r="B40">
        <v>12</v>
      </c>
      <c r="C40">
        <v>586</v>
      </c>
      <c r="D40" t="s">
        <v>7358</v>
      </c>
      <c r="E40">
        <v>118</v>
      </c>
      <c r="F40" t="s">
        <v>7165</v>
      </c>
      <c r="G40">
        <v>86</v>
      </c>
      <c r="H40">
        <f t="shared" si="0"/>
        <v>72.881355932203391</v>
      </c>
      <c r="I40">
        <f t="shared" si="1"/>
        <v>20.136518771331058</v>
      </c>
      <c r="J40" t="s">
        <v>7150</v>
      </c>
      <c r="K40">
        <v>140</v>
      </c>
      <c r="L40">
        <v>14</v>
      </c>
    </row>
    <row r="41" spans="1:12" x14ac:dyDescent="0.2">
      <c r="A41">
        <v>160</v>
      </c>
      <c r="B41">
        <v>12</v>
      </c>
      <c r="C41">
        <v>586</v>
      </c>
      <c r="D41" t="s">
        <v>7359</v>
      </c>
      <c r="E41">
        <v>1</v>
      </c>
      <c r="F41" t="s">
        <v>7165</v>
      </c>
      <c r="G41">
        <v>1</v>
      </c>
      <c r="H41">
        <f t="shared" si="0"/>
        <v>100</v>
      </c>
      <c r="I41">
        <f t="shared" si="1"/>
        <v>0.17064846416382254</v>
      </c>
      <c r="J41" t="s">
        <v>7150</v>
      </c>
      <c r="K41">
        <v>165</v>
      </c>
      <c r="L41">
        <v>14</v>
      </c>
    </row>
    <row r="42" spans="1:12" x14ac:dyDescent="0.2">
      <c r="A42">
        <v>185</v>
      </c>
      <c r="B42">
        <v>12</v>
      </c>
      <c r="C42">
        <v>586</v>
      </c>
      <c r="D42" t="s">
        <v>7360</v>
      </c>
      <c r="E42">
        <v>8</v>
      </c>
      <c r="F42" t="s">
        <v>7165</v>
      </c>
      <c r="G42">
        <v>8</v>
      </c>
      <c r="H42">
        <f t="shared" si="0"/>
        <v>100</v>
      </c>
      <c r="I42">
        <f t="shared" si="1"/>
        <v>1.3651877133105803</v>
      </c>
      <c r="J42" t="s">
        <v>7150</v>
      </c>
      <c r="K42">
        <v>190</v>
      </c>
      <c r="L42">
        <v>14</v>
      </c>
    </row>
    <row r="43" spans="1:12" x14ac:dyDescent="0.2">
      <c r="A43">
        <v>210</v>
      </c>
      <c r="B43">
        <v>12</v>
      </c>
      <c r="C43">
        <v>586</v>
      </c>
      <c r="D43" t="s">
        <v>7361</v>
      </c>
      <c r="E43">
        <v>3</v>
      </c>
      <c r="F43" t="s">
        <v>7165</v>
      </c>
      <c r="G43">
        <v>2</v>
      </c>
      <c r="H43">
        <f t="shared" si="0"/>
        <v>66.666666666666657</v>
      </c>
      <c r="I43">
        <f t="shared" si="1"/>
        <v>0.51194539249146753</v>
      </c>
      <c r="J43" t="s">
        <v>7150</v>
      </c>
      <c r="K43">
        <v>215</v>
      </c>
      <c r="L43">
        <v>14</v>
      </c>
    </row>
    <row r="44" spans="1:12" x14ac:dyDescent="0.2">
      <c r="A44">
        <v>235</v>
      </c>
      <c r="B44">
        <v>12</v>
      </c>
      <c r="C44">
        <v>586</v>
      </c>
      <c r="D44" t="s">
        <v>7362</v>
      </c>
      <c r="E44">
        <v>16</v>
      </c>
      <c r="F44" t="s">
        <v>7165</v>
      </c>
      <c r="G44">
        <v>12</v>
      </c>
      <c r="H44">
        <f t="shared" si="0"/>
        <v>75</v>
      </c>
      <c r="I44">
        <f t="shared" si="1"/>
        <v>2.7303754266211606</v>
      </c>
      <c r="J44" t="s">
        <v>7150</v>
      </c>
      <c r="K44">
        <v>240</v>
      </c>
      <c r="L44">
        <v>14</v>
      </c>
    </row>
    <row r="45" spans="1:12" x14ac:dyDescent="0.2">
      <c r="A45">
        <v>260</v>
      </c>
      <c r="B45">
        <v>12</v>
      </c>
      <c r="C45">
        <v>586</v>
      </c>
      <c r="D45" t="s">
        <v>7363</v>
      </c>
      <c r="E45">
        <v>1</v>
      </c>
      <c r="F45" t="s">
        <v>7165</v>
      </c>
      <c r="G45">
        <v>0</v>
      </c>
      <c r="H45">
        <f t="shared" si="0"/>
        <v>0</v>
      </c>
      <c r="I45">
        <f t="shared" si="1"/>
        <v>0.17064846416382254</v>
      </c>
      <c r="J45" t="s">
        <v>7150</v>
      </c>
      <c r="K45">
        <v>265</v>
      </c>
      <c r="L45">
        <v>14</v>
      </c>
    </row>
    <row r="46" spans="1:12" x14ac:dyDescent="0.2">
      <c r="A46">
        <v>5</v>
      </c>
      <c r="B46">
        <v>12</v>
      </c>
      <c r="C46">
        <v>586</v>
      </c>
      <c r="D46" t="s">
        <v>7353</v>
      </c>
      <c r="E46">
        <v>245</v>
      </c>
      <c r="F46" t="s">
        <v>7169</v>
      </c>
      <c r="G46">
        <v>4</v>
      </c>
      <c r="H46">
        <f t="shared" si="0"/>
        <v>1.6326530612244898</v>
      </c>
      <c r="I46">
        <f t="shared" si="1"/>
        <v>41.808873720136518</v>
      </c>
      <c r="J46" t="s">
        <v>7150</v>
      </c>
      <c r="K46">
        <v>5</v>
      </c>
      <c r="L46">
        <v>14</v>
      </c>
    </row>
    <row r="47" spans="1:12" x14ac:dyDescent="0.2">
      <c r="A47">
        <v>35</v>
      </c>
      <c r="B47">
        <v>12</v>
      </c>
      <c r="C47">
        <v>586</v>
      </c>
      <c r="D47" t="s">
        <v>7354</v>
      </c>
      <c r="E47">
        <v>238</v>
      </c>
      <c r="F47" t="s">
        <v>7169</v>
      </c>
      <c r="G47">
        <v>14</v>
      </c>
      <c r="H47">
        <f t="shared" si="0"/>
        <v>5.8823529411764701</v>
      </c>
      <c r="I47">
        <f t="shared" si="1"/>
        <v>40.61433447098976</v>
      </c>
      <c r="J47" t="s">
        <v>7150</v>
      </c>
      <c r="K47">
        <v>40</v>
      </c>
      <c r="L47">
        <v>14</v>
      </c>
    </row>
    <row r="48" spans="1:12" x14ac:dyDescent="0.2">
      <c r="A48">
        <v>60</v>
      </c>
      <c r="B48">
        <v>12</v>
      </c>
      <c r="C48">
        <v>586</v>
      </c>
      <c r="D48" t="s">
        <v>7355</v>
      </c>
      <c r="E48">
        <v>20</v>
      </c>
      <c r="F48" t="s">
        <v>7169</v>
      </c>
      <c r="G48">
        <v>0</v>
      </c>
      <c r="H48">
        <f t="shared" si="0"/>
        <v>0</v>
      </c>
      <c r="I48">
        <f t="shared" si="1"/>
        <v>3.4129692832764507</v>
      </c>
      <c r="J48" t="s">
        <v>7150</v>
      </c>
      <c r="K48">
        <v>65</v>
      </c>
      <c r="L48">
        <v>14</v>
      </c>
    </row>
    <row r="49" spans="1:12" x14ac:dyDescent="0.2">
      <c r="A49">
        <v>85</v>
      </c>
      <c r="B49">
        <v>12</v>
      </c>
      <c r="C49">
        <v>586</v>
      </c>
      <c r="D49" t="s">
        <v>7356</v>
      </c>
      <c r="E49">
        <v>67</v>
      </c>
      <c r="F49" t="s">
        <v>7169</v>
      </c>
      <c r="G49">
        <v>3</v>
      </c>
      <c r="H49">
        <f t="shared" si="0"/>
        <v>4.4776119402985071</v>
      </c>
      <c r="I49">
        <f t="shared" si="1"/>
        <v>11.433447098976108</v>
      </c>
      <c r="J49" t="s">
        <v>7150</v>
      </c>
      <c r="K49">
        <v>90</v>
      </c>
      <c r="L49">
        <v>14</v>
      </c>
    </row>
    <row r="50" spans="1:12" x14ac:dyDescent="0.2">
      <c r="A50">
        <v>110</v>
      </c>
      <c r="B50">
        <v>12</v>
      </c>
      <c r="C50">
        <v>586</v>
      </c>
      <c r="D50" t="s">
        <v>7357</v>
      </c>
      <c r="E50">
        <v>108</v>
      </c>
      <c r="F50" t="s">
        <v>7169</v>
      </c>
      <c r="G50">
        <v>0</v>
      </c>
      <c r="H50">
        <f t="shared" si="0"/>
        <v>0</v>
      </c>
      <c r="I50">
        <f t="shared" si="1"/>
        <v>18.430034129692832</v>
      </c>
      <c r="J50" t="s">
        <v>7150</v>
      </c>
      <c r="K50">
        <v>115</v>
      </c>
      <c r="L50">
        <v>14</v>
      </c>
    </row>
    <row r="51" spans="1:12" x14ac:dyDescent="0.2">
      <c r="A51">
        <v>135</v>
      </c>
      <c r="B51">
        <v>12</v>
      </c>
      <c r="C51">
        <v>586</v>
      </c>
      <c r="D51" t="s">
        <v>7358</v>
      </c>
      <c r="E51">
        <v>118</v>
      </c>
      <c r="F51" t="s">
        <v>7169</v>
      </c>
      <c r="G51">
        <v>0</v>
      </c>
      <c r="H51">
        <f t="shared" si="0"/>
        <v>0</v>
      </c>
      <c r="I51">
        <f t="shared" si="1"/>
        <v>20.136518771331058</v>
      </c>
      <c r="J51" t="s">
        <v>7150</v>
      </c>
      <c r="K51">
        <v>140</v>
      </c>
      <c r="L51">
        <v>14</v>
      </c>
    </row>
    <row r="52" spans="1:12" x14ac:dyDescent="0.2">
      <c r="A52">
        <v>160</v>
      </c>
      <c r="B52">
        <v>12</v>
      </c>
      <c r="C52">
        <v>586</v>
      </c>
      <c r="D52" t="s">
        <v>7359</v>
      </c>
      <c r="E52">
        <v>1</v>
      </c>
      <c r="F52" t="s">
        <v>7169</v>
      </c>
      <c r="G52">
        <v>0</v>
      </c>
      <c r="H52">
        <f t="shared" si="0"/>
        <v>0</v>
      </c>
      <c r="I52">
        <f t="shared" si="1"/>
        <v>0.17064846416382254</v>
      </c>
      <c r="J52" t="s">
        <v>7150</v>
      </c>
      <c r="K52">
        <v>165</v>
      </c>
      <c r="L52">
        <v>14</v>
      </c>
    </row>
    <row r="53" spans="1:12" x14ac:dyDescent="0.2">
      <c r="A53">
        <v>185</v>
      </c>
      <c r="B53">
        <v>12</v>
      </c>
      <c r="C53">
        <v>586</v>
      </c>
      <c r="D53" t="s">
        <v>7360</v>
      </c>
      <c r="E53">
        <v>8</v>
      </c>
      <c r="F53" t="s">
        <v>7169</v>
      </c>
      <c r="G53">
        <v>0</v>
      </c>
      <c r="H53">
        <f t="shared" si="0"/>
        <v>0</v>
      </c>
      <c r="I53">
        <f t="shared" si="1"/>
        <v>1.3651877133105803</v>
      </c>
      <c r="J53" t="s">
        <v>7150</v>
      </c>
      <c r="K53">
        <v>190</v>
      </c>
      <c r="L53">
        <v>14</v>
      </c>
    </row>
    <row r="54" spans="1:12" x14ac:dyDescent="0.2">
      <c r="A54">
        <v>210</v>
      </c>
      <c r="B54">
        <v>12</v>
      </c>
      <c r="C54">
        <v>586</v>
      </c>
      <c r="D54" t="s">
        <v>7361</v>
      </c>
      <c r="E54">
        <v>3</v>
      </c>
      <c r="F54" t="s">
        <v>7169</v>
      </c>
      <c r="G54">
        <v>0</v>
      </c>
      <c r="H54">
        <f t="shared" si="0"/>
        <v>0</v>
      </c>
      <c r="I54">
        <f t="shared" si="1"/>
        <v>0.51194539249146753</v>
      </c>
      <c r="J54" t="s">
        <v>7150</v>
      </c>
      <c r="K54">
        <v>215</v>
      </c>
      <c r="L54">
        <v>14</v>
      </c>
    </row>
    <row r="55" spans="1:12" x14ac:dyDescent="0.2">
      <c r="A55">
        <v>235</v>
      </c>
      <c r="B55">
        <v>12</v>
      </c>
      <c r="C55">
        <v>586</v>
      </c>
      <c r="D55" t="s">
        <v>7362</v>
      </c>
      <c r="E55">
        <v>16</v>
      </c>
      <c r="F55" t="s">
        <v>7169</v>
      </c>
      <c r="G55">
        <v>0</v>
      </c>
      <c r="H55">
        <f t="shared" si="0"/>
        <v>0</v>
      </c>
      <c r="I55">
        <f t="shared" si="1"/>
        <v>2.7303754266211606</v>
      </c>
      <c r="J55" t="s">
        <v>7150</v>
      </c>
      <c r="K55">
        <v>240</v>
      </c>
      <c r="L55">
        <v>14</v>
      </c>
    </row>
    <row r="56" spans="1:12" x14ac:dyDescent="0.2">
      <c r="A56">
        <v>260</v>
      </c>
      <c r="B56">
        <v>12</v>
      </c>
      <c r="C56">
        <v>586</v>
      </c>
      <c r="D56" t="s">
        <v>7363</v>
      </c>
      <c r="E56">
        <v>1</v>
      </c>
      <c r="F56" t="s">
        <v>7169</v>
      </c>
      <c r="G56">
        <v>1</v>
      </c>
      <c r="H56">
        <f t="shared" ref="H56:H119" si="2">G56/E56*100</f>
        <v>100</v>
      </c>
      <c r="I56">
        <f t="shared" si="1"/>
        <v>0.17064846416382254</v>
      </c>
      <c r="J56" t="s">
        <v>7150</v>
      </c>
      <c r="K56">
        <v>265</v>
      </c>
      <c r="L56">
        <v>14</v>
      </c>
    </row>
    <row r="57" spans="1:12" x14ac:dyDescent="0.2">
      <c r="A57">
        <v>5</v>
      </c>
      <c r="B57">
        <v>12</v>
      </c>
      <c r="C57">
        <v>586</v>
      </c>
      <c r="D57" t="s">
        <v>7353</v>
      </c>
      <c r="E57">
        <v>245</v>
      </c>
      <c r="F57" t="s">
        <v>7162</v>
      </c>
      <c r="G57">
        <v>20</v>
      </c>
      <c r="H57">
        <f t="shared" si="2"/>
        <v>8.1632653061224492</v>
      </c>
      <c r="I57">
        <f t="shared" ref="I57:I120" si="3">E57/C57*100</f>
        <v>41.808873720136518</v>
      </c>
      <c r="J57" t="s">
        <v>7150</v>
      </c>
      <c r="K57">
        <v>5</v>
      </c>
      <c r="L57">
        <v>14</v>
      </c>
    </row>
    <row r="58" spans="1:12" x14ac:dyDescent="0.2">
      <c r="A58">
        <v>35</v>
      </c>
      <c r="B58">
        <v>12</v>
      </c>
      <c r="C58">
        <v>586</v>
      </c>
      <c r="D58" t="s">
        <v>7354</v>
      </c>
      <c r="E58">
        <v>238</v>
      </c>
      <c r="F58" t="s">
        <v>7162</v>
      </c>
      <c r="G58">
        <v>10</v>
      </c>
      <c r="H58">
        <f t="shared" si="2"/>
        <v>4.2016806722689077</v>
      </c>
      <c r="I58">
        <f t="shared" si="3"/>
        <v>40.61433447098976</v>
      </c>
      <c r="J58" t="s">
        <v>7150</v>
      </c>
      <c r="K58">
        <v>40</v>
      </c>
      <c r="L58">
        <v>14</v>
      </c>
    </row>
    <row r="59" spans="1:12" x14ac:dyDescent="0.2">
      <c r="A59">
        <v>60</v>
      </c>
      <c r="B59">
        <v>12</v>
      </c>
      <c r="C59">
        <v>586</v>
      </c>
      <c r="D59" t="s">
        <v>7355</v>
      </c>
      <c r="E59">
        <v>20</v>
      </c>
      <c r="F59" t="s">
        <v>7162</v>
      </c>
      <c r="G59">
        <v>2</v>
      </c>
      <c r="H59">
        <f t="shared" si="2"/>
        <v>10</v>
      </c>
      <c r="I59">
        <f t="shared" si="3"/>
        <v>3.4129692832764507</v>
      </c>
      <c r="J59" t="s">
        <v>7150</v>
      </c>
      <c r="K59">
        <v>65</v>
      </c>
      <c r="L59">
        <v>14</v>
      </c>
    </row>
    <row r="60" spans="1:12" x14ac:dyDescent="0.2">
      <c r="A60">
        <v>85</v>
      </c>
      <c r="B60">
        <v>12</v>
      </c>
      <c r="C60">
        <v>586</v>
      </c>
      <c r="D60" t="s">
        <v>7356</v>
      </c>
      <c r="E60">
        <v>67</v>
      </c>
      <c r="F60" t="s">
        <v>7162</v>
      </c>
      <c r="G60">
        <v>4</v>
      </c>
      <c r="H60">
        <f t="shared" si="2"/>
        <v>5.9701492537313428</v>
      </c>
      <c r="I60">
        <f t="shared" si="3"/>
        <v>11.433447098976108</v>
      </c>
      <c r="J60" t="s">
        <v>7150</v>
      </c>
      <c r="K60">
        <v>90</v>
      </c>
      <c r="L60">
        <v>14</v>
      </c>
    </row>
    <row r="61" spans="1:12" x14ac:dyDescent="0.2">
      <c r="A61">
        <v>110</v>
      </c>
      <c r="B61">
        <v>12</v>
      </c>
      <c r="C61">
        <v>586</v>
      </c>
      <c r="D61" t="s">
        <v>7357</v>
      </c>
      <c r="E61">
        <v>108</v>
      </c>
      <c r="F61" t="s">
        <v>7162</v>
      </c>
      <c r="G61">
        <v>27</v>
      </c>
      <c r="H61">
        <f t="shared" si="2"/>
        <v>25</v>
      </c>
      <c r="I61">
        <f t="shared" si="3"/>
        <v>18.430034129692832</v>
      </c>
      <c r="J61" t="s">
        <v>7150</v>
      </c>
      <c r="K61">
        <v>115</v>
      </c>
      <c r="L61">
        <v>14</v>
      </c>
    </row>
    <row r="62" spans="1:12" x14ac:dyDescent="0.2">
      <c r="A62">
        <v>135</v>
      </c>
      <c r="B62">
        <v>12</v>
      </c>
      <c r="C62">
        <v>586</v>
      </c>
      <c r="D62" t="s">
        <v>7358</v>
      </c>
      <c r="E62">
        <v>118</v>
      </c>
      <c r="F62" t="s">
        <v>7162</v>
      </c>
      <c r="G62">
        <v>32</v>
      </c>
      <c r="H62">
        <f t="shared" si="2"/>
        <v>27.118644067796609</v>
      </c>
      <c r="I62">
        <f t="shared" si="3"/>
        <v>20.136518771331058</v>
      </c>
      <c r="J62" t="s">
        <v>7150</v>
      </c>
      <c r="K62">
        <v>140</v>
      </c>
      <c r="L62">
        <v>14</v>
      </c>
    </row>
    <row r="63" spans="1:12" x14ac:dyDescent="0.2">
      <c r="A63">
        <v>160</v>
      </c>
      <c r="B63">
        <v>12</v>
      </c>
      <c r="C63">
        <v>586</v>
      </c>
      <c r="D63" t="s">
        <v>7359</v>
      </c>
      <c r="E63">
        <v>1</v>
      </c>
      <c r="F63" t="s">
        <v>7162</v>
      </c>
      <c r="G63">
        <v>0</v>
      </c>
      <c r="H63">
        <f t="shared" si="2"/>
        <v>0</v>
      </c>
      <c r="I63">
        <f t="shared" si="3"/>
        <v>0.17064846416382254</v>
      </c>
      <c r="J63" t="s">
        <v>7150</v>
      </c>
      <c r="K63">
        <v>165</v>
      </c>
      <c r="L63">
        <v>14</v>
      </c>
    </row>
    <row r="64" spans="1:12" x14ac:dyDescent="0.2">
      <c r="A64">
        <v>185</v>
      </c>
      <c r="B64">
        <v>12</v>
      </c>
      <c r="C64">
        <v>586</v>
      </c>
      <c r="D64" t="s">
        <v>7360</v>
      </c>
      <c r="E64">
        <v>8</v>
      </c>
      <c r="F64" t="s">
        <v>7162</v>
      </c>
      <c r="G64">
        <v>0</v>
      </c>
      <c r="H64">
        <f t="shared" si="2"/>
        <v>0</v>
      </c>
      <c r="I64">
        <f t="shared" si="3"/>
        <v>1.3651877133105803</v>
      </c>
      <c r="J64" t="s">
        <v>7150</v>
      </c>
      <c r="K64">
        <v>190</v>
      </c>
      <c r="L64">
        <v>14</v>
      </c>
    </row>
    <row r="65" spans="1:12" x14ac:dyDescent="0.2">
      <c r="A65">
        <v>210</v>
      </c>
      <c r="B65">
        <v>12</v>
      </c>
      <c r="C65">
        <v>586</v>
      </c>
      <c r="D65" t="s">
        <v>7361</v>
      </c>
      <c r="E65">
        <v>3</v>
      </c>
      <c r="F65" t="s">
        <v>7162</v>
      </c>
      <c r="G65">
        <v>1</v>
      </c>
      <c r="H65">
        <f t="shared" si="2"/>
        <v>33.333333333333329</v>
      </c>
      <c r="I65">
        <f t="shared" si="3"/>
        <v>0.51194539249146753</v>
      </c>
      <c r="J65" t="s">
        <v>7150</v>
      </c>
      <c r="K65">
        <v>215</v>
      </c>
      <c r="L65">
        <v>14</v>
      </c>
    </row>
    <row r="66" spans="1:12" x14ac:dyDescent="0.2">
      <c r="A66">
        <v>235</v>
      </c>
      <c r="B66">
        <v>12</v>
      </c>
      <c r="C66">
        <v>586</v>
      </c>
      <c r="D66" t="s">
        <v>7362</v>
      </c>
      <c r="E66">
        <v>16</v>
      </c>
      <c r="F66" t="s">
        <v>7162</v>
      </c>
      <c r="G66">
        <v>4</v>
      </c>
      <c r="H66">
        <f t="shared" si="2"/>
        <v>25</v>
      </c>
      <c r="I66">
        <f t="shared" si="3"/>
        <v>2.7303754266211606</v>
      </c>
      <c r="J66" t="s">
        <v>7150</v>
      </c>
      <c r="K66">
        <v>240</v>
      </c>
      <c r="L66">
        <v>14</v>
      </c>
    </row>
    <row r="67" spans="1:12" x14ac:dyDescent="0.2">
      <c r="A67">
        <v>260</v>
      </c>
      <c r="B67">
        <v>12</v>
      </c>
      <c r="C67">
        <v>586</v>
      </c>
      <c r="D67" t="s">
        <v>7363</v>
      </c>
      <c r="E67">
        <v>1</v>
      </c>
      <c r="F67" t="s">
        <v>7162</v>
      </c>
      <c r="G67">
        <v>0</v>
      </c>
      <c r="H67">
        <f t="shared" si="2"/>
        <v>0</v>
      </c>
      <c r="I67">
        <f t="shared" si="3"/>
        <v>0.17064846416382254</v>
      </c>
      <c r="J67" t="s">
        <v>7150</v>
      </c>
      <c r="K67">
        <v>265</v>
      </c>
      <c r="L67">
        <v>14</v>
      </c>
    </row>
    <row r="68" spans="1:12" x14ac:dyDescent="0.2">
      <c r="A68">
        <v>5</v>
      </c>
      <c r="B68">
        <v>12</v>
      </c>
      <c r="C68">
        <v>586</v>
      </c>
      <c r="D68" t="s">
        <v>7353</v>
      </c>
      <c r="E68">
        <v>245</v>
      </c>
      <c r="F68" t="s">
        <v>7168</v>
      </c>
      <c r="G68">
        <v>2</v>
      </c>
      <c r="H68">
        <f t="shared" si="2"/>
        <v>0.81632653061224492</v>
      </c>
      <c r="I68">
        <f t="shared" si="3"/>
        <v>41.808873720136518</v>
      </c>
      <c r="J68" t="s">
        <v>7150</v>
      </c>
      <c r="K68">
        <v>5</v>
      </c>
      <c r="L68">
        <v>14</v>
      </c>
    </row>
    <row r="69" spans="1:12" x14ac:dyDescent="0.2">
      <c r="A69">
        <v>35</v>
      </c>
      <c r="B69">
        <v>12</v>
      </c>
      <c r="C69">
        <v>586</v>
      </c>
      <c r="D69" t="s">
        <v>7354</v>
      </c>
      <c r="E69">
        <v>238</v>
      </c>
      <c r="F69" t="s">
        <v>7168</v>
      </c>
      <c r="G69">
        <v>4</v>
      </c>
      <c r="H69">
        <f t="shared" si="2"/>
        <v>1.680672268907563</v>
      </c>
      <c r="I69">
        <f t="shared" si="3"/>
        <v>40.61433447098976</v>
      </c>
      <c r="J69" t="s">
        <v>7150</v>
      </c>
      <c r="K69">
        <v>40</v>
      </c>
      <c r="L69">
        <v>14</v>
      </c>
    </row>
    <row r="70" spans="1:12" x14ac:dyDescent="0.2">
      <c r="A70">
        <v>60</v>
      </c>
      <c r="B70">
        <v>12</v>
      </c>
      <c r="C70">
        <v>586</v>
      </c>
      <c r="D70" t="s">
        <v>7355</v>
      </c>
      <c r="E70">
        <v>20</v>
      </c>
      <c r="F70" t="s">
        <v>7168</v>
      </c>
      <c r="G70">
        <v>0</v>
      </c>
      <c r="H70">
        <f t="shared" si="2"/>
        <v>0</v>
      </c>
      <c r="I70">
        <f t="shared" si="3"/>
        <v>3.4129692832764507</v>
      </c>
      <c r="J70" t="s">
        <v>7150</v>
      </c>
      <c r="K70">
        <v>65</v>
      </c>
      <c r="L70">
        <v>14</v>
      </c>
    </row>
    <row r="71" spans="1:12" x14ac:dyDescent="0.2">
      <c r="A71">
        <v>85</v>
      </c>
      <c r="B71">
        <v>12</v>
      </c>
      <c r="C71">
        <v>586</v>
      </c>
      <c r="D71" t="s">
        <v>7356</v>
      </c>
      <c r="E71">
        <v>67</v>
      </c>
      <c r="F71" t="s">
        <v>7168</v>
      </c>
      <c r="G71">
        <v>0</v>
      </c>
      <c r="H71">
        <f t="shared" si="2"/>
        <v>0</v>
      </c>
      <c r="I71">
        <f t="shared" si="3"/>
        <v>11.433447098976108</v>
      </c>
      <c r="J71" t="s">
        <v>7150</v>
      </c>
      <c r="K71">
        <v>90</v>
      </c>
      <c r="L71">
        <v>14</v>
      </c>
    </row>
    <row r="72" spans="1:12" x14ac:dyDescent="0.2">
      <c r="A72">
        <v>110</v>
      </c>
      <c r="B72">
        <v>12</v>
      </c>
      <c r="C72">
        <v>586</v>
      </c>
      <c r="D72" t="s">
        <v>7357</v>
      </c>
      <c r="E72">
        <v>108</v>
      </c>
      <c r="F72" t="s">
        <v>7168</v>
      </c>
      <c r="G72">
        <v>0</v>
      </c>
      <c r="H72">
        <f t="shared" si="2"/>
        <v>0</v>
      </c>
      <c r="I72">
        <f t="shared" si="3"/>
        <v>18.430034129692832</v>
      </c>
      <c r="J72" t="s">
        <v>7150</v>
      </c>
      <c r="K72">
        <v>115</v>
      </c>
      <c r="L72">
        <v>14</v>
      </c>
    </row>
    <row r="73" spans="1:12" x14ac:dyDescent="0.2">
      <c r="A73">
        <v>135</v>
      </c>
      <c r="B73">
        <v>12</v>
      </c>
      <c r="C73">
        <v>586</v>
      </c>
      <c r="D73" t="s">
        <v>7358</v>
      </c>
      <c r="E73">
        <v>118</v>
      </c>
      <c r="F73" t="s">
        <v>7168</v>
      </c>
      <c r="G73">
        <v>0</v>
      </c>
      <c r="H73">
        <f t="shared" si="2"/>
        <v>0</v>
      </c>
      <c r="I73">
        <f t="shared" si="3"/>
        <v>20.136518771331058</v>
      </c>
      <c r="J73" t="s">
        <v>7150</v>
      </c>
      <c r="K73">
        <v>140</v>
      </c>
      <c r="L73">
        <v>14</v>
      </c>
    </row>
    <row r="74" spans="1:12" x14ac:dyDescent="0.2">
      <c r="A74">
        <v>160</v>
      </c>
      <c r="B74">
        <v>12</v>
      </c>
      <c r="C74">
        <v>586</v>
      </c>
      <c r="D74" t="s">
        <v>7359</v>
      </c>
      <c r="E74">
        <v>1</v>
      </c>
      <c r="F74" t="s">
        <v>7168</v>
      </c>
      <c r="G74">
        <v>0</v>
      </c>
      <c r="H74">
        <f t="shared" si="2"/>
        <v>0</v>
      </c>
      <c r="I74">
        <f t="shared" si="3"/>
        <v>0.17064846416382254</v>
      </c>
      <c r="J74" t="s">
        <v>7150</v>
      </c>
      <c r="K74">
        <v>165</v>
      </c>
      <c r="L74">
        <v>14</v>
      </c>
    </row>
    <row r="75" spans="1:12" x14ac:dyDescent="0.2">
      <c r="A75">
        <v>185</v>
      </c>
      <c r="B75">
        <v>12</v>
      </c>
      <c r="C75">
        <v>586</v>
      </c>
      <c r="D75" t="s">
        <v>7360</v>
      </c>
      <c r="E75">
        <v>8</v>
      </c>
      <c r="F75" t="s">
        <v>7168</v>
      </c>
      <c r="G75">
        <v>0</v>
      </c>
      <c r="H75">
        <f t="shared" si="2"/>
        <v>0</v>
      </c>
      <c r="I75">
        <f t="shared" si="3"/>
        <v>1.3651877133105803</v>
      </c>
      <c r="J75" t="s">
        <v>7150</v>
      </c>
      <c r="K75">
        <v>190</v>
      </c>
      <c r="L75">
        <v>14</v>
      </c>
    </row>
    <row r="76" spans="1:12" x14ac:dyDescent="0.2">
      <c r="A76">
        <v>210</v>
      </c>
      <c r="B76">
        <v>12</v>
      </c>
      <c r="C76">
        <v>586</v>
      </c>
      <c r="D76" t="s">
        <v>7361</v>
      </c>
      <c r="E76">
        <v>3</v>
      </c>
      <c r="F76" t="s">
        <v>7168</v>
      </c>
      <c r="G76">
        <v>0</v>
      </c>
      <c r="H76">
        <f t="shared" si="2"/>
        <v>0</v>
      </c>
      <c r="I76">
        <f t="shared" si="3"/>
        <v>0.51194539249146753</v>
      </c>
      <c r="J76" t="s">
        <v>7150</v>
      </c>
      <c r="K76">
        <v>215</v>
      </c>
      <c r="L76">
        <v>14</v>
      </c>
    </row>
    <row r="77" spans="1:12" x14ac:dyDescent="0.2">
      <c r="A77">
        <v>235</v>
      </c>
      <c r="B77">
        <v>12</v>
      </c>
      <c r="C77">
        <v>586</v>
      </c>
      <c r="D77" t="s">
        <v>7362</v>
      </c>
      <c r="E77">
        <v>16</v>
      </c>
      <c r="F77" t="s">
        <v>7168</v>
      </c>
      <c r="G77">
        <v>0</v>
      </c>
      <c r="H77">
        <f t="shared" si="2"/>
        <v>0</v>
      </c>
      <c r="I77">
        <f t="shared" si="3"/>
        <v>2.7303754266211606</v>
      </c>
      <c r="J77" t="s">
        <v>7150</v>
      </c>
      <c r="K77">
        <v>240</v>
      </c>
      <c r="L77">
        <v>14</v>
      </c>
    </row>
    <row r="78" spans="1:12" x14ac:dyDescent="0.2">
      <c r="A78">
        <v>260</v>
      </c>
      <c r="B78">
        <v>12</v>
      </c>
      <c r="C78">
        <v>586</v>
      </c>
      <c r="D78" t="s">
        <v>7363</v>
      </c>
      <c r="E78">
        <v>1</v>
      </c>
      <c r="F78" t="s">
        <v>7168</v>
      </c>
      <c r="G78">
        <v>0</v>
      </c>
      <c r="H78">
        <f t="shared" si="2"/>
        <v>0</v>
      </c>
      <c r="I78">
        <f t="shared" si="3"/>
        <v>0.17064846416382254</v>
      </c>
      <c r="J78" t="s">
        <v>7150</v>
      </c>
      <c r="K78">
        <v>265</v>
      </c>
      <c r="L78">
        <v>14</v>
      </c>
    </row>
    <row r="79" spans="1:12" x14ac:dyDescent="0.2">
      <c r="A79">
        <v>5</v>
      </c>
      <c r="B79">
        <v>12</v>
      </c>
      <c r="C79">
        <v>350</v>
      </c>
      <c r="D79" t="s">
        <v>7353</v>
      </c>
      <c r="E79">
        <v>93</v>
      </c>
      <c r="F79" t="s">
        <v>7167</v>
      </c>
      <c r="G79">
        <v>0</v>
      </c>
      <c r="H79">
        <f t="shared" si="2"/>
        <v>0</v>
      </c>
      <c r="I79">
        <f t="shared" si="3"/>
        <v>26.571428571428573</v>
      </c>
      <c r="J79" t="s">
        <v>7164</v>
      </c>
      <c r="K79">
        <v>5</v>
      </c>
      <c r="L79">
        <v>14</v>
      </c>
    </row>
    <row r="80" spans="1:12" x14ac:dyDescent="0.2">
      <c r="A80">
        <v>35</v>
      </c>
      <c r="B80">
        <v>12</v>
      </c>
      <c r="C80">
        <v>350</v>
      </c>
      <c r="D80" t="s">
        <v>7354</v>
      </c>
      <c r="E80">
        <v>64</v>
      </c>
      <c r="F80" t="s">
        <v>7167</v>
      </c>
      <c r="G80">
        <v>0</v>
      </c>
      <c r="H80">
        <f t="shared" si="2"/>
        <v>0</v>
      </c>
      <c r="I80">
        <f t="shared" si="3"/>
        <v>18.285714285714285</v>
      </c>
      <c r="J80" t="s">
        <v>7164</v>
      </c>
      <c r="K80">
        <v>40</v>
      </c>
      <c r="L80">
        <v>14</v>
      </c>
    </row>
    <row r="81" spans="1:12" x14ac:dyDescent="0.2">
      <c r="A81">
        <v>60</v>
      </c>
      <c r="B81">
        <v>12</v>
      </c>
      <c r="C81">
        <v>350</v>
      </c>
      <c r="D81" t="s">
        <v>7355</v>
      </c>
      <c r="E81">
        <v>20</v>
      </c>
      <c r="F81" t="s">
        <v>7167</v>
      </c>
      <c r="G81" s="21">
        <v>3</v>
      </c>
      <c r="H81">
        <f t="shared" si="2"/>
        <v>15</v>
      </c>
      <c r="I81">
        <f t="shared" si="3"/>
        <v>5.7142857142857144</v>
      </c>
      <c r="J81" t="s">
        <v>7164</v>
      </c>
      <c r="K81">
        <v>65</v>
      </c>
      <c r="L81">
        <v>14</v>
      </c>
    </row>
    <row r="82" spans="1:12" x14ac:dyDescent="0.2">
      <c r="A82">
        <v>85</v>
      </c>
      <c r="B82">
        <v>12</v>
      </c>
      <c r="C82">
        <v>350</v>
      </c>
      <c r="D82" t="s">
        <v>7356</v>
      </c>
      <c r="E82">
        <v>23</v>
      </c>
      <c r="F82" t="s">
        <v>7167</v>
      </c>
      <c r="G82">
        <v>0</v>
      </c>
      <c r="H82">
        <f t="shared" si="2"/>
        <v>0</v>
      </c>
      <c r="I82">
        <f t="shared" si="3"/>
        <v>6.5714285714285712</v>
      </c>
      <c r="J82" t="s">
        <v>7164</v>
      </c>
      <c r="K82">
        <v>90</v>
      </c>
      <c r="L82">
        <v>14</v>
      </c>
    </row>
    <row r="83" spans="1:12" x14ac:dyDescent="0.2">
      <c r="A83">
        <v>110</v>
      </c>
      <c r="B83">
        <v>12</v>
      </c>
      <c r="C83">
        <v>350</v>
      </c>
      <c r="D83" t="s">
        <v>7357</v>
      </c>
      <c r="E83">
        <v>105</v>
      </c>
      <c r="F83" t="s">
        <v>7167</v>
      </c>
      <c r="G83" s="21">
        <v>0</v>
      </c>
      <c r="H83">
        <f t="shared" si="2"/>
        <v>0</v>
      </c>
      <c r="I83">
        <f t="shared" si="3"/>
        <v>30</v>
      </c>
      <c r="J83" t="s">
        <v>7164</v>
      </c>
      <c r="K83">
        <v>115</v>
      </c>
      <c r="L83">
        <v>14</v>
      </c>
    </row>
    <row r="84" spans="1:12" x14ac:dyDescent="0.2">
      <c r="A84">
        <v>135</v>
      </c>
      <c r="B84">
        <v>12</v>
      </c>
      <c r="C84">
        <v>350</v>
      </c>
      <c r="D84" t="s">
        <v>7358</v>
      </c>
      <c r="E84">
        <v>113</v>
      </c>
      <c r="F84" t="s">
        <v>7167</v>
      </c>
      <c r="G84">
        <v>0</v>
      </c>
      <c r="H84">
        <f t="shared" si="2"/>
        <v>0</v>
      </c>
      <c r="I84">
        <f t="shared" si="3"/>
        <v>32.285714285714285</v>
      </c>
      <c r="J84" t="s">
        <v>7164</v>
      </c>
      <c r="K84">
        <v>140</v>
      </c>
      <c r="L84">
        <v>14</v>
      </c>
    </row>
    <row r="85" spans="1:12" x14ac:dyDescent="0.2">
      <c r="A85">
        <v>160</v>
      </c>
      <c r="B85">
        <v>12</v>
      </c>
      <c r="C85">
        <v>350</v>
      </c>
      <c r="D85" t="s">
        <v>7359</v>
      </c>
      <c r="E85">
        <v>1</v>
      </c>
      <c r="F85" t="s">
        <v>7167</v>
      </c>
      <c r="G85">
        <v>0</v>
      </c>
      <c r="H85">
        <f t="shared" si="2"/>
        <v>0</v>
      </c>
      <c r="I85">
        <f t="shared" si="3"/>
        <v>0.2857142857142857</v>
      </c>
      <c r="J85" t="s">
        <v>7164</v>
      </c>
      <c r="K85">
        <v>165</v>
      </c>
      <c r="L85">
        <v>14</v>
      </c>
    </row>
    <row r="86" spans="1:12" x14ac:dyDescent="0.2">
      <c r="A86">
        <v>185</v>
      </c>
      <c r="B86">
        <v>12</v>
      </c>
      <c r="C86">
        <v>350</v>
      </c>
      <c r="D86" t="s">
        <v>7360</v>
      </c>
      <c r="E86">
        <v>8</v>
      </c>
      <c r="F86" t="s">
        <v>7167</v>
      </c>
      <c r="G86" s="21">
        <v>0</v>
      </c>
      <c r="H86">
        <f t="shared" si="2"/>
        <v>0</v>
      </c>
      <c r="I86">
        <f t="shared" si="3"/>
        <v>2.2857142857142856</v>
      </c>
      <c r="J86" t="s">
        <v>7164</v>
      </c>
      <c r="K86">
        <v>190</v>
      </c>
      <c r="L86">
        <v>14</v>
      </c>
    </row>
    <row r="87" spans="1:12" x14ac:dyDescent="0.2">
      <c r="A87">
        <v>210</v>
      </c>
      <c r="B87">
        <v>12</v>
      </c>
      <c r="C87">
        <v>350</v>
      </c>
      <c r="D87" t="s">
        <v>7361</v>
      </c>
      <c r="E87">
        <v>3</v>
      </c>
      <c r="F87" t="s">
        <v>7167</v>
      </c>
      <c r="G87">
        <v>0</v>
      </c>
      <c r="H87">
        <f t="shared" si="2"/>
        <v>0</v>
      </c>
      <c r="I87">
        <f t="shared" si="3"/>
        <v>0.85714285714285721</v>
      </c>
      <c r="J87" t="s">
        <v>7164</v>
      </c>
      <c r="K87">
        <v>215</v>
      </c>
      <c r="L87">
        <v>14</v>
      </c>
    </row>
    <row r="88" spans="1:12" x14ac:dyDescent="0.2">
      <c r="A88">
        <v>235</v>
      </c>
      <c r="B88">
        <v>12</v>
      </c>
      <c r="C88">
        <v>350</v>
      </c>
      <c r="D88" t="s">
        <v>7362</v>
      </c>
      <c r="E88">
        <v>14</v>
      </c>
      <c r="F88" t="s">
        <v>7167</v>
      </c>
      <c r="G88" s="21">
        <v>0</v>
      </c>
      <c r="H88">
        <f t="shared" si="2"/>
        <v>0</v>
      </c>
      <c r="I88">
        <f t="shared" si="3"/>
        <v>4</v>
      </c>
      <c r="J88" t="s">
        <v>7164</v>
      </c>
      <c r="K88">
        <v>240</v>
      </c>
      <c r="L88">
        <v>14</v>
      </c>
    </row>
    <row r="89" spans="1:12" x14ac:dyDescent="0.2">
      <c r="A89">
        <v>260</v>
      </c>
      <c r="B89">
        <v>12</v>
      </c>
      <c r="C89">
        <v>350</v>
      </c>
      <c r="D89" t="s">
        <v>7363</v>
      </c>
      <c r="E89">
        <v>1</v>
      </c>
      <c r="F89" t="s">
        <v>7167</v>
      </c>
      <c r="G89">
        <v>0</v>
      </c>
      <c r="H89">
        <f t="shared" si="2"/>
        <v>0</v>
      </c>
      <c r="I89">
        <f t="shared" si="3"/>
        <v>0.2857142857142857</v>
      </c>
      <c r="J89" t="s">
        <v>7164</v>
      </c>
      <c r="K89">
        <v>265</v>
      </c>
      <c r="L89">
        <v>14</v>
      </c>
    </row>
    <row r="90" spans="1:12" x14ac:dyDescent="0.2">
      <c r="A90">
        <v>5</v>
      </c>
      <c r="B90">
        <v>12</v>
      </c>
      <c r="C90">
        <v>350</v>
      </c>
      <c r="D90" t="s">
        <v>7353</v>
      </c>
      <c r="E90">
        <v>93</v>
      </c>
      <c r="F90" s="21" t="s">
        <v>7170</v>
      </c>
      <c r="G90" s="21">
        <v>0</v>
      </c>
      <c r="H90">
        <f t="shared" si="2"/>
        <v>0</v>
      </c>
      <c r="I90">
        <f t="shared" si="3"/>
        <v>26.571428571428573</v>
      </c>
      <c r="J90" t="s">
        <v>7164</v>
      </c>
      <c r="K90">
        <v>5</v>
      </c>
      <c r="L90">
        <v>14</v>
      </c>
    </row>
    <row r="91" spans="1:12" x14ac:dyDescent="0.2">
      <c r="A91">
        <v>35</v>
      </c>
      <c r="B91">
        <v>12</v>
      </c>
      <c r="C91">
        <v>350</v>
      </c>
      <c r="D91" t="s">
        <v>7354</v>
      </c>
      <c r="E91">
        <v>64</v>
      </c>
      <c r="F91" s="21" t="s">
        <v>7170</v>
      </c>
      <c r="G91">
        <v>0</v>
      </c>
      <c r="H91">
        <f t="shared" si="2"/>
        <v>0</v>
      </c>
      <c r="I91">
        <f t="shared" si="3"/>
        <v>18.285714285714285</v>
      </c>
      <c r="J91" t="s">
        <v>7164</v>
      </c>
      <c r="K91">
        <v>40</v>
      </c>
      <c r="L91">
        <v>14</v>
      </c>
    </row>
    <row r="92" spans="1:12" x14ac:dyDescent="0.2">
      <c r="A92">
        <v>60</v>
      </c>
      <c r="B92">
        <v>12</v>
      </c>
      <c r="C92">
        <v>350</v>
      </c>
      <c r="D92" t="s">
        <v>7355</v>
      </c>
      <c r="E92">
        <v>20</v>
      </c>
      <c r="F92" s="21" t="s">
        <v>7170</v>
      </c>
      <c r="G92" s="21">
        <v>0</v>
      </c>
      <c r="H92">
        <f t="shared" si="2"/>
        <v>0</v>
      </c>
      <c r="I92">
        <f t="shared" si="3"/>
        <v>5.7142857142857144</v>
      </c>
      <c r="J92" t="s">
        <v>7164</v>
      </c>
      <c r="K92">
        <v>65</v>
      </c>
      <c r="L92">
        <v>14</v>
      </c>
    </row>
    <row r="93" spans="1:12" x14ac:dyDescent="0.2">
      <c r="A93">
        <v>85</v>
      </c>
      <c r="B93">
        <v>12</v>
      </c>
      <c r="C93">
        <v>350</v>
      </c>
      <c r="D93" t="s">
        <v>7356</v>
      </c>
      <c r="E93">
        <v>23</v>
      </c>
      <c r="F93" s="21" t="s">
        <v>7170</v>
      </c>
      <c r="G93">
        <v>0</v>
      </c>
      <c r="H93">
        <f t="shared" si="2"/>
        <v>0</v>
      </c>
      <c r="I93">
        <f t="shared" si="3"/>
        <v>6.5714285714285712</v>
      </c>
      <c r="J93" t="s">
        <v>7164</v>
      </c>
      <c r="K93">
        <v>90</v>
      </c>
      <c r="L93">
        <v>14</v>
      </c>
    </row>
    <row r="94" spans="1:12" x14ac:dyDescent="0.2">
      <c r="A94">
        <v>110</v>
      </c>
      <c r="B94">
        <v>12</v>
      </c>
      <c r="C94">
        <v>350</v>
      </c>
      <c r="D94" t="s">
        <v>7357</v>
      </c>
      <c r="E94">
        <v>105</v>
      </c>
      <c r="F94" s="21" t="s">
        <v>7170</v>
      </c>
      <c r="G94" s="21">
        <v>0</v>
      </c>
      <c r="H94">
        <f t="shared" si="2"/>
        <v>0</v>
      </c>
      <c r="I94">
        <f t="shared" si="3"/>
        <v>30</v>
      </c>
      <c r="J94" t="s">
        <v>7164</v>
      </c>
      <c r="K94">
        <v>115</v>
      </c>
      <c r="L94">
        <v>14</v>
      </c>
    </row>
    <row r="95" spans="1:12" x14ac:dyDescent="0.2">
      <c r="A95">
        <v>135</v>
      </c>
      <c r="B95">
        <v>12</v>
      </c>
      <c r="C95">
        <v>350</v>
      </c>
      <c r="D95" t="s">
        <v>7358</v>
      </c>
      <c r="E95">
        <v>113</v>
      </c>
      <c r="F95" s="21" t="s">
        <v>7170</v>
      </c>
      <c r="G95">
        <v>0</v>
      </c>
      <c r="H95">
        <f t="shared" si="2"/>
        <v>0</v>
      </c>
      <c r="I95">
        <f t="shared" si="3"/>
        <v>32.285714285714285</v>
      </c>
      <c r="J95" t="s">
        <v>7164</v>
      </c>
      <c r="K95">
        <v>140</v>
      </c>
      <c r="L95">
        <v>14</v>
      </c>
    </row>
    <row r="96" spans="1:12" x14ac:dyDescent="0.2">
      <c r="A96">
        <v>160</v>
      </c>
      <c r="B96">
        <v>12</v>
      </c>
      <c r="C96">
        <v>350</v>
      </c>
      <c r="D96" t="s">
        <v>7359</v>
      </c>
      <c r="E96">
        <v>1</v>
      </c>
      <c r="F96" s="21" t="s">
        <v>7170</v>
      </c>
      <c r="G96">
        <v>0</v>
      </c>
      <c r="H96">
        <f t="shared" si="2"/>
        <v>0</v>
      </c>
      <c r="I96">
        <f t="shared" si="3"/>
        <v>0.2857142857142857</v>
      </c>
      <c r="J96" t="s">
        <v>7164</v>
      </c>
      <c r="K96">
        <v>165</v>
      </c>
      <c r="L96">
        <v>14</v>
      </c>
    </row>
    <row r="97" spans="1:12" x14ac:dyDescent="0.2">
      <c r="A97">
        <v>185</v>
      </c>
      <c r="B97">
        <v>12</v>
      </c>
      <c r="C97">
        <v>350</v>
      </c>
      <c r="D97" t="s">
        <v>7360</v>
      </c>
      <c r="E97">
        <v>8</v>
      </c>
      <c r="F97" s="21" t="s">
        <v>7170</v>
      </c>
      <c r="G97" s="21">
        <v>0</v>
      </c>
      <c r="H97">
        <f t="shared" si="2"/>
        <v>0</v>
      </c>
      <c r="I97">
        <f t="shared" si="3"/>
        <v>2.2857142857142856</v>
      </c>
      <c r="J97" t="s">
        <v>7164</v>
      </c>
      <c r="K97">
        <v>190</v>
      </c>
      <c r="L97">
        <v>14</v>
      </c>
    </row>
    <row r="98" spans="1:12" x14ac:dyDescent="0.2">
      <c r="A98">
        <v>210</v>
      </c>
      <c r="B98">
        <v>12</v>
      </c>
      <c r="C98">
        <v>350</v>
      </c>
      <c r="D98" t="s">
        <v>7361</v>
      </c>
      <c r="E98">
        <v>3</v>
      </c>
      <c r="F98" s="21" t="s">
        <v>7170</v>
      </c>
      <c r="G98">
        <v>0</v>
      </c>
      <c r="H98">
        <f t="shared" si="2"/>
        <v>0</v>
      </c>
      <c r="I98">
        <f t="shared" si="3"/>
        <v>0.85714285714285721</v>
      </c>
      <c r="J98" t="s">
        <v>7164</v>
      </c>
      <c r="K98">
        <v>215</v>
      </c>
      <c r="L98">
        <v>14</v>
      </c>
    </row>
    <row r="99" spans="1:12" x14ac:dyDescent="0.2">
      <c r="A99">
        <v>235</v>
      </c>
      <c r="B99">
        <v>12</v>
      </c>
      <c r="C99">
        <v>350</v>
      </c>
      <c r="D99" t="s">
        <v>7362</v>
      </c>
      <c r="E99">
        <v>14</v>
      </c>
      <c r="F99" s="21" t="s">
        <v>7170</v>
      </c>
      <c r="G99" s="21">
        <v>0</v>
      </c>
      <c r="H99">
        <f t="shared" si="2"/>
        <v>0</v>
      </c>
      <c r="I99">
        <f t="shared" si="3"/>
        <v>4</v>
      </c>
      <c r="J99" t="s">
        <v>7164</v>
      </c>
      <c r="K99">
        <v>240</v>
      </c>
      <c r="L99">
        <v>14</v>
      </c>
    </row>
    <row r="100" spans="1:12" x14ac:dyDescent="0.2">
      <c r="A100">
        <v>260</v>
      </c>
      <c r="B100">
        <v>12</v>
      </c>
      <c r="C100">
        <v>350</v>
      </c>
      <c r="D100" t="s">
        <v>7363</v>
      </c>
      <c r="E100">
        <v>1</v>
      </c>
      <c r="F100" s="21" t="s">
        <v>7170</v>
      </c>
      <c r="G100">
        <v>0</v>
      </c>
      <c r="H100">
        <f t="shared" si="2"/>
        <v>0</v>
      </c>
      <c r="I100">
        <f t="shared" si="3"/>
        <v>0.2857142857142857</v>
      </c>
      <c r="J100" t="s">
        <v>7164</v>
      </c>
      <c r="K100">
        <v>265</v>
      </c>
      <c r="L100">
        <v>14</v>
      </c>
    </row>
    <row r="101" spans="1:12" x14ac:dyDescent="0.2">
      <c r="A101">
        <v>5</v>
      </c>
      <c r="B101">
        <v>12</v>
      </c>
      <c r="C101">
        <v>350</v>
      </c>
      <c r="D101" t="s">
        <v>7353</v>
      </c>
      <c r="E101">
        <v>93</v>
      </c>
      <c r="F101" t="s">
        <v>60</v>
      </c>
      <c r="G101">
        <v>5</v>
      </c>
      <c r="H101">
        <f t="shared" si="2"/>
        <v>5.376344086021505</v>
      </c>
      <c r="I101">
        <f t="shared" si="3"/>
        <v>26.571428571428573</v>
      </c>
      <c r="J101" t="s">
        <v>7164</v>
      </c>
      <c r="K101">
        <v>5</v>
      </c>
      <c r="L101">
        <v>14</v>
      </c>
    </row>
    <row r="102" spans="1:12" x14ac:dyDescent="0.2">
      <c r="A102">
        <v>35</v>
      </c>
      <c r="B102">
        <v>12</v>
      </c>
      <c r="C102">
        <v>350</v>
      </c>
      <c r="D102" t="s">
        <v>7354</v>
      </c>
      <c r="E102">
        <v>64</v>
      </c>
      <c r="F102" t="s">
        <v>60</v>
      </c>
      <c r="G102">
        <v>23</v>
      </c>
      <c r="H102">
        <f t="shared" si="2"/>
        <v>35.9375</v>
      </c>
      <c r="I102">
        <f t="shared" si="3"/>
        <v>18.285714285714285</v>
      </c>
      <c r="J102" t="s">
        <v>7164</v>
      </c>
      <c r="K102">
        <v>40</v>
      </c>
      <c r="L102">
        <v>14</v>
      </c>
    </row>
    <row r="103" spans="1:12" x14ac:dyDescent="0.2">
      <c r="A103">
        <v>60</v>
      </c>
      <c r="B103">
        <v>12</v>
      </c>
      <c r="C103">
        <v>350</v>
      </c>
      <c r="D103" t="s">
        <v>7355</v>
      </c>
      <c r="E103">
        <v>20</v>
      </c>
      <c r="F103" t="s">
        <v>60</v>
      </c>
      <c r="G103">
        <v>0</v>
      </c>
      <c r="H103">
        <f t="shared" si="2"/>
        <v>0</v>
      </c>
      <c r="I103">
        <f t="shared" si="3"/>
        <v>5.7142857142857144</v>
      </c>
      <c r="J103" t="s">
        <v>7164</v>
      </c>
      <c r="K103">
        <v>65</v>
      </c>
      <c r="L103">
        <v>14</v>
      </c>
    </row>
    <row r="104" spans="1:12" x14ac:dyDescent="0.2">
      <c r="A104">
        <v>85</v>
      </c>
      <c r="B104">
        <v>12</v>
      </c>
      <c r="C104">
        <v>350</v>
      </c>
      <c r="D104" t="s">
        <v>7356</v>
      </c>
      <c r="E104">
        <v>23</v>
      </c>
      <c r="F104" t="s">
        <v>60</v>
      </c>
      <c r="G104">
        <v>1</v>
      </c>
      <c r="H104">
        <f t="shared" si="2"/>
        <v>4.3478260869565215</v>
      </c>
      <c r="I104">
        <f t="shared" si="3"/>
        <v>6.5714285714285712</v>
      </c>
      <c r="J104" t="s">
        <v>7164</v>
      </c>
      <c r="K104">
        <v>90</v>
      </c>
      <c r="L104">
        <v>14</v>
      </c>
    </row>
    <row r="105" spans="1:12" x14ac:dyDescent="0.2">
      <c r="A105">
        <v>110</v>
      </c>
      <c r="B105">
        <v>12</v>
      </c>
      <c r="C105">
        <v>350</v>
      </c>
      <c r="D105" t="s">
        <v>7357</v>
      </c>
      <c r="E105">
        <v>105</v>
      </c>
      <c r="F105" t="s">
        <v>60</v>
      </c>
      <c r="G105">
        <v>1</v>
      </c>
      <c r="H105">
        <f t="shared" si="2"/>
        <v>0.95238095238095244</v>
      </c>
      <c r="I105">
        <f t="shared" si="3"/>
        <v>30</v>
      </c>
      <c r="J105" t="s">
        <v>7164</v>
      </c>
      <c r="K105">
        <v>115</v>
      </c>
      <c r="L105">
        <v>14</v>
      </c>
    </row>
    <row r="106" spans="1:12" x14ac:dyDescent="0.2">
      <c r="A106">
        <v>135</v>
      </c>
      <c r="B106">
        <v>12</v>
      </c>
      <c r="C106">
        <v>350</v>
      </c>
      <c r="D106" t="s">
        <v>7358</v>
      </c>
      <c r="E106">
        <v>113</v>
      </c>
      <c r="F106" t="s">
        <v>60</v>
      </c>
      <c r="G106">
        <v>0</v>
      </c>
      <c r="H106">
        <f t="shared" si="2"/>
        <v>0</v>
      </c>
      <c r="I106">
        <f t="shared" si="3"/>
        <v>32.285714285714285</v>
      </c>
      <c r="J106" t="s">
        <v>7164</v>
      </c>
      <c r="K106">
        <v>140</v>
      </c>
      <c r="L106">
        <v>14</v>
      </c>
    </row>
    <row r="107" spans="1:12" x14ac:dyDescent="0.2">
      <c r="A107">
        <v>160</v>
      </c>
      <c r="B107">
        <v>12</v>
      </c>
      <c r="C107">
        <v>350</v>
      </c>
      <c r="D107" t="s">
        <v>7359</v>
      </c>
      <c r="E107">
        <v>1</v>
      </c>
      <c r="F107" t="s">
        <v>60</v>
      </c>
      <c r="G107">
        <v>0</v>
      </c>
      <c r="H107">
        <f t="shared" si="2"/>
        <v>0</v>
      </c>
      <c r="I107">
        <f t="shared" si="3"/>
        <v>0.2857142857142857</v>
      </c>
      <c r="J107" t="s">
        <v>7164</v>
      </c>
      <c r="K107">
        <v>165</v>
      </c>
      <c r="L107">
        <v>14</v>
      </c>
    </row>
    <row r="108" spans="1:12" x14ac:dyDescent="0.2">
      <c r="A108">
        <v>185</v>
      </c>
      <c r="B108">
        <v>12</v>
      </c>
      <c r="C108">
        <v>350</v>
      </c>
      <c r="D108" t="s">
        <v>7360</v>
      </c>
      <c r="E108">
        <v>8</v>
      </c>
      <c r="F108" t="s">
        <v>60</v>
      </c>
      <c r="G108">
        <v>0</v>
      </c>
      <c r="H108">
        <f t="shared" si="2"/>
        <v>0</v>
      </c>
      <c r="I108">
        <f t="shared" si="3"/>
        <v>2.2857142857142856</v>
      </c>
      <c r="J108" t="s">
        <v>7164</v>
      </c>
      <c r="K108">
        <v>190</v>
      </c>
      <c r="L108">
        <v>14</v>
      </c>
    </row>
    <row r="109" spans="1:12" x14ac:dyDescent="0.2">
      <c r="A109">
        <v>210</v>
      </c>
      <c r="B109">
        <v>12</v>
      </c>
      <c r="C109">
        <v>350</v>
      </c>
      <c r="D109" t="s">
        <v>7361</v>
      </c>
      <c r="E109">
        <v>3</v>
      </c>
      <c r="F109" t="s">
        <v>60</v>
      </c>
      <c r="G109">
        <v>0</v>
      </c>
      <c r="H109">
        <f t="shared" si="2"/>
        <v>0</v>
      </c>
      <c r="I109">
        <f t="shared" si="3"/>
        <v>0.85714285714285721</v>
      </c>
      <c r="J109" t="s">
        <v>7164</v>
      </c>
      <c r="K109">
        <v>215</v>
      </c>
      <c r="L109">
        <v>14</v>
      </c>
    </row>
    <row r="110" spans="1:12" x14ac:dyDescent="0.2">
      <c r="A110">
        <v>235</v>
      </c>
      <c r="B110">
        <v>12</v>
      </c>
      <c r="C110">
        <v>350</v>
      </c>
      <c r="D110" t="s">
        <v>7362</v>
      </c>
      <c r="E110">
        <v>14</v>
      </c>
      <c r="F110" t="s">
        <v>60</v>
      </c>
      <c r="G110">
        <v>0</v>
      </c>
      <c r="H110">
        <f t="shared" si="2"/>
        <v>0</v>
      </c>
      <c r="I110">
        <f t="shared" si="3"/>
        <v>4</v>
      </c>
      <c r="J110" t="s">
        <v>7164</v>
      </c>
      <c r="K110">
        <v>240</v>
      </c>
      <c r="L110">
        <v>14</v>
      </c>
    </row>
    <row r="111" spans="1:12" x14ac:dyDescent="0.2">
      <c r="A111">
        <v>260</v>
      </c>
      <c r="B111">
        <v>12</v>
      </c>
      <c r="C111">
        <v>350</v>
      </c>
      <c r="D111" t="s">
        <v>7363</v>
      </c>
      <c r="E111">
        <v>1</v>
      </c>
      <c r="F111" t="s">
        <v>60</v>
      </c>
      <c r="G111">
        <v>0</v>
      </c>
      <c r="H111">
        <f t="shared" si="2"/>
        <v>0</v>
      </c>
      <c r="I111">
        <f t="shared" si="3"/>
        <v>0.2857142857142857</v>
      </c>
      <c r="J111" t="s">
        <v>7164</v>
      </c>
      <c r="K111">
        <v>265</v>
      </c>
      <c r="L111">
        <v>14</v>
      </c>
    </row>
    <row r="112" spans="1:12" x14ac:dyDescent="0.2">
      <c r="A112">
        <v>5</v>
      </c>
      <c r="B112">
        <v>12</v>
      </c>
      <c r="C112">
        <v>350</v>
      </c>
      <c r="D112" t="s">
        <v>7353</v>
      </c>
      <c r="E112">
        <v>93</v>
      </c>
      <c r="F112" t="s">
        <v>7165</v>
      </c>
      <c r="G112">
        <v>69</v>
      </c>
      <c r="H112">
        <f t="shared" si="2"/>
        <v>74.193548387096769</v>
      </c>
      <c r="I112">
        <f t="shared" si="3"/>
        <v>26.571428571428573</v>
      </c>
      <c r="J112" t="s">
        <v>7164</v>
      </c>
      <c r="K112">
        <v>5</v>
      </c>
      <c r="L112">
        <v>14</v>
      </c>
    </row>
    <row r="113" spans="1:12" x14ac:dyDescent="0.2">
      <c r="A113">
        <v>35</v>
      </c>
      <c r="B113">
        <v>12</v>
      </c>
      <c r="C113">
        <v>350</v>
      </c>
      <c r="D113" t="s">
        <v>7354</v>
      </c>
      <c r="E113">
        <v>64</v>
      </c>
      <c r="F113" t="s">
        <v>7165</v>
      </c>
      <c r="G113">
        <v>18</v>
      </c>
      <c r="H113">
        <f t="shared" si="2"/>
        <v>28.125</v>
      </c>
      <c r="I113">
        <f t="shared" si="3"/>
        <v>18.285714285714285</v>
      </c>
      <c r="J113" t="s">
        <v>7164</v>
      </c>
      <c r="K113">
        <v>40</v>
      </c>
      <c r="L113">
        <v>14</v>
      </c>
    </row>
    <row r="114" spans="1:12" x14ac:dyDescent="0.2">
      <c r="A114">
        <v>60</v>
      </c>
      <c r="B114">
        <v>12</v>
      </c>
      <c r="C114">
        <v>350</v>
      </c>
      <c r="D114" t="s">
        <v>7355</v>
      </c>
      <c r="E114">
        <v>20</v>
      </c>
      <c r="F114" t="s">
        <v>7165</v>
      </c>
      <c r="G114">
        <v>15</v>
      </c>
      <c r="H114">
        <f t="shared" si="2"/>
        <v>75</v>
      </c>
      <c r="I114">
        <f t="shared" si="3"/>
        <v>5.7142857142857144</v>
      </c>
      <c r="J114" t="s">
        <v>7164</v>
      </c>
      <c r="K114">
        <v>65</v>
      </c>
      <c r="L114">
        <v>14</v>
      </c>
    </row>
    <row r="115" spans="1:12" x14ac:dyDescent="0.2">
      <c r="A115">
        <v>85</v>
      </c>
      <c r="B115">
        <v>12</v>
      </c>
      <c r="C115">
        <v>350</v>
      </c>
      <c r="D115" t="s">
        <v>7356</v>
      </c>
      <c r="E115">
        <v>23</v>
      </c>
      <c r="F115" t="s">
        <v>7165</v>
      </c>
      <c r="G115">
        <v>15</v>
      </c>
      <c r="H115">
        <f t="shared" si="2"/>
        <v>65.217391304347828</v>
      </c>
      <c r="I115">
        <f t="shared" si="3"/>
        <v>6.5714285714285712</v>
      </c>
      <c r="J115" t="s">
        <v>7164</v>
      </c>
      <c r="K115">
        <v>90</v>
      </c>
      <c r="L115">
        <v>14</v>
      </c>
    </row>
    <row r="116" spans="1:12" x14ac:dyDescent="0.2">
      <c r="A116">
        <v>110</v>
      </c>
      <c r="B116">
        <v>12</v>
      </c>
      <c r="C116">
        <v>350</v>
      </c>
      <c r="D116" t="s">
        <v>7357</v>
      </c>
      <c r="E116">
        <v>105</v>
      </c>
      <c r="F116" t="s">
        <v>7165</v>
      </c>
      <c r="G116">
        <v>80</v>
      </c>
      <c r="H116">
        <f t="shared" si="2"/>
        <v>76.19047619047619</v>
      </c>
      <c r="I116">
        <f t="shared" si="3"/>
        <v>30</v>
      </c>
      <c r="J116" t="s">
        <v>7164</v>
      </c>
      <c r="K116">
        <v>115</v>
      </c>
      <c r="L116">
        <v>14</v>
      </c>
    </row>
    <row r="117" spans="1:12" x14ac:dyDescent="0.2">
      <c r="A117">
        <v>135</v>
      </c>
      <c r="B117">
        <v>12</v>
      </c>
      <c r="C117">
        <v>350</v>
      </c>
      <c r="D117" t="s">
        <v>7358</v>
      </c>
      <c r="E117">
        <v>113</v>
      </c>
      <c r="F117" t="s">
        <v>7165</v>
      </c>
      <c r="G117">
        <v>86</v>
      </c>
      <c r="H117">
        <f t="shared" si="2"/>
        <v>76.106194690265482</v>
      </c>
      <c r="I117">
        <f t="shared" si="3"/>
        <v>32.285714285714285</v>
      </c>
      <c r="J117" t="s">
        <v>7164</v>
      </c>
      <c r="K117">
        <v>140</v>
      </c>
      <c r="L117">
        <v>14</v>
      </c>
    </row>
    <row r="118" spans="1:12" x14ac:dyDescent="0.2">
      <c r="A118">
        <v>160</v>
      </c>
      <c r="B118">
        <v>12</v>
      </c>
      <c r="C118">
        <v>350</v>
      </c>
      <c r="D118" t="s">
        <v>7359</v>
      </c>
      <c r="E118">
        <v>1</v>
      </c>
      <c r="F118" t="s">
        <v>7165</v>
      </c>
      <c r="G118">
        <v>1</v>
      </c>
      <c r="H118">
        <f t="shared" si="2"/>
        <v>100</v>
      </c>
      <c r="I118">
        <f t="shared" si="3"/>
        <v>0.2857142857142857</v>
      </c>
      <c r="J118" t="s">
        <v>7164</v>
      </c>
      <c r="K118">
        <v>165</v>
      </c>
      <c r="L118">
        <v>14</v>
      </c>
    </row>
    <row r="119" spans="1:12" x14ac:dyDescent="0.2">
      <c r="A119">
        <v>185</v>
      </c>
      <c r="B119">
        <v>12</v>
      </c>
      <c r="C119">
        <v>350</v>
      </c>
      <c r="D119" t="s">
        <v>7360</v>
      </c>
      <c r="E119">
        <v>8</v>
      </c>
      <c r="F119" t="s">
        <v>7165</v>
      </c>
      <c r="G119">
        <v>8</v>
      </c>
      <c r="H119">
        <f t="shared" si="2"/>
        <v>100</v>
      </c>
      <c r="I119">
        <f t="shared" si="3"/>
        <v>2.2857142857142856</v>
      </c>
      <c r="J119" t="s">
        <v>7164</v>
      </c>
      <c r="K119">
        <v>190</v>
      </c>
      <c r="L119">
        <v>14</v>
      </c>
    </row>
    <row r="120" spans="1:12" x14ac:dyDescent="0.2">
      <c r="A120">
        <v>210</v>
      </c>
      <c r="B120">
        <v>12</v>
      </c>
      <c r="C120">
        <v>350</v>
      </c>
      <c r="D120" t="s">
        <v>7361</v>
      </c>
      <c r="E120">
        <v>3</v>
      </c>
      <c r="F120" t="s">
        <v>7165</v>
      </c>
      <c r="G120">
        <v>2</v>
      </c>
      <c r="H120">
        <f t="shared" ref="H120:H169" si="4">G120/E120*100</f>
        <v>66.666666666666657</v>
      </c>
      <c r="I120">
        <f t="shared" si="3"/>
        <v>0.85714285714285721</v>
      </c>
      <c r="J120" t="s">
        <v>7164</v>
      </c>
      <c r="K120">
        <v>215</v>
      </c>
      <c r="L120">
        <v>14</v>
      </c>
    </row>
    <row r="121" spans="1:12" x14ac:dyDescent="0.2">
      <c r="A121">
        <v>235</v>
      </c>
      <c r="B121">
        <v>12</v>
      </c>
      <c r="C121">
        <v>350</v>
      </c>
      <c r="D121" t="s">
        <v>7362</v>
      </c>
      <c r="E121">
        <v>14</v>
      </c>
      <c r="F121" t="s">
        <v>7165</v>
      </c>
      <c r="G121">
        <v>12</v>
      </c>
      <c r="H121">
        <f t="shared" si="4"/>
        <v>85.714285714285708</v>
      </c>
      <c r="I121">
        <f t="shared" ref="I121:I169" si="5">E121/C121*100</f>
        <v>4</v>
      </c>
      <c r="J121" t="s">
        <v>7164</v>
      </c>
      <c r="K121">
        <v>240</v>
      </c>
      <c r="L121">
        <v>14</v>
      </c>
    </row>
    <row r="122" spans="1:12" x14ac:dyDescent="0.2">
      <c r="A122">
        <v>260</v>
      </c>
      <c r="B122">
        <v>12</v>
      </c>
      <c r="C122">
        <v>350</v>
      </c>
      <c r="D122" t="s">
        <v>7363</v>
      </c>
      <c r="E122">
        <v>1</v>
      </c>
      <c r="F122" t="s">
        <v>7165</v>
      </c>
      <c r="G122">
        <v>0</v>
      </c>
      <c r="H122">
        <f t="shared" si="4"/>
        <v>0</v>
      </c>
      <c r="I122">
        <f t="shared" si="5"/>
        <v>0.2857142857142857</v>
      </c>
      <c r="J122" t="s">
        <v>7164</v>
      </c>
      <c r="K122">
        <v>265</v>
      </c>
      <c r="L122">
        <v>14</v>
      </c>
    </row>
    <row r="123" spans="1:12" x14ac:dyDescent="0.2">
      <c r="A123">
        <v>5</v>
      </c>
      <c r="B123">
        <v>12</v>
      </c>
      <c r="C123">
        <v>350</v>
      </c>
      <c r="D123" t="s">
        <v>7353</v>
      </c>
      <c r="E123">
        <v>93</v>
      </c>
      <c r="F123" t="s">
        <v>7169</v>
      </c>
      <c r="G123">
        <v>4</v>
      </c>
      <c r="H123">
        <f t="shared" si="4"/>
        <v>4.3010752688172049</v>
      </c>
      <c r="I123">
        <f t="shared" si="5"/>
        <v>26.571428571428573</v>
      </c>
      <c r="J123" t="s">
        <v>7164</v>
      </c>
      <c r="K123">
        <v>5</v>
      </c>
      <c r="L123">
        <v>14</v>
      </c>
    </row>
    <row r="124" spans="1:12" x14ac:dyDescent="0.2">
      <c r="A124">
        <v>35</v>
      </c>
      <c r="B124">
        <v>12</v>
      </c>
      <c r="C124">
        <v>350</v>
      </c>
      <c r="D124" t="s">
        <v>7354</v>
      </c>
      <c r="E124">
        <v>64</v>
      </c>
      <c r="F124" t="s">
        <v>7169</v>
      </c>
      <c r="G124">
        <v>13</v>
      </c>
      <c r="H124">
        <f t="shared" si="4"/>
        <v>20.3125</v>
      </c>
      <c r="I124">
        <f t="shared" si="5"/>
        <v>18.285714285714285</v>
      </c>
      <c r="J124" t="s">
        <v>7164</v>
      </c>
      <c r="K124">
        <v>40</v>
      </c>
      <c r="L124">
        <v>14</v>
      </c>
    </row>
    <row r="125" spans="1:12" x14ac:dyDescent="0.2">
      <c r="A125">
        <v>60</v>
      </c>
      <c r="B125">
        <v>12</v>
      </c>
      <c r="C125">
        <v>350</v>
      </c>
      <c r="D125" t="s">
        <v>7355</v>
      </c>
      <c r="E125">
        <v>20</v>
      </c>
      <c r="F125" t="s">
        <v>7169</v>
      </c>
      <c r="G125">
        <v>0</v>
      </c>
      <c r="H125">
        <f t="shared" si="4"/>
        <v>0</v>
      </c>
      <c r="I125">
        <f t="shared" si="5"/>
        <v>5.7142857142857144</v>
      </c>
      <c r="J125" t="s">
        <v>7164</v>
      </c>
      <c r="K125">
        <v>65</v>
      </c>
      <c r="L125">
        <v>14</v>
      </c>
    </row>
    <row r="126" spans="1:12" x14ac:dyDescent="0.2">
      <c r="A126">
        <v>85</v>
      </c>
      <c r="B126">
        <v>12</v>
      </c>
      <c r="C126">
        <v>350</v>
      </c>
      <c r="D126" t="s">
        <v>7356</v>
      </c>
      <c r="E126">
        <v>23</v>
      </c>
      <c r="F126" t="s">
        <v>7169</v>
      </c>
      <c r="G126">
        <v>3</v>
      </c>
      <c r="H126">
        <f t="shared" si="4"/>
        <v>13.043478260869565</v>
      </c>
      <c r="I126">
        <f t="shared" si="5"/>
        <v>6.5714285714285712</v>
      </c>
      <c r="J126" t="s">
        <v>7164</v>
      </c>
      <c r="K126">
        <v>90</v>
      </c>
      <c r="L126">
        <v>14</v>
      </c>
    </row>
    <row r="127" spans="1:12" x14ac:dyDescent="0.2">
      <c r="A127">
        <v>110</v>
      </c>
      <c r="B127">
        <v>12</v>
      </c>
      <c r="C127">
        <v>350</v>
      </c>
      <c r="D127" t="s">
        <v>7357</v>
      </c>
      <c r="E127">
        <v>105</v>
      </c>
      <c r="F127" t="s">
        <v>7169</v>
      </c>
      <c r="G127">
        <v>0</v>
      </c>
      <c r="H127">
        <f t="shared" si="4"/>
        <v>0</v>
      </c>
      <c r="I127">
        <f t="shared" si="5"/>
        <v>30</v>
      </c>
      <c r="J127" t="s">
        <v>7164</v>
      </c>
      <c r="K127">
        <v>115</v>
      </c>
      <c r="L127">
        <v>14</v>
      </c>
    </row>
    <row r="128" spans="1:12" x14ac:dyDescent="0.2">
      <c r="A128">
        <v>135</v>
      </c>
      <c r="B128">
        <v>12</v>
      </c>
      <c r="C128">
        <v>350</v>
      </c>
      <c r="D128" t="s">
        <v>7358</v>
      </c>
      <c r="E128">
        <v>113</v>
      </c>
      <c r="F128" t="s">
        <v>7169</v>
      </c>
      <c r="G128">
        <v>0</v>
      </c>
      <c r="H128">
        <f t="shared" si="4"/>
        <v>0</v>
      </c>
      <c r="I128">
        <f t="shared" si="5"/>
        <v>32.285714285714285</v>
      </c>
      <c r="J128" t="s">
        <v>7164</v>
      </c>
      <c r="K128">
        <v>140</v>
      </c>
      <c r="L128">
        <v>14</v>
      </c>
    </row>
    <row r="129" spans="1:12" x14ac:dyDescent="0.2">
      <c r="A129">
        <v>160</v>
      </c>
      <c r="B129">
        <v>12</v>
      </c>
      <c r="C129">
        <v>350</v>
      </c>
      <c r="D129" t="s">
        <v>7359</v>
      </c>
      <c r="E129">
        <v>1</v>
      </c>
      <c r="F129" t="s">
        <v>7169</v>
      </c>
      <c r="G129">
        <v>0</v>
      </c>
      <c r="H129">
        <f t="shared" si="4"/>
        <v>0</v>
      </c>
      <c r="I129">
        <f t="shared" si="5"/>
        <v>0.2857142857142857</v>
      </c>
      <c r="J129" t="s">
        <v>7164</v>
      </c>
      <c r="K129">
        <v>165</v>
      </c>
      <c r="L129">
        <v>14</v>
      </c>
    </row>
    <row r="130" spans="1:12" x14ac:dyDescent="0.2">
      <c r="A130">
        <v>185</v>
      </c>
      <c r="B130">
        <v>12</v>
      </c>
      <c r="C130">
        <v>350</v>
      </c>
      <c r="D130" t="s">
        <v>7360</v>
      </c>
      <c r="E130">
        <v>8</v>
      </c>
      <c r="F130" t="s">
        <v>7169</v>
      </c>
      <c r="G130">
        <v>0</v>
      </c>
      <c r="H130">
        <f t="shared" si="4"/>
        <v>0</v>
      </c>
      <c r="I130">
        <f t="shared" si="5"/>
        <v>2.2857142857142856</v>
      </c>
      <c r="J130" t="s">
        <v>7164</v>
      </c>
      <c r="K130">
        <v>190</v>
      </c>
      <c r="L130">
        <v>14</v>
      </c>
    </row>
    <row r="131" spans="1:12" x14ac:dyDescent="0.2">
      <c r="A131">
        <v>210</v>
      </c>
      <c r="B131">
        <v>12</v>
      </c>
      <c r="C131">
        <v>350</v>
      </c>
      <c r="D131" t="s">
        <v>7361</v>
      </c>
      <c r="E131">
        <v>3</v>
      </c>
      <c r="F131" t="s">
        <v>7169</v>
      </c>
      <c r="G131">
        <v>0</v>
      </c>
      <c r="H131">
        <f t="shared" si="4"/>
        <v>0</v>
      </c>
      <c r="I131">
        <f t="shared" si="5"/>
        <v>0.85714285714285721</v>
      </c>
      <c r="J131" t="s">
        <v>7164</v>
      </c>
      <c r="K131">
        <v>215</v>
      </c>
      <c r="L131">
        <v>14</v>
      </c>
    </row>
    <row r="132" spans="1:12" x14ac:dyDescent="0.2">
      <c r="A132">
        <v>235</v>
      </c>
      <c r="B132">
        <v>12</v>
      </c>
      <c r="C132">
        <v>350</v>
      </c>
      <c r="D132" t="s">
        <v>7362</v>
      </c>
      <c r="E132">
        <v>14</v>
      </c>
      <c r="F132" t="s">
        <v>7169</v>
      </c>
      <c r="G132">
        <v>0</v>
      </c>
      <c r="H132">
        <f t="shared" si="4"/>
        <v>0</v>
      </c>
      <c r="I132">
        <f t="shared" si="5"/>
        <v>4</v>
      </c>
      <c r="J132" t="s">
        <v>7164</v>
      </c>
      <c r="K132">
        <v>240</v>
      </c>
      <c r="L132">
        <v>14</v>
      </c>
    </row>
    <row r="133" spans="1:12" x14ac:dyDescent="0.2">
      <c r="A133">
        <v>260</v>
      </c>
      <c r="B133">
        <v>12</v>
      </c>
      <c r="C133">
        <v>350</v>
      </c>
      <c r="D133" t="s">
        <v>7363</v>
      </c>
      <c r="E133">
        <v>1</v>
      </c>
      <c r="F133" t="s">
        <v>7169</v>
      </c>
      <c r="G133">
        <v>1</v>
      </c>
      <c r="H133">
        <f t="shared" si="4"/>
        <v>100</v>
      </c>
      <c r="I133">
        <f t="shared" si="5"/>
        <v>0.2857142857142857</v>
      </c>
      <c r="J133" t="s">
        <v>7164</v>
      </c>
      <c r="K133">
        <v>265</v>
      </c>
      <c r="L133">
        <v>14</v>
      </c>
    </row>
    <row r="134" spans="1:12" x14ac:dyDescent="0.2">
      <c r="A134">
        <v>5</v>
      </c>
      <c r="B134">
        <v>12</v>
      </c>
      <c r="C134">
        <v>350</v>
      </c>
      <c r="D134" t="s">
        <v>7353</v>
      </c>
      <c r="E134">
        <v>93</v>
      </c>
      <c r="F134" t="s">
        <v>7162</v>
      </c>
      <c r="G134">
        <v>15</v>
      </c>
      <c r="H134">
        <f t="shared" si="4"/>
        <v>16.129032258064516</v>
      </c>
      <c r="I134">
        <f t="shared" si="5"/>
        <v>26.571428571428573</v>
      </c>
      <c r="J134" t="s">
        <v>7164</v>
      </c>
      <c r="K134">
        <v>5</v>
      </c>
      <c r="L134">
        <v>14</v>
      </c>
    </row>
    <row r="135" spans="1:12" x14ac:dyDescent="0.2">
      <c r="A135">
        <v>35</v>
      </c>
      <c r="B135">
        <v>12</v>
      </c>
      <c r="C135">
        <v>350</v>
      </c>
      <c r="D135" t="s">
        <v>7354</v>
      </c>
      <c r="E135">
        <v>64</v>
      </c>
      <c r="F135" t="s">
        <v>7162</v>
      </c>
      <c r="G135">
        <v>8</v>
      </c>
      <c r="H135">
        <f t="shared" si="4"/>
        <v>12.5</v>
      </c>
      <c r="I135">
        <f t="shared" si="5"/>
        <v>18.285714285714285</v>
      </c>
      <c r="J135" t="s">
        <v>7164</v>
      </c>
      <c r="K135">
        <v>40</v>
      </c>
      <c r="L135">
        <v>14</v>
      </c>
    </row>
    <row r="136" spans="1:12" x14ac:dyDescent="0.2">
      <c r="A136">
        <v>60</v>
      </c>
      <c r="B136">
        <v>12</v>
      </c>
      <c r="C136">
        <v>350</v>
      </c>
      <c r="D136" t="s">
        <v>7355</v>
      </c>
      <c r="E136">
        <v>20</v>
      </c>
      <c r="F136" t="s">
        <v>7162</v>
      </c>
      <c r="G136">
        <v>2</v>
      </c>
      <c r="H136">
        <f t="shared" si="4"/>
        <v>10</v>
      </c>
      <c r="I136">
        <f t="shared" si="5"/>
        <v>5.7142857142857144</v>
      </c>
      <c r="J136" t="s">
        <v>7164</v>
      </c>
      <c r="K136">
        <v>65</v>
      </c>
      <c r="L136">
        <v>14</v>
      </c>
    </row>
    <row r="137" spans="1:12" x14ac:dyDescent="0.2">
      <c r="A137">
        <v>85</v>
      </c>
      <c r="B137">
        <v>12</v>
      </c>
      <c r="C137">
        <v>350</v>
      </c>
      <c r="D137" t="s">
        <v>7356</v>
      </c>
      <c r="E137">
        <v>23</v>
      </c>
      <c r="F137" t="s">
        <v>7162</v>
      </c>
      <c r="G137">
        <v>4</v>
      </c>
      <c r="H137">
        <f t="shared" si="4"/>
        <v>17.391304347826086</v>
      </c>
      <c r="I137">
        <f t="shared" si="5"/>
        <v>6.5714285714285712</v>
      </c>
      <c r="J137" t="s">
        <v>7164</v>
      </c>
      <c r="K137">
        <v>90</v>
      </c>
      <c r="L137">
        <v>14</v>
      </c>
    </row>
    <row r="138" spans="1:12" x14ac:dyDescent="0.2">
      <c r="A138">
        <v>110</v>
      </c>
      <c r="B138">
        <v>12</v>
      </c>
      <c r="C138">
        <v>350</v>
      </c>
      <c r="D138" t="s">
        <v>7357</v>
      </c>
      <c r="E138">
        <v>105</v>
      </c>
      <c r="F138" t="s">
        <v>7162</v>
      </c>
      <c r="G138">
        <v>24</v>
      </c>
      <c r="H138">
        <f t="shared" si="4"/>
        <v>22.857142857142858</v>
      </c>
      <c r="I138">
        <f t="shared" si="5"/>
        <v>30</v>
      </c>
      <c r="J138" t="s">
        <v>7164</v>
      </c>
      <c r="K138">
        <v>115</v>
      </c>
      <c r="L138">
        <v>14</v>
      </c>
    </row>
    <row r="139" spans="1:12" x14ac:dyDescent="0.2">
      <c r="A139">
        <v>135</v>
      </c>
      <c r="B139">
        <v>12</v>
      </c>
      <c r="C139">
        <v>350</v>
      </c>
      <c r="D139" t="s">
        <v>7358</v>
      </c>
      <c r="E139">
        <v>113</v>
      </c>
      <c r="F139" t="s">
        <v>7162</v>
      </c>
      <c r="G139">
        <v>27</v>
      </c>
      <c r="H139">
        <f t="shared" si="4"/>
        <v>23.893805309734514</v>
      </c>
      <c r="I139">
        <f t="shared" si="5"/>
        <v>32.285714285714285</v>
      </c>
      <c r="J139" t="s">
        <v>7164</v>
      </c>
      <c r="K139">
        <v>140</v>
      </c>
      <c r="L139">
        <v>14</v>
      </c>
    </row>
    <row r="140" spans="1:12" x14ac:dyDescent="0.2">
      <c r="A140">
        <v>160</v>
      </c>
      <c r="B140">
        <v>12</v>
      </c>
      <c r="C140">
        <v>350</v>
      </c>
      <c r="D140" t="s">
        <v>7359</v>
      </c>
      <c r="E140">
        <v>1</v>
      </c>
      <c r="F140" t="s">
        <v>7162</v>
      </c>
      <c r="G140">
        <v>0</v>
      </c>
      <c r="H140">
        <f t="shared" si="4"/>
        <v>0</v>
      </c>
      <c r="I140">
        <f t="shared" si="5"/>
        <v>0.2857142857142857</v>
      </c>
      <c r="J140" t="s">
        <v>7164</v>
      </c>
      <c r="K140">
        <v>165</v>
      </c>
      <c r="L140">
        <v>14</v>
      </c>
    </row>
    <row r="141" spans="1:12" x14ac:dyDescent="0.2">
      <c r="A141">
        <v>185</v>
      </c>
      <c r="B141">
        <v>12</v>
      </c>
      <c r="C141">
        <v>350</v>
      </c>
      <c r="D141" t="s">
        <v>7360</v>
      </c>
      <c r="E141">
        <v>8</v>
      </c>
      <c r="F141" t="s">
        <v>7162</v>
      </c>
      <c r="G141">
        <v>0</v>
      </c>
      <c r="H141">
        <f t="shared" si="4"/>
        <v>0</v>
      </c>
      <c r="I141">
        <f t="shared" si="5"/>
        <v>2.2857142857142856</v>
      </c>
      <c r="J141" t="s">
        <v>7164</v>
      </c>
      <c r="K141">
        <v>190</v>
      </c>
      <c r="L141">
        <v>14</v>
      </c>
    </row>
    <row r="142" spans="1:12" x14ac:dyDescent="0.2">
      <c r="A142">
        <v>210</v>
      </c>
      <c r="B142">
        <v>12</v>
      </c>
      <c r="C142">
        <v>350</v>
      </c>
      <c r="D142" t="s">
        <v>7361</v>
      </c>
      <c r="E142">
        <v>3</v>
      </c>
      <c r="F142" t="s">
        <v>7162</v>
      </c>
      <c r="G142">
        <v>1</v>
      </c>
      <c r="H142">
        <f t="shared" si="4"/>
        <v>33.333333333333329</v>
      </c>
      <c r="I142">
        <f t="shared" si="5"/>
        <v>0.85714285714285721</v>
      </c>
      <c r="J142" t="s">
        <v>7164</v>
      </c>
      <c r="K142">
        <v>215</v>
      </c>
      <c r="L142">
        <v>14</v>
      </c>
    </row>
    <row r="143" spans="1:12" x14ac:dyDescent="0.2">
      <c r="A143">
        <v>235</v>
      </c>
      <c r="B143">
        <v>12</v>
      </c>
      <c r="C143">
        <v>350</v>
      </c>
      <c r="D143" t="s">
        <v>7362</v>
      </c>
      <c r="E143">
        <v>14</v>
      </c>
      <c r="F143" t="s">
        <v>7162</v>
      </c>
      <c r="G143">
        <v>2</v>
      </c>
      <c r="H143">
        <f t="shared" si="4"/>
        <v>14.285714285714285</v>
      </c>
      <c r="I143">
        <f t="shared" si="5"/>
        <v>4</v>
      </c>
      <c r="J143" t="s">
        <v>7164</v>
      </c>
      <c r="K143">
        <v>240</v>
      </c>
      <c r="L143">
        <v>14</v>
      </c>
    </row>
    <row r="144" spans="1:12" x14ac:dyDescent="0.2">
      <c r="A144">
        <v>260</v>
      </c>
      <c r="B144">
        <v>12</v>
      </c>
      <c r="C144">
        <v>350</v>
      </c>
      <c r="D144" t="s">
        <v>7363</v>
      </c>
      <c r="E144">
        <v>1</v>
      </c>
      <c r="F144" t="s">
        <v>7162</v>
      </c>
      <c r="G144">
        <v>0</v>
      </c>
      <c r="H144">
        <f t="shared" si="4"/>
        <v>0</v>
      </c>
      <c r="I144">
        <f t="shared" si="5"/>
        <v>0.2857142857142857</v>
      </c>
      <c r="J144" t="s">
        <v>7164</v>
      </c>
      <c r="K144">
        <v>265</v>
      </c>
      <c r="L144">
        <v>14</v>
      </c>
    </row>
    <row r="145" spans="1:12" x14ac:dyDescent="0.2">
      <c r="A145">
        <v>5</v>
      </c>
      <c r="B145">
        <v>12</v>
      </c>
      <c r="C145">
        <v>350</v>
      </c>
      <c r="D145" t="s">
        <v>7353</v>
      </c>
      <c r="E145">
        <v>93</v>
      </c>
      <c r="F145" t="s">
        <v>7168</v>
      </c>
      <c r="G145">
        <v>0</v>
      </c>
      <c r="H145">
        <f t="shared" si="4"/>
        <v>0</v>
      </c>
      <c r="I145">
        <f t="shared" si="5"/>
        <v>26.571428571428573</v>
      </c>
      <c r="J145" t="s">
        <v>7164</v>
      </c>
      <c r="K145">
        <v>5</v>
      </c>
      <c r="L145">
        <v>14</v>
      </c>
    </row>
    <row r="146" spans="1:12" x14ac:dyDescent="0.2">
      <c r="A146">
        <v>35</v>
      </c>
      <c r="B146">
        <v>12</v>
      </c>
      <c r="C146">
        <v>350</v>
      </c>
      <c r="D146" t="s">
        <v>7354</v>
      </c>
      <c r="E146">
        <v>64</v>
      </c>
      <c r="F146" t="s">
        <v>7168</v>
      </c>
      <c r="G146">
        <v>2</v>
      </c>
      <c r="H146">
        <f t="shared" si="4"/>
        <v>3.125</v>
      </c>
      <c r="I146">
        <f t="shared" si="5"/>
        <v>18.285714285714285</v>
      </c>
      <c r="J146" t="s">
        <v>7164</v>
      </c>
      <c r="K146">
        <v>40</v>
      </c>
      <c r="L146">
        <v>14</v>
      </c>
    </row>
    <row r="147" spans="1:12" x14ac:dyDescent="0.2">
      <c r="A147">
        <v>60</v>
      </c>
      <c r="B147">
        <v>12</v>
      </c>
      <c r="C147">
        <v>350</v>
      </c>
      <c r="D147" t="s">
        <v>7355</v>
      </c>
      <c r="E147">
        <v>20</v>
      </c>
      <c r="F147" t="s">
        <v>7168</v>
      </c>
      <c r="G147">
        <v>0</v>
      </c>
      <c r="H147">
        <f t="shared" si="4"/>
        <v>0</v>
      </c>
      <c r="I147">
        <f t="shared" si="5"/>
        <v>5.7142857142857144</v>
      </c>
      <c r="J147" t="s">
        <v>7164</v>
      </c>
      <c r="K147">
        <v>65</v>
      </c>
      <c r="L147">
        <v>14</v>
      </c>
    </row>
    <row r="148" spans="1:12" x14ac:dyDescent="0.2">
      <c r="A148">
        <v>85</v>
      </c>
      <c r="B148">
        <v>12</v>
      </c>
      <c r="C148">
        <v>350</v>
      </c>
      <c r="D148" t="s">
        <v>7356</v>
      </c>
      <c r="E148">
        <v>23</v>
      </c>
      <c r="F148" t="s">
        <v>7168</v>
      </c>
      <c r="G148">
        <v>0</v>
      </c>
      <c r="H148">
        <f t="shared" si="4"/>
        <v>0</v>
      </c>
      <c r="I148">
        <f t="shared" si="5"/>
        <v>6.5714285714285712</v>
      </c>
      <c r="J148" t="s">
        <v>7164</v>
      </c>
      <c r="K148">
        <v>90</v>
      </c>
      <c r="L148">
        <v>14</v>
      </c>
    </row>
    <row r="149" spans="1:12" x14ac:dyDescent="0.2">
      <c r="A149">
        <v>110</v>
      </c>
      <c r="B149">
        <v>12</v>
      </c>
      <c r="C149">
        <v>350</v>
      </c>
      <c r="D149" t="s">
        <v>7357</v>
      </c>
      <c r="E149">
        <v>105</v>
      </c>
      <c r="F149" t="s">
        <v>7168</v>
      </c>
      <c r="G149">
        <v>0</v>
      </c>
      <c r="H149">
        <f t="shared" si="4"/>
        <v>0</v>
      </c>
      <c r="I149">
        <f t="shared" si="5"/>
        <v>30</v>
      </c>
      <c r="J149" t="s">
        <v>7164</v>
      </c>
      <c r="K149">
        <v>115</v>
      </c>
      <c r="L149">
        <v>14</v>
      </c>
    </row>
    <row r="150" spans="1:12" x14ac:dyDescent="0.2">
      <c r="A150">
        <v>135</v>
      </c>
      <c r="B150">
        <v>12</v>
      </c>
      <c r="C150">
        <v>350</v>
      </c>
      <c r="D150" t="s">
        <v>7358</v>
      </c>
      <c r="E150">
        <v>113</v>
      </c>
      <c r="F150" t="s">
        <v>7168</v>
      </c>
      <c r="G150">
        <v>0</v>
      </c>
      <c r="H150">
        <f t="shared" si="4"/>
        <v>0</v>
      </c>
      <c r="I150">
        <f t="shared" si="5"/>
        <v>32.285714285714285</v>
      </c>
      <c r="J150" t="s">
        <v>7164</v>
      </c>
      <c r="K150">
        <v>140</v>
      </c>
      <c r="L150">
        <v>14</v>
      </c>
    </row>
    <row r="151" spans="1:12" x14ac:dyDescent="0.2">
      <c r="A151">
        <v>160</v>
      </c>
      <c r="B151">
        <v>12</v>
      </c>
      <c r="C151">
        <v>350</v>
      </c>
      <c r="D151" t="s">
        <v>7359</v>
      </c>
      <c r="E151">
        <v>1</v>
      </c>
      <c r="F151" t="s">
        <v>7168</v>
      </c>
      <c r="G151">
        <v>0</v>
      </c>
      <c r="H151">
        <f t="shared" si="4"/>
        <v>0</v>
      </c>
      <c r="I151">
        <f t="shared" si="5"/>
        <v>0.2857142857142857</v>
      </c>
      <c r="J151" t="s">
        <v>7164</v>
      </c>
      <c r="K151">
        <v>165</v>
      </c>
      <c r="L151">
        <v>14</v>
      </c>
    </row>
    <row r="152" spans="1:12" x14ac:dyDescent="0.2">
      <c r="A152">
        <v>185</v>
      </c>
      <c r="B152">
        <v>12</v>
      </c>
      <c r="C152">
        <v>350</v>
      </c>
      <c r="D152" t="s">
        <v>7360</v>
      </c>
      <c r="E152">
        <v>8</v>
      </c>
      <c r="F152" t="s">
        <v>7168</v>
      </c>
      <c r="G152">
        <v>0</v>
      </c>
      <c r="H152">
        <f t="shared" si="4"/>
        <v>0</v>
      </c>
      <c r="I152">
        <f t="shared" si="5"/>
        <v>2.2857142857142856</v>
      </c>
      <c r="J152" t="s">
        <v>7164</v>
      </c>
      <c r="K152">
        <v>190</v>
      </c>
      <c r="L152">
        <v>14</v>
      </c>
    </row>
    <row r="153" spans="1:12" x14ac:dyDescent="0.2">
      <c r="A153">
        <v>210</v>
      </c>
      <c r="B153">
        <v>12</v>
      </c>
      <c r="C153">
        <v>350</v>
      </c>
      <c r="D153" t="s">
        <v>7361</v>
      </c>
      <c r="E153">
        <v>3</v>
      </c>
      <c r="F153" t="s">
        <v>7168</v>
      </c>
      <c r="G153">
        <v>0</v>
      </c>
      <c r="H153">
        <f t="shared" si="4"/>
        <v>0</v>
      </c>
      <c r="I153">
        <f t="shared" si="5"/>
        <v>0.85714285714285721</v>
      </c>
      <c r="J153" t="s">
        <v>7164</v>
      </c>
      <c r="K153">
        <v>215</v>
      </c>
      <c r="L153">
        <v>14</v>
      </c>
    </row>
    <row r="154" spans="1:12" x14ac:dyDescent="0.2">
      <c r="A154">
        <v>235</v>
      </c>
      <c r="B154">
        <v>12</v>
      </c>
      <c r="C154">
        <v>350</v>
      </c>
      <c r="D154" t="s">
        <v>7362</v>
      </c>
      <c r="E154">
        <v>14</v>
      </c>
      <c r="F154" t="s">
        <v>7168</v>
      </c>
      <c r="G154">
        <v>0</v>
      </c>
      <c r="H154">
        <f t="shared" si="4"/>
        <v>0</v>
      </c>
      <c r="I154">
        <f t="shared" si="5"/>
        <v>4</v>
      </c>
      <c r="J154" t="s">
        <v>7164</v>
      </c>
      <c r="K154">
        <v>240</v>
      </c>
      <c r="L154">
        <v>14</v>
      </c>
    </row>
    <row r="155" spans="1:12" x14ac:dyDescent="0.2">
      <c r="A155">
        <v>260</v>
      </c>
      <c r="B155">
        <v>12</v>
      </c>
      <c r="C155">
        <v>350</v>
      </c>
      <c r="D155" t="s">
        <v>7363</v>
      </c>
      <c r="E155">
        <v>1</v>
      </c>
      <c r="F155" t="s">
        <v>7168</v>
      </c>
      <c r="G155">
        <v>0</v>
      </c>
      <c r="H155">
        <f t="shared" si="4"/>
        <v>0</v>
      </c>
      <c r="I155">
        <f t="shared" si="5"/>
        <v>0.2857142857142857</v>
      </c>
      <c r="J155" t="s">
        <v>7164</v>
      </c>
      <c r="K155">
        <v>265</v>
      </c>
      <c r="L155">
        <v>14</v>
      </c>
    </row>
    <row r="156" spans="1:12" x14ac:dyDescent="0.2">
      <c r="A156">
        <v>285</v>
      </c>
      <c r="B156">
        <v>12</v>
      </c>
      <c r="C156">
        <v>586</v>
      </c>
      <c r="D156" t="s">
        <v>6416</v>
      </c>
      <c r="E156">
        <v>32</v>
      </c>
      <c r="F156" t="s">
        <v>7167</v>
      </c>
      <c r="G156">
        <v>0</v>
      </c>
      <c r="H156">
        <f t="shared" si="4"/>
        <v>0</v>
      </c>
      <c r="I156">
        <f t="shared" si="5"/>
        <v>5.4607508532423212</v>
      </c>
      <c r="J156" t="s">
        <v>7150</v>
      </c>
      <c r="K156">
        <v>290</v>
      </c>
      <c r="L156">
        <v>14</v>
      </c>
    </row>
    <row r="157" spans="1:12" x14ac:dyDescent="0.2">
      <c r="A157">
        <v>285</v>
      </c>
      <c r="B157">
        <v>12</v>
      </c>
      <c r="C157">
        <v>586</v>
      </c>
      <c r="D157" t="s">
        <v>6416</v>
      </c>
      <c r="E157">
        <v>32</v>
      </c>
      <c r="F157" s="21" t="s">
        <v>7170</v>
      </c>
      <c r="G157">
        <v>0</v>
      </c>
      <c r="H157">
        <f t="shared" si="4"/>
        <v>0</v>
      </c>
      <c r="I157">
        <f t="shared" si="5"/>
        <v>5.4607508532423212</v>
      </c>
      <c r="J157" t="s">
        <v>7150</v>
      </c>
      <c r="K157">
        <v>290</v>
      </c>
      <c r="L157">
        <v>14</v>
      </c>
    </row>
    <row r="158" spans="1:12" x14ac:dyDescent="0.2">
      <c r="A158">
        <v>285</v>
      </c>
      <c r="B158">
        <v>12</v>
      </c>
      <c r="C158">
        <v>586</v>
      </c>
      <c r="D158" t="s">
        <v>6416</v>
      </c>
      <c r="E158">
        <v>32</v>
      </c>
      <c r="F158" t="s">
        <v>60</v>
      </c>
      <c r="G158">
        <v>0</v>
      </c>
      <c r="H158">
        <f t="shared" si="4"/>
        <v>0</v>
      </c>
      <c r="I158">
        <f t="shared" si="5"/>
        <v>5.4607508532423212</v>
      </c>
      <c r="J158" t="s">
        <v>7150</v>
      </c>
      <c r="K158">
        <v>290</v>
      </c>
      <c r="L158">
        <v>14</v>
      </c>
    </row>
    <row r="159" spans="1:12" x14ac:dyDescent="0.2">
      <c r="A159">
        <v>285</v>
      </c>
      <c r="B159">
        <v>12</v>
      </c>
      <c r="C159">
        <v>586</v>
      </c>
      <c r="D159" t="s">
        <v>6416</v>
      </c>
      <c r="E159">
        <v>32</v>
      </c>
      <c r="F159" t="s">
        <v>7165</v>
      </c>
      <c r="G159">
        <v>3</v>
      </c>
      <c r="H159">
        <f t="shared" si="4"/>
        <v>9.375</v>
      </c>
      <c r="I159">
        <f t="shared" si="5"/>
        <v>5.4607508532423212</v>
      </c>
      <c r="J159" t="s">
        <v>7150</v>
      </c>
      <c r="K159">
        <v>290</v>
      </c>
      <c r="L159">
        <v>14</v>
      </c>
    </row>
    <row r="160" spans="1:12" x14ac:dyDescent="0.2">
      <c r="A160">
        <v>285</v>
      </c>
      <c r="B160">
        <v>12</v>
      </c>
      <c r="C160">
        <v>586</v>
      </c>
      <c r="D160" t="s">
        <v>6416</v>
      </c>
      <c r="E160">
        <v>32</v>
      </c>
      <c r="F160" t="s">
        <v>7169</v>
      </c>
      <c r="G160">
        <v>0</v>
      </c>
      <c r="H160">
        <f t="shared" si="4"/>
        <v>0</v>
      </c>
      <c r="I160">
        <f t="shared" si="5"/>
        <v>5.4607508532423212</v>
      </c>
      <c r="J160" t="s">
        <v>7150</v>
      </c>
      <c r="K160">
        <v>290</v>
      </c>
      <c r="L160">
        <v>14</v>
      </c>
    </row>
    <row r="161" spans="1:12" x14ac:dyDescent="0.2">
      <c r="A161">
        <v>285</v>
      </c>
      <c r="B161">
        <v>12</v>
      </c>
      <c r="C161">
        <v>586</v>
      </c>
      <c r="D161" t="s">
        <v>6416</v>
      </c>
      <c r="E161">
        <v>32</v>
      </c>
      <c r="F161" t="s">
        <v>7162</v>
      </c>
      <c r="G161">
        <v>5</v>
      </c>
      <c r="H161">
        <f t="shared" si="4"/>
        <v>15.625</v>
      </c>
      <c r="I161">
        <f t="shared" si="5"/>
        <v>5.4607508532423212</v>
      </c>
      <c r="J161" t="s">
        <v>7150</v>
      </c>
      <c r="K161">
        <v>290</v>
      </c>
      <c r="L161">
        <v>14</v>
      </c>
    </row>
    <row r="162" spans="1:12" x14ac:dyDescent="0.2">
      <c r="A162">
        <v>285</v>
      </c>
      <c r="B162">
        <v>12</v>
      </c>
      <c r="C162">
        <v>586</v>
      </c>
      <c r="D162" t="s">
        <v>6416</v>
      </c>
      <c r="E162">
        <v>32</v>
      </c>
      <c r="F162" t="s">
        <v>7168</v>
      </c>
      <c r="G162">
        <v>0</v>
      </c>
      <c r="H162">
        <f t="shared" si="4"/>
        <v>0</v>
      </c>
      <c r="I162">
        <f t="shared" si="5"/>
        <v>5.4607508532423212</v>
      </c>
      <c r="J162" t="s">
        <v>7150</v>
      </c>
      <c r="K162">
        <v>290</v>
      </c>
      <c r="L162">
        <v>14</v>
      </c>
    </row>
    <row r="163" spans="1:12" x14ac:dyDescent="0.2">
      <c r="A163">
        <v>285</v>
      </c>
      <c r="B163">
        <v>12</v>
      </c>
      <c r="C163">
        <v>350</v>
      </c>
      <c r="D163" t="s">
        <v>6416</v>
      </c>
      <c r="E163">
        <v>32</v>
      </c>
      <c r="F163" t="s">
        <v>7167</v>
      </c>
      <c r="G163">
        <v>0</v>
      </c>
      <c r="H163">
        <f t="shared" si="4"/>
        <v>0</v>
      </c>
      <c r="I163">
        <f t="shared" si="5"/>
        <v>9.1428571428571423</v>
      </c>
      <c r="J163" t="s">
        <v>7164</v>
      </c>
      <c r="K163">
        <v>290</v>
      </c>
      <c r="L163">
        <v>14</v>
      </c>
    </row>
    <row r="164" spans="1:12" x14ac:dyDescent="0.2">
      <c r="A164">
        <v>285</v>
      </c>
      <c r="B164">
        <v>12</v>
      </c>
      <c r="C164">
        <v>350</v>
      </c>
      <c r="D164" t="s">
        <v>6416</v>
      </c>
      <c r="E164">
        <v>32</v>
      </c>
      <c r="F164" s="21" t="s">
        <v>7170</v>
      </c>
      <c r="G164">
        <v>0</v>
      </c>
      <c r="H164">
        <f t="shared" si="4"/>
        <v>0</v>
      </c>
      <c r="I164">
        <f t="shared" si="5"/>
        <v>9.1428571428571423</v>
      </c>
      <c r="J164" t="s">
        <v>7164</v>
      </c>
      <c r="K164">
        <v>290</v>
      </c>
      <c r="L164">
        <v>14</v>
      </c>
    </row>
    <row r="165" spans="1:12" x14ac:dyDescent="0.2">
      <c r="A165">
        <v>285</v>
      </c>
      <c r="B165">
        <v>12</v>
      </c>
      <c r="C165">
        <v>350</v>
      </c>
      <c r="D165" t="s">
        <v>6416</v>
      </c>
      <c r="E165">
        <v>32</v>
      </c>
      <c r="F165" t="s">
        <v>60</v>
      </c>
      <c r="G165">
        <v>0</v>
      </c>
      <c r="H165">
        <f t="shared" si="4"/>
        <v>0</v>
      </c>
      <c r="I165">
        <f t="shared" si="5"/>
        <v>9.1428571428571423</v>
      </c>
      <c r="J165" t="s">
        <v>7164</v>
      </c>
      <c r="K165">
        <v>290</v>
      </c>
      <c r="L165">
        <v>14</v>
      </c>
    </row>
    <row r="166" spans="1:12" x14ac:dyDescent="0.2">
      <c r="A166">
        <v>285</v>
      </c>
      <c r="B166">
        <v>12</v>
      </c>
      <c r="C166">
        <v>350</v>
      </c>
      <c r="D166" t="s">
        <v>6416</v>
      </c>
      <c r="E166">
        <v>32</v>
      </c>
      <c r="F166" t="s">
        <v>7165</v>
      </c>
      <c r="G166">
        <v>1</v>
      </c>
      <c r="H166">
        <f t="shared" si="4"/>
        <v>3.125</v>
      </c>
      <c r="I166">
        <f t="shared" si="5"/>
        <v>9.1428571428571423</v>
      </c>
      <c r="J166" t="s">
        <v>7164</v>
      </c>
      <c r="K166">
        <v>290</v>
      </c>
      <c r="L166">
        <v>14</v>
      </c>
    </row>
    <row r="167" spans="1:12" x14ac:dyDescent="0.2">
      <c r="A167">
        <v>285</v>
      </c>
      <c r="B167">
        <v>12</v>
      </c>
      <c r="C167">
        <v>350</v>
      </c>
      <c r="D167" t="s">
        <v>6416</v>
      </c>
      <c r="E167">
        <v>32</v>
      </c>
      <c r="F167" t="s">
        <v>7169</v>
      </c>
      <c r="G167">
        <v>0</v>
      </c>
      <c r="H167">
        <f t="shared" si="4"/>
        <v>0</v>
      </c>
      <c r="I167">
        <f t="shared" si="5"/>
        <v>9.1428571428571423</v>
      </c>
      <c r="J167" t="s">
        <v>7164</v>
      </c>
      <c r="K167">
        <v>290</v>
      </c>
      <c r="L167">
        <v>14</v>
      </c>
    </row>
    <row r="168" spans="1:12" x14ac:dyDescent="0.2">
      <c r="A168">
        <v>285</v>
      </c>
      <c r="B168">
        <v>12</v>
      </c>
      <c r="C168">
        <v>350</v>
      </c>
      <c r="D168" t="s">
        <v>6416</v>
      </c>
      <c r="E168">
        <v>32</v>
      </c>
      <c r="F168" t="s">
        <v>7162</v>
      </c>
      <c r="G168">
        <v>22</v>
      </c>
      <c r="H168">
        <f t="shared" si="4"/>
        <v>68.75</v>
      </c>
      <c r="I168">
        <f t="shared" si="5"/>
        <v>9.1428571428571423</v>
      </c>
      <c r="J168" t="s">
        <v>7164</v>
      </c>
      <c r="K168">
        <v>290</v>
      </c>
      <c r="L168">
        <v>14</v>
      </c>
    </row>
    <row r="169" spans="1:12" x14ac:dyDescent="0.2">
      <c r="A169">
        <v>285</v>
      </c>
      <c r="B169">
        <v>12</v>
      </c>
      <c r="C169">
        <v>350</v>
      </c>
      <c r="D169" t="s">
        <v>6416</v>
      </c>
      <c r="E169">
        <v>32</v>
      </c>
      <c r="F169" t="s">
        <v>7168</v>
      </c>
      <c r="G169">
        <v>1</v>
      </c>
      <c r="H169">
        <f t="shared" si="4"/>
        <v>3.125</v>
      </c>
      <c r="I169">
        <f t="shared" si="5"/>
        <v>9.1428571428571423</v>
      </c>
      <c r="J169" t="s">
        <v>7164</v>
      </c>
      <c r="K169">
        <v>290</v>
      </c>
      <c r="L169">
        <v>14</v>
      </c>
    </row>
  </sheetData>
  <autoFilter ref="A1:L169" xr:uid="{E4FF22A2-3639-4CDB-8CA0-13C40C2C4B1F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72DE-19CA-469A-98CE-43E6B1BF4F6E}">
  <dimension ref="A1:L193"/>
  <sheetViews>
    <sheetView workbookViewId="0">
      <selection activeCell="I5" sqref="I5"/>
    </sheetView>
  </sheetViews>
  <sheetFormatPr baseColWidth="10" defaultColWidth="8.83203125" defaultRowHeight="15" x14ac:dyDescent="0.2"/>
  <sheetData>
    <row r="1" spans="1:12" x14ac:dyDescent="0.2">
      <c r="A1" t="s">
        <v>7136</v>
      </c>
      <c r="B1" t="s">
        <v>7138</v>
      </c>
      <c r="C1" t="s">
        <v>7367</v>
      </c>
      <c r="D1" t="s">
        <v>7368</v>
      </c>
      <c r="E1" t="s">
        <v>7369</v>
      </c>
      <c r="F1" t="s">
        <v>7370</v>
      </c>
      <c r="G1" t="s">
        <v>7371</v>
      </c>
      <c r="H1" t="s">
        <v>7145</v>
      </c>
      <c r="I1" t="s">
        <v>7141</v>
      </c>
      <c r="J1" t="s">
        <v>7147</v>
      </c>
      <c r="K1" t="s">
        <v>7373</v>
      </c>
      <c r="L1" t="s">
        <v>7374</v>
      </c>
    </row>
    <row r="2" spans="1:12" x14ac:dyDescent="0.2">
      <c r="A2">
        <v>5</v>
      </c>
      <c r="B2">
        <v>12</v>
      </c>
      <c r="C2">
        <v>586</v>
      </c>
      <c r="D2" t="s">
        <v>7353</v>
      </c>
      <c r="E2">
        <v>245</v>
      </c>
      <c r="F2" t="s">
        <v>7167</v>
      </c>
      <c r="G2">
        <v>8</v>
      </c>
      <c r="H2">
        <f>G2/E2*100</f>
        <v>3.2653061224489797</v>
      </c>
      <c r="I2">
        <f>E2/C2*100</f>
        <v>41.808873720136518</v>
      </c>
      <c r="J2" t="s">
        <v>7150</v>
      </c>
      <c r="K2">
        <v>5</v>
      </c>
      <c r="L2">
        <v>14</v>
      </c>
    </row>
    <row r="3" spans="1:12" x14ac:dyDescent="0.2">
      <c r="A3">
        <v>35</v>
      </c>
      <c r="B3">
        <v>12</v>
      </c>
      <c r="C3">
        <v>586</v>
      </c>
      <c r="D3" t="s">
        <v>7354</v>
      </c>
      <c r="E3">
        <v>238</v>
      </c>
      <c r="F3" t="s">
        <v>7167</v>
      </c>
      <c r="G3">
        <v>10</v>
      </c>
      <c r="H3">
        <f t="shared" ref="H3:H66" si="0">G3/E3*100</f>
        <v>4.2016806722689077</v>
      </c>
      <c r="I3">
        <f t="shared" ref="I3:I67" si="1">E3/C3*100</f>
        <v>40.61433447098976</v>
      </c>
      <c r="J3" t="s">
        <v>7150</v>
      </c>
      <c r="K3">
        <v>40</v>
      </c>
      <c r="L3">
        <v>14</v>
      </c>
    </row>
    <row r="4" spans="1:12" x14ac:dyDescent="0.2">
      <c r="A4">
        <v>60</v>
      </c>
      <c r="B4">
        <v>12</v>
      </c>
      <c r="C4">
        <v>586</v>
      </c>
      <c r="D4" t="s">
        <v>7355</v>
      </c>
      <c r="E4">
        <v>20</v>
      </c>
      <c r="F4" t="s">
        <v>7167</v>
      </c>
      <c r="G4">
        <v>3</v>
      </c>
      <c r="H4">
        <f t="shared" si="0"/>
        <v>15</v>
      </c>
      <c r="I4">
        <f t="shared" si="1"/>
        <v>3.4129692832764507</v>
      </c>
      <c r="J4" t="s">
        <v>7150</v>
      </c>
      <c r="K4">
        <v>65</v>
      </c>
      <c r="L4">
        <v>14</v>
      </c>
    </row>
    <row r="5" spans="1:12" x14ac:dyDescent="0.2">
      <c r="A5">
        <v>85</v>
      </c>
      <c r="B5">
        <v>12</v>
      </c>
      <c r="C5">
        <v>586</v>
      </c>
      <c r="D5" t="s">
        <v>7356</v>
      </c>
      <c r="E5">
        <v>67</v>
      </c>
      <c r="F5" t="s">
        <v>7167</v>
      </c>
      <c r="G5">
        <v>0</v>
      </c>
      <c r="H5">
        <f t="shared" si="0"/>
        <v>0</v>
      </c>
      <c r="I5">
        <f t="shared" si="1"/>
        <v>11.433447098976108</v>
      </c>
      <c r="J5" t="s">
        <v>7150</v>
      </c>
      <c r="K5">
        <v>90</v>
      </c>
      <c r="L5">
        <v>14</v>
      </c>
    </row>
    <row r="6" spans="1:12" x14ac:dyDescent="0.2">
      <c r="A6">
        <v>110</v>
      </c>
      <c r="B6">
        <v>12</v>
      </c>
      <c r="C6">
        <v>586</v>
      </c>
      <c r="D6" t="s">
        <v>7357</v>
      </c>
      <c r="E6">
        <v>108</v>
      </c>
      <c r="F6" t="s">
        <v>7167</v>
      </c>
      <c r="G6">
        <v>0</v>
      </c>
      <c r="H6">
        <f t="shared" si="0"/>
        <v>0</v>
      </c>
      <c r="I6">
        <f t="shared" si="1"/>
        <v>18.430034129692832</v>
      </c>
      <c r="J6" t="s">
        <v>7150</v>
      </c>
      <c r="K6">
        <v>115</v>
      </c>
      <c r="L6">
        <v>14</v>
      </c>
    </row>
    <row r="7" spans="1:12" x14ac:dyDescent="0.2">
      <c r="A7">
        <v>135</v>
      </c>
      <c r="B7">
        <v>12</v>
      </c>
      <c r="C7">
        <v>586</v>
      </c>
      <c r="D7" t="s">
        <v>7358</v>
      </c>
      <c r="E7">
        <v>118</v>
      </c>
      <c r="F7" t="s">
        <v>7167</v>
      </c>
      <c r="G7">
        <v>0</v>
      </c>
      <c r="H7">
        <f t="shared" si="0"/>
        <v>0</v>
      </c>
      <c r="I7">
        <f t="shared" si="1"/>
        <v>20.136518771331058</v>
      </c>
      <c r="J7" t="s">
        <v>7150</v>
      </c>
      <c r="K7">
        <v>140</v>
      </c>
      <c r="L7">
        <v>14</v>
      </c>
    </row>
    <row r="8" spans="1:12" x14ac:dyDescent="0.2">
      <c r="A8">
        <v>160</v>
      </c>
      <c r="B8">
        <v>12</v>
      </c>
      <c r="C8">
        <v>586</v>
      </c>
      <c r="D8" t="s">
        <v>7359</v>
      </c>
      <c r="E8">
        <v>1</v>
      </c>
      <c r="F8" t="s">
        <v>7167</v>
      </c>
      <c r="G8">
        <v>0</v>
      </c>
      <c r="H8">
        <f t="shared" si="0"/>
        <v>0</v>
      </c>
      <c r="I8">
        <f t="shared" si="1"/>
        <v>0.17064846416382254</v>
      </c>
      <c r="J8" t="s">
        <v>7150</v>
      </c>
      <c r="K8">
        <v>165</v>
      </c>
      <c r="L8">
        <v>14</v>
      </c>
    </row>
    <row r="9" spans="1:12" x14ac:dyDescent="0.2">
      <c r="A9">
        <v>185</v>
      </c>
      <c r="B9">
        <v>12</v>
      </c>
      <c r="C9">
        <v>586</v>
      </c>
      <c r="D9" t="s">
        <v>7360</v>
      </c>
      <c r="E9">
        <v>8</v>
      </c>
      <c r="F9" t="s">
        <v>7167</v>
      </c>
      <c r="G9">
        <v>0</v>
      </c>
      <c r="H9">
        <f t="shared" si="0"/>
        <v>0</v>
      </c>
      <c r="I9">
        <f t="shared" si="1"/>
        <v>1.3651877133105803</v>
      </c>
      <c r="J9" t="s">
        <v>7150</v>
      </c>
      <c r="K9">
        <v>190</v>
      </c>
      <c r="L9">
        <v>14</v>
      </c>
    </row>
    <row r="10" spans="1:12" x14ac:dyDescent="0.2">
      <c r="A10">
        <v>210</v>
      </c>
      <c r="B10">
        <v>12</v>
      </c>
      <c r="C10">
        <v>586</v>
      </c>
      <c r="D10" t="s">
        <v>7361</v>
      </c>
      <c r="E10">
        <v>3</v>
      </c>
      <c r="F10" t="s">
        <v>7167</v>
      </c>
      <c r="G10">
        <v>0</v>
      </c>
      <c r="H10">
        <f t="shared" si="0"/>
        <v>0</v>
      </c>
      <c r="I10">
        <f t="shared" si="1"/>
        <v>0.51194539249146753</v>
      </c>
      <c r="J10" t="s">
        <v>7150</v>
      </c>
      <c r="K10">
        <v>215</v>
      </c>
      <c r="L10">
        <v>14</v>
      </c>
    </row>
    <row r="11" spans="1:12" x14ac:dyDescent="0.2">
      <c r="A11">
        <v>235</v>
      </c>
      <c r="B11">
        <v>12</v>
      </c>
      <c r="C11">
        <v>586</v>
      </c>
      <c r="D11" t="s">
        <v>7362</v>
      </c>
      <c r="E11">
        <v>16</v>
      </c>
      <c r="F11" t="s">
        <v>7167</v>
      </c>
      <c r="G11">
        <v>0</v>
      </c>
      <c r="H11">
        <f t="shared" si="0"/>
        <v>0</v>
      </c>
      <c r="I11">
        <f t="shared" si="1"/>
        <v>2.7303754266211606</v>
      </c>
      <c r="J11" t="s">
        <v>7150</v>
      </c>
      <c r="K11">
        <v>240</v>
      </c>
      <c r="L11">
        <v>14</v>
      </c>
    </row>
    <row r="12" spans="1:12" x14ac:dyDescent="0.2">
      <c r="A12">
        <v>260</v>
      </c>
      <c r="B12">
        <v>12</v>
      </c>
      <c r="C12">
        <v>586</v>
      </c>
      <c r="D12" t="s">
        <v>7363</v>
      </c>
      <c r="E12">
        <v>1</v>
      </c>
      <c r="F12" t="s">
        <v>7167</v>
      </c>
      <c r="G12">
        <v>0</v>
      </c>
      <c r="H12">
        <f t="shared" si="0"/>
        <v>0</v>
      </c>
      <c r="I12">
        <f t="shared" si="1"/>
        <v>0.17064846416382254</v>
      </c>
      <c r="J12" t="s">
        <v>7150</v>
      </c>
      <c r="K12">
        <v>265</v>
      </c>
      <c r="L12">
        <v>14</v>
      </c>
    </row>
    <row r="13" spans="1:12" x14ac:dyDescent="0.2">
      <c r="A13">
        <v>5</v>
      </c>
      <c r="B13">
        <v>12</v>
      </c>
      <c r="C13">
        <v>586</v>
      </c>
      <c r="D13" t="s">
        <v>7353</v>
      </c>
      <c r="E13">
        <v>245</v>
      </c>
      <c r="F13" s="21" t="s">
        <v>7170</v>
      </c>
      <c r="G13">
        <v>3</v>
      </c>
      <c r="H13">
        <f t="shared" si="0"/>
        <v>1.2244897959183674</v>
      </c>
      <c r="I13">
        <f t="shared" si="1"/>
        <v>41.808873720136518</v>
      </c>
      <c r="J13" t="s">
        <v>7150</v>
      </c>
      <c r="K13">
        <v>5</v>
      </c>
      <c r="L13">
        <v>14</v>
      </c>
    </row>
    <row r="14" spans="1:12" x14ac:dyDescent="0.2">
      <c r="A14">
        <v>35</v>
      </c>
      <c r="B14">
        <v>12</v>
      </c>
      <c r="C14">
        <v>586</v>
      </c>
      <c r="D14" t="s">
        <v>7354</v>
      </c>
      <c r="E14">
        <v>238</v>
      </c>
      <c r="F14" s="21" t="s">
        <v>7170</v>
      </c>
      <c r="G14" s="21">
        <v>2</v>
      </c>
      <c r="H14">
        <f t="shared" si="0"/>
        <v>0.84033613445378152</v>
      </c>
      <c r="I14">
        <f t="shared" si="1"/>
        <v>40.61433447098976</v>
      </c>
      <c r="J14" t="s">
        <v>7150</v>
      </c>
      <c r="K14">
        <v>40</v>
      </c>
      <c r="L14">
        <v>14</v>
      </c>
    </row>
    <row r="15" spans="1:12" x14ac:dyDescent="0.2">
      <c r="A15">
        <v>60</v>
      </c>
      <c r="B15">
        <v>12</v>
      </c>
      <c r="C15">
        <v>586</v>
      </c>
      <c r="D15" t="s">
        <v>7355</v>
      </c>
      <c r="E15">
        <v>20</v>
      </c>
      <c r="F15" s="21" t="s">
        <v>7170</v>
      </c>
      <c r="G15">
        <v>0</v>
      </c>
      <c r="H15">
        <f t="shared" si="0"/>
        <v>0</v>
      </c>
      <c r="I15">
        <f t="shared" si="1"/>
        <v>3.4129692832764507</v>
      </c>
      <c r="J15" t="s">
        <v>7150</v>
      </c>
      <c r="K15">
        <v>65</v>
      </c>
      <c r="L15">
        <v>14</v>
      </c>
    </row>
    <row r="16" spans="1:12" x14ac:dyDescent="0.2">
      <c r="A16">
        <v>85</v>
      </c>
      <c r="B16">
        <v>12</v>
      </c>
      <c r="C16">
        <v>586</v>
      </c>
      <c r="D16" t="s">
        <v>7356</v>
      </c>
      <c r="E16">
        <v>67</v>
      </c>
      <c r="F16" s="21" t="s">
        <v>7170</v>
      </c>
      <c r="G16" s="21">
        <v>7</v>
      </c>
      <c r="H16">
        <f t="shared" si="0"/>
        <v>10.44776119402985</v>
      </c>
      <c r="I16">
        <f t="shared" si="1"/>
        <v>11.433447098976108</v>
      </c>
      <c r="J16" t="s">
        <v>7150</v>
      </c>
      <c r="K16">
        <v>90</v>
      </c>
      <c r="L16">
        <v>14</v>
      </c>
    </row>
    <row r="17" spans="1:12" x14ac:dyDescent="0.2">
      <c r="A17">
        <v>110</v>
      </c>
      <c r="B17">
        <v>12</v>
      </c>
      <c r="C17">
        <v>586</v>
      </c>
      <c r="D17" t="s">
        <v>7357</v>
      </c>
      <c r="E17">
        <v>108</v>
      </c>
      <c r="F17" s="21" t="s">
        <v>7170</v>
      </c>
      <c r="G17">
        <v>0</v>
      </c>
      <c r="H17">
        <f t="shared" si="0"/>
        <v>0</v>
      </c>
      <c r="I17">
        <f t="shared" si="1"/>
        <v>18.430034129692832</v>
      </c>
      <c r="J17" t="s">
        <v>7150</v>
      </c>
      <c r="K17">
        <v>115</v>
      </c>
      <c r="L17">
        <v>14</v>
      </c>
    </row>
    <row r="18" spans="1:12" x14ac:dyDescent="0.2">
      <c r="A18">
        <v>135</v>
      </c>
      <c r="B18">
        <v>12</v>
      </c>
      <c r="C18">
        <v>586</v>
      </c>
      <c r="D18" t="s">
        <v>7358</v>
      </c>
      <c r="E18">
        <v>118</v>
      </c>
      <c r="F18" s="21" t="s">
        <v>7170</v>
      </c>
      <c r="G18">
        <v>0</v>
      </c>
      <c r="H18">
        <f t="shared" si="0"/>
        <v>0</v>
      </c>
      <c r="I18">
        <f t="shared" si="1"/>
        <v>20.136518771331058</v>
      </c>
      <c r="J18" t="s">
        <v>7150</v>
      </c>
      <c r="K18">
        <v>140</v>
      </c>
      <c r="L18">
        <v>14</v>
      </c>
    </row>
    <row r="19" spans="1:12" x14ac:dyDescent="0.2">
      <c r="A19">
        <v>160</v>
      </c>
      <c r="B19">
        <v>12</v>
      </c>
      <c r="C19">
        <v>586</v>
      </c>
      <c r="D19" t="s">
        <v>7359</v>
      </c>
      <c r="E19">
        <v>1</v>
      </c>
      <c r="F19" s="21" t="s">
        <v>7170</v>
      </c>
      <c r="G19" s="21">
        <v>0</v>
      </c>
      <c r="H19">
        <f t="shared" si="0"/>
        <v>0</v>
      </c>
      <c r="I19">
        <f t="shared" si="1"/>
        <v>0.17064846416382254</v>
      </c>
      <c r="J19" t="s">
        <v>7150</v>
      </c>
      <c r="K19">
        <v>165</v>
      </c>
      <c r="L19">
        <v>14</v>
      </c>
    </row>
    <row r="20" spans="1:12" x14ac:dyDescent="0.2">
      <c r="A20">
        <v>185</v>
      </c>
      <c r="B20">
        <v>12</v>
      </c>
      <c r="C20">
        <v>586</v>
      </c>
      <c r="D20" t="s">
        <v>7360</v>
      </c>
      <c r="E20">
        <v>8</v>
      </c>
      <c r="F20" s="21" t="s">
        <v>7170</v>
      </c>
      <c r="G20">
        <v>0</v>
      </c>
      <c r="H20">
        <f t="shared" si="0"/>
        <v>0</v>
      </c>
      <c r="I20">
        <f t="shared" si="1"/>
        <v>1.3651877133105803</v>
      </c>
      <c r="J20" t="s">
        <v>7150</v>
      </c>
      <c r="K20">
        <v>190</v>
      </c>
      <c r="L20">
        <v>14</v>
      </c>
    </row>
    <row r="21" spans="1:12" x14ac:dyDescent="0.2">
      <c r="A21">
        <v>210</v>
      </c>
      <c r="B21">
        <v>12</v>
      </c>
      <c r="C21">
        <v>586</v>
      </c>
      <c r="D21" t="s">
        <v>7361</v>
      </c>
      <c r="E21">
        <v>3</v>
      </c>
      <c r="F21" s="21" t="s">
        <v>7170</v>
      </c>
      <c r="G21" s="21">
        <v>0</v>
      </c>
      <c r="H21">
        <f t="shared" si="0"/>
        <v>0</v>
      </c>
      <c r="I21">
        <f t="shared" si="1"/>
        <v>0.51194539249146753</v>
      </c>
      <c r="J21" t="s">
        <v>7150</v>
      </c>
      <c r="K21">
        <v>215</v>
      </c>
      <c r="L21">
        <v>14</v>
      </c>
    </row>
    <row r="22" spans="1:12" x14ac:dyDescent="0.2">
      <c r="A22">
        <v>235</v>
      </c>
      <c r="B22">
        <v>12</v>
      </c>
      <c r="C22">
        <v>586</v>
      </c>
      <c r="D22" t="s">
        <v>7362</v>
      </c>
      <c r="E22">
        <v>16</v>
      </c>
      <c r="F22" s="21" t="s">
        <v>7170</v>
      </c>
      <c r="G22">
        <v>0</v>
      </c>
      <c r="H22">
        <f t="shared" si="0"/>
        <v>0</v>
      </c>
      <c r="I22">
        <f t="shared" si="1"/>
        <v>2.7303754266211606</v>
      </c>
      <c r="J22" t="s">
        <v>7150</v>
      </c>
      <c r="K22">
        <v>240</v>
      </c>
      <c r="L22">
        <v>14</v>
      </c>
    </row>
    <row r="23" spans="1:12" x14ac:dyDescent="0.2">
      <c r="A23">
        <v>260</v>
      </c>
      <c r="B23">
        <v>12</v>
      </c>
      <c r="C23">
        <v>586</v>
      </c>
      <c r="D23" t="s">
        <v>7363</v>
      </c>
      <c r="E23">
        <v>1</v>
      </c>
      <c r="F23" s="21" t="s">
        <v>7170</v>
      </c>
      <c r="G23">
        <v>0</v>
      </c>
      <c r="H23">
        <f t="shared" si="0"/>
        <v>0</v>
      </c>
      <c r="I23">
        <f t="shared" si="1"/>
        <v>0.17064846416382254</v>
      </c>
      <c r="J23" t="s">
        <v>7150</v>
      </c>
      <c r="K23">
        <v>265</v>
      </c>
      <c r="L23">
        <v>14</v>
      </c>
    </row>
    <row r="24" spans="1:12" x14ac:dyDescent="0.2">
      <c r="A24">
        <v>5</v>
      </c>
      <c r="B24">
        <v>12</v>
      </c>
      <c r="C24">
        <v>586</v>
      </c>
      <c r="D24" t="s">
        <v>7353</v>
      </c>
      <c r="E24">
        <v>245</v>
      </c>
      <c r="F24" t="s">
        <v>60</v>
      </c>
      <c r="G24">
        <v>5</v>
      </c>
      <c r="H24">
        <f t="shared" si="0"/>
        <v>2.0408163265306123</v>
      </c>
      <c r="I24">
        <f t="shared" si="1"/>
        <v>41.808873720136518</v>
      </c>
      <c r="J24" t="s">
        <v>7150</v>
      </c>
      <c r="K24">
        <v>5</v>
      </c>
      <c r="L24">
        <v>14</v>
      </c>
    </row>
    <row r="25" spans="1:12" x14ac:dyDescent="0.2">
      <c r="A25">
        <v>35</v>
      </c>
      <c r="B25">
        <v>12</v>
      </c>
      <c r="C25">
        <v>586</v>
      </c>
      <c r="D25" t="s">
        <v>7354</v>
      </c>
      <c r="E25">
        <v>238</v>
      </c>
      <c r="F25" t="s">
        <v>60</v>
      </c>
      <c r="G25">
        <v>23</v>
      </c>
      <c r="H25">
        <f t="shared" si="0"/>
        <v>9.6638655462184886</v>
      </c>
      <c r="I25">
        <f t="shared" si="1"/>
        <v>40.61433447098976</v>
      </c>
      <c r="J25" t="s">
        <v>7150</v>
      </c>
      <c r="K25">
        <v>40</v>
      </c>
      <c r="L25">
        <v>14</v>
      </c>
    </row>
    <row r="26" spans="1:12" x14ac:dyDescent="0.2">
      <c r="A26">
        <v>60</v>
      </c>
      <c r="B26">
        <v>12</v>
      </c>
      <c r="C26">
        <v>586</v>
      </c>
      <c r="D26" t="s">
        <v>7355</v>
      </c>
      <c r="E26">
        <v>20</v>
      </c>
      <c r="F26" t="s">
        <v>60</v>
      </c>
      <c r="G26">
        <v>0</v>
      </c>
      <c r="H26">
        <f t="shared" si="0"/>
        <v>0</v>
      </c>
      <c r="I26">
        <f t="shared" si="1"/>
        <v>3.4129692832764507</v>
      </c>
      <c r="J26" t="s">
        <v>7150</v>
      </c>
      <c r="K26">
        <v>65</v>
      </c>
      <c r="L26">
        <v>14</v>
      </c>
    </row>
    <row r="27" spans="1:12" x14ac:dyDescent="0.2">
      <c r="A27">
        <v>85</v>
      </c>
      <c r="B27">
        <v>12</v>
      </c>
      <c r="C27">
        <v>586</v>
      </c>
      <c r="D27" t="s">
        <v>7356</v>
      </c>
      <c r="E27">
        <v>67</v>
      </c>
      <c r="F27" t="s">
        <v>60</v>
      </c>
      <c r="G27">
        <v>1</v>
      </c>
      <c r="H27">
        <f t="shared" si="0"/>
        <v>1.4925373134328357</v>
      </c>
      <c r="I27">
        <f t="shared" si="1"/>
        <v>11.433447098976108</v>
      </c>
      <c r="J27" t="s">
        <v>7150</v>
      </c>
      <c r="K27">
        <v>90</v>
      </c>
      <c r="L27">
        <v>14</v>
      </c>
    </row>
    <row r="28" spans="1:12" x14ac:dyDescent="0.2">
      <c r="A28">
        <v>110</v>
      </c>
      <c r="B28">
        <v>12</v>
      </c>
      <c r="C28">
        <v>586</v>
      </c>
      <c r="D28" t="s">
        <v>7357</v>
      </c>
      <c r="E28">
        <v>108</v>
      </c>
      <c r="F28" t="s">
        <v>60</v>
      </c>
      <c r="G28">
        <v>1</v>
      </c>
      <c r="H28">
        <f t="shared" si="0"/>
        <v>0.92592592592592582</v>
      </c>
      <c r="I28">
        <f t="shared" si="1"/>
        <v>18.430034129692832</v>
      </c>
      <c r="J28" t="s">
        <v>7150</v>
      </c>
      <c r="K28">
        <v>115</v>
      </c>
      <c r="L28">
        <v>14</v>
      </c>
    </row>
    <row r="29" spans="1:12" x14ac:dyDescent="0.2">
      <c r="A29">
        <v>135</v>
      </c>
      <c r="B29">
        <v>12</v>
      </c>
      <c r="C29">
        <v>586</v>
      </c>
      <c r="D29" t="s">
        <v>7358</v>
      </c>
      <c r="E29">
        <v>118</v>
      </c>
      <c r="F29" t="s">
        <v>60</v>
      </c>
      <c r="G29">
        <v>0</v>
      </c>
      <c r="H29">
        <f t="shared" si="0"/>
        <v>0</v>
      </c>
      <c r="I29">
        <f t="shared" si="1"/>
        <v>20.136518771331058</v>
      </c>
      <c r="J29" t="s">
        <v>7150</v>
      </c>
      <c r="K29">
        <v>140</v>
      </c>
      <c r="L29">
        <v>14</v>
      </c>
    </row>
    <row r="30" spans="1:12" x14ac:dyDescent="0.2">
      <c r="A30">
        <v>160</v>
      </c>
      <c r="B30">
        <v>12</v>
      </c>
      <c r="C30">
        <v>586</v>
      </c>
      <c r="D30" t="s">
        <v>7359</v>
      </c>
      <c r="E30">
        <v>1</v>
      </c>
      <c r="F30" t="s">
        <v>60</v>
      </c>
      <c r="G30">
        <v>0</v>
      </c>
      <c r="H30">
        <f t="shared" si="0"/>
        <v>0</v>
      </c>
      <c r="I30">
        <f t="shared" si="1"/>
        <v>0.17064846416382254</v>
      </c>
      <c r="J30" t="s">
        <v>7150</v>
      </c>
      <c r="K30">
        <v>165</v>
      </c>
      <c r="L30">
        <v>14</v>
      </c>
    </row>
    <row r="31" spans="1:12" x14ac:dyDescent="0.2">
      <c r="A31">
        <v>185</v>
      </c>
      <c r="B31">
        <v>12</v>
      </c>
      <c r="C31">
        <v>586</v>
      </c>
      <c r="D31" t="s">
        <v>7360</v>
      </c>
      <c r="E31">
        <v>8</v>
      </c>
      <c r="F31" t="s">
        <v>60</v>
      </c>
      <c r="G31">
        <v>0</v>
      </c>
      <c r="H31">
        <f t="shared" si="0"/>
        <v>0</v>
      </c>
      <c r="I31">
        <f t="shared" si="1"/>
        <v>1.3651877133105803</v>
      </c>
      <c r="J31" t="s">
        <v>7150</v>
      </c>
      <c r="K31">
        <v>190</v>
      </c>
      <c r="L31">
        <v>14</v>
      </c>
    </row>
    <row r="32" spans="1:12" x14ac:dyDescent="0.2">
      <c r="A32">
        <v>210</v>
      </c>
      <c r="B32">
        <v>12</v>
      </c>
      <c r="C32">
        <v>586</v>
      </c>
      <c r="D32" t="s">
        <v>7361</v>
      </c>
      <c r="E32">
        <v>3</v>
      </c>
      <c r="F32" t="s">
        <v>60</v>
      </c>
      <c r="G32">
        <v>0</v>
      </c>
      <c r="H32">
        <f t="shared" si="0"/>
        <v>0</v>
      </c>
      <c r="I32">
        <f t="shared" si="1"/>
        <v>0.51194539249146753</v>
      </c>
      <c r="J32" t="s">
        <v>7150</v>
      </c>
      <c r="K32">
        <v>215</v>
      </c>
      <c r="L32">
        <v>14</v>
      </c>
    </row>
    <row r="33" spans="1:12" x14ac:dyDescent="0.2">
      <c r="A33">
        <v>235</v>
      </c>
      <c r="B33">
        <v>12</v>
      </c>
      <c r="C33">
        <v>586</v>
      </c>
      <c r="D33" t="s">
        <v>7362</v>
      </c>
      <c r="E33">
        <v>16</v>
      </c>
      <c r="F33" t="s">
        <v>60</v>
      </c>
      <c r="G33">
        <v>0</v>
      </c>
      <c r="H33">
        <f t="shared" si="0"/>
        <v>0</v>
      </c>
      <c r="I33">
        <f t="shared" si="1"/>
        <v>2.7303754266211606</v>
      </c>
      <c r="J33" t="s">
        <v>7150</v>
      </c>
      <c r="K33">
        <v>240</v>
      </c>
      <c r="L33">
        <v>14</v>
      </c>
    </row>
    <row r="34" spans="1:12" x14ac:dyDescent="0.2">
      <c r="A34">
        <v>260</v>
      </c>
      <c r="B34">
        <v>12</v>
      </c>
      <c r="C34">
        <v>586</v>
      </c>
      <c r="D34" t="s">
        <v>7363</v>
      </c>
      <c r="E34">
        <v>1</v>
      </c>
      <c r="F34" t="s">
        <v>60</v>
      </c>
      <c r="G34">
        <v>0</v>
      </c>
      <c r="H34">
        <f t="shared" si="0"/>
        <v>0</v>
      </c>
      <c r="I34">
        <f t="shared" si="1"/>
        <v>0.17064846416382254</v>
      </c>
      <c r="J34" t="s">
        <v>7150</v>
      </c>
      <c r="K34">
        <v>265</v>
      </c>
      <c r="L34">
        <v>14</v>
      </c>
    </row>
    <row r="35" spans="1:12" x14ac:dyDescent="0.2">
      <c r="A35">
        <v>5</v>
      </c>
      <c r="B35">
        <v>12</v>
      </c>
      <c r="C35">
        <v>586</v>
      </c>
      <c r="D35" t="s">
        <v>7353</v>
      </c>
      <c r="E35">
        <v>245</v>
      </c>
      <c r="F35" t="s">
        <v>7165</v>
      </c>
      <c r="G35">
        <v>195</v>
      </c>
      <c r="H35">
        <f t="shared" si="0"/>
        <v>79.591836734693871</v>
      </c>
      <c r="I35">
        <f t="shared" si="1"/>
        <v>41.808873720136518</v>
      </c>
      <c r="J35" t="s">
        <v>7150</v>
      </c>
      <c r="K35">
        <v>5</v>
      </c>
      <c r="L35">
        <v>14</v>
      </c>
    </row>
    <row r="36" spans="1:12" x14ac:dyDescent="0.2">
      <c r="A36">
        <v>35</v>
      </c>
      <c r="B36">
        <v>12</v>
      </c>
      <c r="C36">
        <v>586</v>
      </c>
      <c r="D36" t="s">
        <v>7354</v>
      </c>
      <c r="E36">
        <v>238</v>
      </c>
      <c r="F36" t="s">
        <v>7165</v>
      </c>
      <c r="G36">
        <v>175</v>
      </c>
      <c r="H36">
        <f t="shared" si="0"/>
        <v>73.529411764705884</v>
      </c>
      <c r="I36">
        <f t="shared" si="1"/>
        <v>40.61433447098976</v>
      </c>
      <c r="J36" t="s">
        <v>7150</v>
      </c>
      <c r="K36">
        <v>40</v>
      </c>
      <c r="L36">
        <v>14</v>
      </c>
    </row>
    <row r="37" spans="1:12" x14ac:dyDescent="0.2">
      <c r="A37">
        <v>60</v>
      </c>
      <c r="B37">
        <v>12</v>
      </c>
      <c r="C37">
        <v>586</v>
      </c>
      <c r="D37" t="s">
        <v>7355</v>
      </c>
      <c r="E37">
        <v>20</v>
      </c>
      <c r="F37" t="s">
        <v>7165</v>
      </c>
      <c r="G37">
        <v>15</v>
      </c>
      <c r="H37">
        <f t="shared" si="0"/>
        <v>75</v>
      </c>
      <c r="I37">
        <f t="shared" si="1"/>
        <v>3.4129692832764507</v>
      </c>
      <c r="J37" t="s">
        <v>7150</v>
      </c>
      <c r="K37">
        <v>65</v>
      </c>
      <c r="L37">
        <v>14</v>
      </c>
    </row>
    <row r="38" spans="1:12" x14ac:dyDescent="0.2">
      <c r="A38">
        <v>85</v>
      </c>
      <c r="B38">
        <v>12</v>
      </c>
      <c r="C38">
        <v>586</v>
      </c>
      <c r="D38" t="s">
        <v>7356</v>
      </c>
      <c r="E38">
        <v>67</v>
      </c>
      <c r="F38" t="s">
        <v>7165</v>
      </c>
      <c r="G38">
        <v>52</v>
      </c>
      <c r="H38">
        <f t="shared" si="0"/>
        <v>77.611940298507463</v>
      </c>
      <c r="I38">
        <f t="shared" si="1"/>
        <v>11.433447098976108</v>
      </c>
      <c r="J38" t="s">
        <v>7150</v>
      </c>
      <c r="K38">
        <v>90</v>
      </c>
      <c r="L38">
        <v>14</v>
      </c>
    </row>
    <row r="39" spans="1:12" x14ac:dyDescent="0.2">
      <c r="A39">
        <v>110</v>
      </c>
      <c r="B39">
        <v>12</v>
      </c>
      <c r="C39">
        <v>586</v>
      </c>
      <c r="D39" t="s">
        <v>7357</v>
      </c>
      <c r="E39">
        <v>108</v>
      </c>
      <c r="F39" t="s">
        <v>7165</v>
      </c>
      <c r="G39">
        <v>52</v>
      </c>
      <c r="H39">
        <f>G39/E39*100</f>
        <v>48.148148148148145</v>
      </c>
      <c r="I39">
        <f t="shared" si="1"/>
        <v>18.430034129692832</v>
      </c>
      <c r="J39" t="s">
        <v>7150</v>
      </c>
      <c r="K39">
        <v>115</v>
      </c>
      <c r="L39">
        <v>14</v>
      </c>
    </row>
    <row r="40" spans="1:12" x14ac:dyDescent="0.2">
      <c r="A40">
        <v>135</v>
      </c>
      <c r="B40">
        <v>12</v>
      </c>
      <c r="C40">
        <v>586</v>
      </c>
      <c r="D40" t="s">
        <v>7358</v>
      </c>
      <c r="E40">
        <v>118</v>
      </c>
      <c r="F40" t="s">
        <v>7165</v>
      </c>
      <c r="G40">
        <v>63</v>
      </c>
      <c r="H40">
        <f t="shared" si="0"/>
        <v>53.389830508474581</v>
      </c>
      <c r="I40">
        <f t="shared" si="1"/>
        <v>20.136518771331058</v>
      </c>
      <c r="J40" t="s">
        <v>7150</v>
      </c>
      <c r="K40">
        <v>140</v>
      </c>
      <c r="L40">
        <v>14</v>
      </c>
    </row>
    <row r="41" spans="1:12" x14ac:dyDescent="0.2">
      <c r="A41">
        <v>160</v>
      </c>
      <c r="B41">
        <v>12</v>
      </c>
      <c r="C41">
        <v>586</v>
      </c>
      <c r="D41" t="s">
        <v>7359</v>
      </c>
      <c r="E41">
        <v>1</v>
      </c>
      <c r="F41" t="s">
        <v>7165</v>
      </c>
      <c r="G41">
        <v>1</v>
      </c>
      <c r="H41">
        <f t="shared" si="0"/>
        <v>100</v>
      </c>
      <c r="I41">
        <f t="shared" si="1"/>
        <v>0.17064846416382254</v>
      </c>
      <c r="J41" t="s">
        <v>7150</v>
      </c>
      <c r="K41">
        <v>165</v>
      </c>
      <c r="L41">
        <v>14</v>
      </c>
    </row>
    <row r="42" spans="1:12" x14ac:dyDescent="0.2">
      <c r="A42">
        <v>185</v>
      </c>
      <c r="B42">
        <v>12</v>
      </c>
      <c r="C42">
        <v>586</v>
      </c>
      <c r="D42" t="s">
        <v>7360</v>
      </c>
      <c r="E42">
        <v>8</v>
      </c>
      <c r="F42" t="s">
        <v>7165</v>
      </c>
      <c r="G42">
        <v>7</v>
      </c>
      <c r="H42">
        <f t="shared" si="0"/>
        <v>87.5</v>
      </c>
      <c r="I42">
        <f t="shared" si="1"/>
        <v>1.3651877133105803</v>
      </c>
      <c r="J42" t="s">
        <v>7150</v>
      </c>
      <c r="K42">
        <v>190</v>
      </c>
      <c r="L42">
        <v>14</v>
      </c>
    </row>
    <row r="43" spans="1:12" x14ac:dyDescent="0.2">
      <c r="A43">
        <v>210</v>
      </c>
      <c r="B43">
        <v>12</v>
      </c>
      <c r="C43">
        <v>586</v>
      </c>
      <c r="D43" t="s">
        <v>7361</v>
      </c>
      <c r="E43">
        <v>3</v>
      </c>
      <c r="F43" t="s">
        <v>7165</v>
      </c>
      <c r="G43">
        <v>2</v>
      </c>
      <c r="H43">
        <f t="shared" si="0"/>
        <v>66.666666666666657</v>
      </c>
      <c r="I43">
        <f t="shared" si="1"/>
        <v>0.51194539249146753</v>
      </c>
      <c r="J43" t="s">
        <v>7150</v>
      </c>
      <c r="K43">
        <v>215</v>
      </c>
      <c r="L43">
        <v>14</v>
      </c>
    </row>
    <row r="44" spans="1:12" x14ac:dyDescent="0.2">
      <c r="A44">
        <v>235</v>
      </c>
      <c r="B44">
        <v>12</v>
      </c>
      <c r="C44">
        <v>586</v>
      </c>
      <c r="D44" t="s">
        <v>7362</v>
      </c>
      <c r="E44">
        <v>16</v>
      </c>
      <c r="F44" t="s">
        <v>7165</v>
      </c>
      <c r="G44">
        <v>0</v>
      </c>
      <c r="H44">
        <f t="shared" si="0"/>
        <v>0</v>
      </c>
      <c r="I44">
        <f t="shared" si="1"/>
        <v>2.7303754266211606</v>
      </c>
      <c r="J44" t="s">
        <v>7150</v>
      </c>
      <c r="K44">
        <v>240</v>
      </c>
      <c r="L44">
        <v>14</v>
      </c>
    </row>
    <row r="45" spans="1:12" x14ac:dyDescent="0.2">
      <c r="A45">
        <v>260</v>
      </c>
      <c r="B45">
        <v>12</v>
      </c>
      <c r="C45">
        <v>586</v>
      </c>
      <c r="D45" t="s">
        <v>7363</v>
      </c>
      <c r="E45">
        <v>1</v>
      </c>
      <c r="F45" t="s">
        <v>7165</v>
      </c>
      <c r="G45">
        <v>0</v>
      </c>
      <c r="H45">
        <f t="shared" si="0"/>
        <v>0</v>
      </c>
      <c r="I45">
        <f t="shared" si="1"/>
        <v>0.17064846416382254</v>
      </c>
      <c r="J45" t="s">
        <v>7150</v>
      </c>
      <c r="K45">
        <v>265</v>
      </c>
      <c r="L45">
        <v>14</v>
      </c>
    </row>
    <row r="46" spans="1:12" x14ac:dyDescent="0.2">
      <c r="A46">
        <v>5</v>
      </c>
      <c r="B46">
        <v>12</v>
      </c>
      <c r="C46">
        <v>586</v>
      </c>
      <c r="D46" t="s">
        <v>7353</v>
      </c>
      <c r="E46">
        <v>245</v>
      </c>
      <c r="F46" t="s">
        <v>7172</v>
      </c>
      <c r="G46">
        <v>8</v>
      </c>
      <c r="H46">
        <f t="shared" si="0"/>
        <v>3.2653061224489797</v>
      </c>
      <c r="I46">
        <f t="shared" si="1"/>
        <v>41.808873720136518</v>
      </c>
      <c r="J46" t="s">
        <v>7150</v>
      </c>
      <c r="K46">
        <v>5</v>
      </c>
      <c r="L46">
        <v>14</v>
      </c>
    </row>
    <row r="47" spans="1:12" x14ac:dyDescent="0.2">
      <c r="A47">
        <v>35</v>
      </c>
      <c r="B47">
        <v>12</v>
      </c>
      <c r="C47">
        <v>586</v>
      </c>
      <c r="D47" t="s">
        <v>7354</v>
      </c>
      <c r="E47">
        <v>238</v>
      </c>
      <c r="F47" t="s">
        <v>7172</v>
      </c>
      <c r="G47">
        <v>0</v>
      </c>
      <c r="H47">
        <f t="shared" si="0"/>
        <v>0</v>
      </c>
      <c r="I47">
        <f t="shared" si="1"/>
        <v>40.61433447098976</v>
      </c>
      <c r="J47" t="s">
        <v>7150</v>
      </c>
      <c r="K47">
        <v>40</v>
      </c>
      <c r="L47">
        <v>14</v>
      </c>
    </row>
    <row r="48" spans="1:12" x14ac:dyDescent="0.2">
      <c r="A48">
        <v>60</v>
      </c>
      <c r="B48">
        <v>12</v>
      </c>
      <c r="C48">
        <v>586</v>
      </c>
      <c r="D48" t="s">
        <v>7355</v>
      </c>
      <c r="E48">
        <v>20</v>
      </c>
      <c r="F48" t="s">
        <v>7172</v>
      </c>
      <c r="G48">
        <v>0</v>
      </c>
      <c r="H48">
        <f t="shared" si="0"/>
        <v>0</v>
      </c>
      <c r="I48">
        <f t="shared" si="1"/>
        <v>3.4129692832764507</v>
      </c>
      <c r="J48" t="s">
        <v>7150</v>
      </c>
      <c r="K48">
        <v>65</v>
      </c>
      <c r="L48">
        <v>14</v>
      </c>
    </row>
    <row r="49" spans="1:12" x14ac:dyDescent="0.2">
      <c r="A49">
        <v>85</v>
      </c>
      <c r="B49">
        <v>12</v>
      </c>
      <c r="C49">
        <v>586</v>
      </c>
      <c r="D49" t="s">
        <v>7356</v>
      </c>
      <c r="E49">
        <v>67</v>
      </c>
      <c r="F49" t="s">
        <v>7172</v>
      </c>
      <c r="G49">
        <v>0</v>
      </c>
      <c r="H49">
        <f t="shared" si="0"/>
        <v>0</v>
      </c>
      <c r="I49">
        <f t="shared" si="1"/>
        <v>11.433447098976108</v>
      </c>
      <c r="J49" t="s">
        <v>7150</v>
      </c>
      <c r="K49">
        <v>90</v>
      </c>
      <c r="L49">
        <v>14</v>
      </c>
    </row>
    <row r="50" spans="1:12" x14ac:dyDescent="0.2">
      <c r="A50">
        <v>110</v>
      </c>
      <c r="B50">
        <v>12</v>
      </c>
      <c r="C50">
        <v>586</v>
      </c>
      <c r="D50" t="s">
        <v>7357</v>
      </c>
      <c r="E50">
        <v>108</v>
      </c>
      <c r="F50" t="s">
        <v>7172</v>
      </c>
      <c r="G50">
        <v>28</v>
      </c>
      <c r="H50">
        <f t="shared" si="0"/>
        <v>25.925925925925924</v>
      </c>
      <c r="I50">
        <f t="shared" si="1"/>
        <v>18.430034129692832</v>
      </c>
      <c r="J50" t="s">
        <v>7150</v>
      </c>
      <c r="K50">
        <v>115</v>
      </c>
      <c r="L50">
        <v>14</v>
      </c>
    </row>
    <row r="51" spans="1:12" x14ac:dyDescent="0.2">
      <c r="A51">
        <v>135</v>
      </c>
      <c r="B51">
        <v>12</v>
      </c>
      <c r="C51">
        <v>586</v>
      </c>
      <c r="D51" t="s">
        <v>7358</v>
      </c>
      <c r="E51">
        <v>118</v>
      </c>
      <c r="F51" t="s">
        <v>7172</v>
      </c>
      <c r="G51">
        <v>23</v>
      </c>
      <c r="H51">
        <f t="shared" si="0"/>
        <v>19.491525423728813</v>
      </c>
      <c r="I51">
        <f t="shared" si="1"/>
        <v>20.136518771331058</v>
      </c>
      <c r="J51" t="s">
        <v>7150</v>
      </c>
      <c r="K51">
        <v>140</v>
      </c>
      <c r="L51">
        <v>14</v>
      </c>
    </row>
    <row r="52" spans="1:12" x14ac:dyDescent="0.2">
      <c r="A52">
        <v>160</v>
      </c>
      <c r="B52">
        <v>12</v>
      </c>
      <c r="C52">
        <v>586</v>
      </c>
      <c r="D52" t="s">
        <v>7359</v>
      </c>
      <c r="E52">
        <v>1</v>
      </c>
      <c r="F52" t="s">
        <v>7172</v>
      </c>
      <c r="G52">
        <v>0</v>
      </c>
      <c r="H52">
        <f t="shared" si="0"/>
        <v>0</v>
      </c>
      <c r="I52">
        <f t="shared" si="1"/>
        <v>0.17064846416382254</v>
      </c>
      <c r="J52" t="s">
        <v>7150</v>
      </c>
      <c r="K52">
        <v>165</v>
      </c>
      <c r="L52">
        <v>14</v>
      </c>
    </row>
    <row r="53" spans="1:12" x14ac:dyDescent="0.2">
      <c r="A53">
        <v>185</v>
      </c>
      <c r="B53">
        <v>12</v>
      </c>
      <c r="C53">
        <v>586</v>
      </c>
      <c r="D53" t="s">
        <v>7360</v>
      </c>
      <c r="E53">
        <v>8</v>
      </c>
      <c r="F53" t="s">
        <v>7172</v>
      </c>
      <c r="G53">
        <v>1</v>
      </c>
      <c r="H53">
        <f t="shared" si="0"/>
        <v>12.5</v>
      </c>
      <c r="I53">
        <f t="shared" si="1"/>
        <v>1.3651877133105803</v>
      </c>
      <c r="J53" t="s">
        <v>7150</v>
      </c>
      <c r="K53">
        <v>190</v>
      </c>
      <c r="L53">
        <v>14</v>
      </c>
    </row>
    <row r="54" spans="1:12" x14ac:dyDescent="0.2">
      <c r="A54">
        <v>210</v>
      </c>
      <c r="B54">
        <v>12</v>
      </c>
      <c r="C54">
        <v>586</v>
      </c>
      <c r="D54" t="s">
        <v>7361</v>
      </c>
      <c r="E54">
        <v>3</v>
      </c>
      <c r="F54" t="s">
        <v>7172</v>
      </c>
      <c r="G54">
        <v>0</v>
      </c>
      <c r="H54">
        <f t="shared" si="0"/>
        <v>0</v>
      </c>
      <c r="I54">
        <f t="shared" si="1"/>
        <v>0.51194539249146753</v>
      </c>
      <c r="J54" t="s">
        <v>7150</v>
      </c>
      <c r="K54">
        <v>215</v>
      </c>
      <c r="L54">
        <v>14</v>
      </c>
    </row>
    <row r="55" spans="1:12" x14ac:dyDescent="0.2">
      <c r="A55">
        <v>235</v>
      </c>
      <c r="B55">
        <v>12</v>
      </c>
      <c r="C55">
        <v>586</v>
      </c>
      <c r="D55" t="s">
        <v>7362</v>
      </c>
      <c r="E55">
        <v>16</v>
      </c>
      <c r="F55" t="s">
        <v>7172</v>
      </c>
      <c r="G55">
        <v>12</v>
      </c>
      <c r="H55">
        <f t="shared" si="0"/>
        <v>75</v>
      </c>
      <c r="I55">
        <f t="shared" si="1"/>
        <v>2.7303754266211606</v>
      </c>
      <c r="J55" t="s">
        <v>7150</v>
      </c>
      <c r="K55">
        <v>240</v>
      </c>
      <c r="L55">
        <v>14</v>
      </c>
    </row>
    <row r="56" spans="1:12" x14ac:dyDescent="0.2">
      <c r="A56">
        <v>260</v>
      </c>
      <c r="B56">
        <v>12</v>
      </c>
      <c r="C56">
        <v>586</v>
      </c>
      <c r="D56" t="s">
        <v>7363</v>
      </c>
      <c r="E56">
        <v>1</v>
      </c>
      <c r="F56" t="s">
        <v>7172</v>
      </c>
      <c r="G56">
        <v>0</v>
      </c>
      <c r="H56">
        <f t="shared" si="0"/>
        <v>0</v>
      </c>
      <c r="I56">
        <f t="shared" si="1"/>
        <v>0.17064846416382254</v>
      </c>
      <c r="J56" t="s">
        <v>7150</v>
      </c>
      <c r="K56">
        <v>265</v>
      </c>
      <c r="L56">
        <v>14</v>
      </c>
    </row>
    <row r="57" spans="1:12" x14ac:dyDescent="0.2">
      <c r="A57">
        <v>5</v>
      </c>
      <c r="B57">
        <v>12</v>
      </c>
      <c r="C57">
        <v>586</v>
      </c>
      <c r="D57" t="s">
        <v>7353</v>
      </c>
      <c r="E57">
        <v>245</v>
      </c>
      <c r="F57" t="s">
        <v>7169</v>
      </c>
      <c r="G57">
        <v>4</v>
      </c>
      <c r="H57">
        <f t="shared" si="0"/>
        <v>1.6326530612244898</v>
      </c>
      <c r="I57">
        <f t="shared" si="1"/>
        <v>41.808873720136518</v>
      </c>
      <c r="J57" t="s">
        <v>7150</v>
      </c>
      <c r="K57">
        <v>5</v>
      </c>
      <c r="L57">
        <v>14</v>
      </c>
    </row>
    <row r="58" spans="1:12" x14ac:dyDescent="0.2">
      <c r="A58">
        <v>35</v>
      </c>
      <c r="B58">
        <v>12</v>
      </c>
      <c r="C58">
        <v>586</v>
      </c>
      <c r="D58" t="s">
        <v>7354</v>
      </c>
      <c r="E58">
        <v>238</v>
      </c>
      <c r="F58" t="s">
        <v>7169</v>
      </c>
      <c r="G58">
        <v>14</v>
      </c>
      <c r="H58">
        <f t="shared" si="0"/>
        <v>5.8823529411764701</v>
      </c>
      <c r="I58">
        <f t="shared" si="1"/>
        <v>40.61433447098976</v>
      </c>
      <c r="J58" t="s">
        <v>7150</v>
      </c>
      <c r="K58">
        <v>40</v>
      </c>
      <c r="L58">
        <v>14</v>
      </c>
    </row>
    <row r="59" spans="1:12" x14ac:dyDescent="0.2">
      <c r="A59">
        <v>60</v>
      </c>
      <c r="B59">
        <v>12</v>
      </c>
      <c r="C59">
        <v>586</v>
      </c>
      <c r="D59" t="s">
        <v>7355</v>
      </c>
      <c r="E59">
        <v>20</v>
      </c>
      <c r="F59" t="s">
        <v>7169</v>
      </c>
      <c r="G59">
        <v>0</v>
      </c>
      <c r="H59">
        <f t="shared" si="0"/>
        <v>0</v>
      </c>
      <c r="I59">
        <f t="shared" si="1"/>
        <v>3.4129692832764507</v>
      </c>
      <c r="J59" t="s">
        <v>7150</v>
      </c>
      <c r="K59">
        <v>65</v>
      </c>
      <c r="L59">
        <v>14</v>
      </c>
    </row>
    <row r="60" spans="1:12" x14ac:dyDescent="0.2">
      <c r="A60">
        <v>85</v>
      </c>
      <c r="B60">
        <v>12</v>
      </c>
      <c r="C60">
        <v>586</v>
      </c>
      <c r="D60" t="s">
        <v>7356</v>
      </c>
      <c r="E60">
        <v>67</v>
      </c>
      <c r="F60" t="s">
        <v>7169</v>
      </c>
      <c r="G60">
        <v>3</v>
      </c>
      <c r="H60">
        <f t="shared" si="0"/>
        <v>4.4776119402985071</v>
      </c>
      <c r="I60">
        <f t="shared" si="1"/>
        <v>11.433447098976108</v>
      </c>
      <c r="J60" t="s">
        <v>7150</v>
      </c>
      <c r="K60">
        <v>90</v>
      </c>
      <c r="L60">
        <v>14</v>
      </c>
    </row>
    <row r="61" spans="1:12" x14ac:dyDescent="0.2">
      <c r="A61">
        <v>110</v>
      </c>
      <c r="B61">
        <v>12</v>
      </c>
      <c r="C61">
        <v>586</v>
      </c>
      <c r="D61" t="s">
        <v>7357</v>
      </c>
      <c r="E61">
        <v>108</v>
      </c>
      <c r="F61" t="s">
        <v>7169</v>
      </c>
      <c r="G61">
        <v>0</v>
      </c>
      <c r="H61">
        <f t="shared" si="0"/>
        <v>0</v>
      </c>
      <c r="I61">
        <f t="shared" si="1"/>
        <v>18.430034129692832</v>
      </c>
      <c r="J61" t="s">
        <v>7150</v>
      </c>
      <c r="K61">
        <v>115</v>
      </c>
      <c r="L61">
        <v>14</v>
      </c>
    </row>
    <row r="62" spans="1:12" x14ac:dyDescent="0.2">
      <c r="A62">
        <v>135</v>
      </c>
      <c r="B62">
        <v>12</v>
      </c>
      <c r="C62">
        <v>586</v>
      </c>
      <c r="D62" t="s">
        <v>7358</v>
      </c>
      <c r="E62">
        <v>118</v>
      </c>
      <c r="F62" t="s">
        <v>7169</v>
      </c>
      <c r="G62">
        <v>0</v>
      </c>
      <c r="H62">
        <f t="shared" si="0"/>
        <v>0</v>
      </c>
      <c r="I62">
        <f t="shared" si="1"/>
        <v>20.136518771331058</v>
      </c>
      <c r="J62" t="s">
        <v>7150</v>
      </c>
      <c r="K62">
        <v>140</v>
      </c>
      <c r="L62">
        <v>14</v>
      </c>
    </row>
    <row r="63" spans="1:12" x14ac:dyDescent="0.2">
      <c r="A63">
        <v>160</v>
      </c>
      <c r="B63">
        <v>12</v>
      </c>
      <c r="C63">
        <v>586</v>
      </c>
      <c r="D63" t="s">
        <v>7359</v>
      </c>
      <c r="E63">
        <v>1</v>
      </c>
      <c r="F63" t="s">
        <v>7169</v>
      </c>
      <c r="G63">
        <v>0</v>
      </c>
      <c r="H63">
        <f t="shared" si="0"/>
        <v>0</v>
      </c>
      <c r="I63">
        <f t="shared" si="1"/>
        <v>0.17064846416382254</v>
      </c>
      <c r="J63" t="s">
        <v>7150</v>
      </c>
      <c r="K63">
        <v>165</v>
      </c>
      <c r="L63">
        <v>14</v>
      </c>
    </row>
    <row r="64" spans="1:12" x14ac:dyDescent="0.2">
      <c r="A64">
        <v>185</v>
      </c>
      <c r="B64">
        <v>12</v>
      </c>
      <c r="C64">
        <v>586</v>
      </c>
      <c r="D64" t="s">
        <v>7360</v>
      </c>
      <c r="E64">
        <v>8</v>
      </c>
      <c r="F64" t="s">
        <v>7169</v>
      </c>
      <c r="G64">
        <v>0</v>
      </c>
      <c r="H64">
        <f t="shared" si="0"/>
        <v>0</v>
      </c>
      <c r="I64">
        <f t="shared" si="1"/>
        <v>1.3651877133105803</v>
      </c>
      <c r="J64" t="s">
        <v>7150</v>
      </c>
      <c r="K64">
        <v>190</v>
      </c>
      <c r="L64">
        <v>14</v>
      </c>
    </row>
    <row r="65" spans="1:12" x14ac:dyDescent="0.2">
      <c r="A65">
        <v>210</v>
      </c>
      <c r="B65">
        <v>12</v>
      </c>
      <c r="C65">
        <v>586</v>
      </c>
      <c r="D65" t="s">
        <v>7361</v>
      </c>
      <c r="E65">
        <v>3</v>
      </c>
      <c r="F65" t="s">
        <v>7169</v>
      </c>
      <c r="G65">
        <v>0</v>
      </c>
      <c r="H65">
        <f t="shared" si="0"/>
        <v>0</v>
      </c>
      <c r="I65">
        <f t="shared" si="1"/>
        <v>0.51194539249146753</v>
      </c>
      <c r="J65" t="s">
        <v>7150</v>
      </c>
      <c r="K65">
        <v>215</v>
      </c>
      <c r="L65">
        <v>14</v>
      </c>
    </row>
    <row r="66" spans="1:12" x14ac:dyDescent="0.2">
      <c r="A66">
        <v>235</v>
      </c>
      <c r="B66">
        <v>12</v>
      </c>
      <c r="C66">
        <v>586</v>
      </c>
      <c r="D66" t="s">
        <v>7362</v>
      </c>
      <c r="E66">
        <v>16</v>
      </c>
      <c r="F66" t="s">
        <v>7169</v>
      </c>
      <c r="G66">
        <v>0</v>
      </c>
      <c r="H66">
        <f t="shared" si="0"/>
        <v>0</v>
      </c>
      <c r="I66">
        <f t="shared" si="1"/>
        <v>2.7303754266211606</v>
      </c>
      <c r="J66" t="s">
        <v>7150</v>
      </c>
      <c r="K66">
        <v>240</v>
      </c>
      <c r="L66">
        <v>14</v>
      </c>
    </row>
    <row r="67" spans="1:12" x14ac:dyDescent="0.2">
      <c r="A67">
        <v>260</v>
      </c>
      <c r="B67">
        <v>12</v>
      </c>
      <c r="C67">
        <v>586</v>
      </c>
      <c r="D67" t="s">
        <v>7363</v>
      </c>
      <c r="E67">
        <v>1</v>
      </c>
      <c r="F67" t="s">
        <v>7169</v>
      </c>
      <c r="G67">
        <v>1</v>
      </c>
      <c r="H67">
        <f t="shared" ref="H67:H130" si="2">G67/E67*100</f>
        <v>100</v>
      </c>
      <c r="I67">
        <f t="shared" si="1"/>
        <v>0.17064846416382254</v>
      </c>
      <c r="J67" t="s">
        <v>7150</v>
      </c>
      <c r="K67">
        <v>265</v>
      </c>
      <c r="L67">
        <v>14</v>
      </c>
    </row>
    <row r="68" spans="1:12" x14ac:dyDescent="0.2">
      <c r="A68">
        <v>5</v>
      </c>
      <c r="B68">
        <v>12</v>
      </c>
      <c r="C68">
        <v>586</v>
      </c>
      <c r="D68" t="s">
        <v>7353</v>
      </c>
      <c r="E68">
        <v>245</v>
      </c>
      <c r="F68" t="s">
        <v>7162</v>
      </c>
      <c r="G68">
        <v>20</v>
      </c>
      <c r="H68">
        <f t="shared" si="2"/>
        <v>8.1632653061224492</v>
      </c>
      <c r="I68">
        <f t="shared" ref="I68:I131" si="3">E68/C68*100</f>
        <v>41.808873720136518</v>
      </c>
      <c r="J68" t="s">
        <v>7150</v>
      </c>
      <c r="K68">
        <v>5</v>
      </c>
      <c r="L68">
        <v>14</v>
      </c>
    </row>
    <row r="69" spans="1:12" x14ac:dyDescent="0.2">
      <c r="A69">
        <v>35</v>
      </c>
      <c r="B69">
        <v>12</v>
      </c>
      <c r="C69">
        <v>586</v>
      </c>
      <c r="D69" t="s">
        <v>7354</v>
      </c>
      <c r="E69">
        <v>238</v>
      </c>
      <c r="F69" t="s">
        <v>7162</v>
      </c>
      <c r="G69">
        <v>10</v>
      </c>
      <c r="H69">
        <f t="shared" si="2"/>
        <v>4.2016806722689077</v>
      </c>
      <c r="I69">
        <f t="shared" si="3"/>
        <v>40.61433447098976</v>
      </c>
      <c r="J69" t="s">
        <v>7150</v>
      </c>
      <c r="K69">
        <v>40</v>
      </c>
      <c r="L69">
        <v>14</v>
      </c>
    </row>
    <row r="70" spans="1:12" x14ac:dyDescent="0.2">
      <c r="A70">
        <v>60</v>
      </c>
      <c r="B70">
        <v>12</v>
      </c>
      <c r="C70">
        <v>586</v>
      </c>
      <c r="D70" t="s">
        <v>7355</v>
      </c>
      <c r="E70">
        <v>20</v>
      </c>
      <c r="F70" t="s">
        <v>7162</v>
      </c>
      <c r="G70">
        <v>2</v>
      </c>
      <c r="H70">
        <f t="shared" si="2"/>
        <v>10</v>
      </c>
      <c r="I70">
        <f t="shared" si="3"/>
        <v>3.4129692832764507</v>
      </c>
      <c r="J70" t="s">
        <v>7150</v>
      </c>
      <c r="K70">
        <v>65</v>
      </c>
      <c r="L70">
        <v>14</v>
      </c>
    </row>
    <row r="71" spans="1:12" x14ac:dyDescent="0.2">
      <c r="A71">
        <v>85</v>
      </c>
      <c r="B71">
        <v>12</v>
      </c>
      <c r="C71">
        <v>586</v>
      </c>
      <c r="D71" t="s">
        <v>7356</v>
      </c>
      <c r="E71">
        <v>67</v>
      </c>
      <c r="F71" t="s">
        <v>7162</v>
      </c>
      <c r="G71">
        <v>4</v>
      </c>
      <c r="H71">
        <f t="shared" si="2"/>
        <v>5.9701492537313428</v>
      </c>
      <c r="I71">
        <f t="shared" si="3"/>
        <v>11.433447098976108</v>
      </c>
      <c r="J71" t="s">
        <v>7150</v>
      </c>
      <c r="K71">
        <v>90</v>
      </c>
      <c r="L71">
        <v>14</v>
      </c>
    </row>
    <row r="72" spans="1:12" x14ac:dyDescent="0.2">
      <c r="A72">
        <v>110</v>
      </c>
      <c r="B72">
        <v>12</v>
      </c>
      <c r="C72">
        <v>586</v>
      </c>
      <c r="D72" t="s">
        <v>7357</v>
      </c>
      <c r="E72">
        <v>108</v>
      </c>
      <c r="F72" t="s">
        <v>7162</v>
      </c>
      <c r="G72">
        <v>27</v>
      </c>
      <c r="H72">
        <f t="shared" si="2"/>
        <v>25</v>
      </c>
      <c r="I72">
        <f t="shared" si="3"/>
        <v>18.430034129692832</v>
      </c>
      <c r="J72" t="s">
        <v>7150</v>
      </c>
      <c r="K72">
        <v>115</v>
      </c>
      <c r="L72">
        <v>14</v>
      </c>
    </row>
    <row r="73" spans="1:12" x14ac:dyDescent="0.2">
      <c r="A73">
        <v>135</v>
      </c>
      <c r="B73">
        <v>12</v>
      </c>
      <c r="C73">
        <v>586</v>
      </c>
      <c r="D73" t="s">
        <v>7358</v>
      </c>
      <c r="E73">
        <v>118</v>
      </c>
      <c r="F73" t="s">
        <v>7162</v>
      </c>
      <c r="G73">
        <v>32</v>
      </c>
      <c r="H73">
        <f t="shared" si="2"/>
        <v>27.118644067796609</v>
      </c>
      <c r="I73">
        <f t="shared" si="3"/>
        <v>20.136518771331058</v>
      </c>
      <c r="J73" t="s">
        <v>7150</v>
      </c>
      <c r="K73">
        <v>140</v>
      </c>
      <c r="L73">
        <v>14</v>
      </c>
    </row>
    <row r="74" spans="1:12" x14ac:dyDescent="0.2">
      <c r="A74">
        <v>160</v>
      </c>
      <c r="B74">
        <v>12</v>
      </c>
      <c r="C74">
        <v>586</v>
      </c>
      <c r="D74" t="s">
        <v>7359</v>
      </c>
      <c r="E74">
        <v>1</v>
      </c>
      <c r="F74" t="s">
        <v>7162</v>
      </c>
      <c r="G74">
        <v>0</v>
      </c>
      <c r="H74">
        <f t="shared" si="2"/>
        <v>0</v>
      </c>
      <c r="I74">
        <f t="shared" si="3"/>
        <v>0.17064846416382254</v>
      </c>
      <c r="J74" t="s">
        <v>7150</v>
      </c>
      <c r="K74">
        <v>165</v>
      </c>
      <c r="L74">
        <v>14</v>
      </c>
    </row>
    <row r="75" spans="1:12" x14ac:dyDescent="0.2">
      <c r="A75">
        <v>185</v>
      </c>
      <c r="B75">
        <v>12</v>
      </c>
      <c r="C75">
        <v>586</v>
      </c>
      <c r="D75" t="s">
        <v>7360</v>
      </c>
      <c r="E75">
        <v>8</v>
      </c>
      <c r="F75" t="s">
        <v>7162</v>
      </c>
      <c r="G75">
        <v>0</v>
      </c>
      <c r="H75">
        <f t="shared" si="2"/>
        <v>0</v>
      </c>
      <c r="I75">
        <f t="shared" si="3"/>
        <v>1.3651877133105803</v>
      </c>
      <c r="J75" t="s">
        <v>7150</v>
      </c>
      <c r="K75">
        <v>190</v>
      </c>
      <c r="L75">
        <v>14</v>
      </c>
    </row>
    <row r="76" spans="1:12" x14ac:dyDescent="0.2">
      <c r="A76">
        <v>210</v>
      </c>
      <c r="B76">
        <v>12</v>
      </c>
      <c r="C76">
        <v>586</v>
      </c>
      <c r="D76" t="s">
        <v>7361</v>
      </c>
      <c r="E76">
        <v>3</v>
      </c>
      <c r="F76" t="s">
        <v>7162</v>
      </c>
      <c r="G76">
        <v>1</v>
      </c>
      <c r="H76">
        <f t="shared" si="2"/>
        <v>33.333333333333329</v>
      </c>
      <c r="I76">
        <f t="shared" si="3"/>
        <v>0.51194539249146753</v>
      </c>
      <c r="J76" t="s">
        <v>7150</v>
      </c>
      <c r="K76">
        <v>215</v>
      </c>
      <c r="L76">
        <v>14</v>
      </c>
    </row>
    <row r="77" spans="1:12" x14ac:dyDescent="0.2">
      <c r="A77">
        <v>235</v>
      </c>
      <c r="B77">
        <v>12</v>
      </c>
      <c r="C77">
        <v>586</v>
      </c>
      <c r="D77" t="s">
        <v>7362</v>
      </c>
      <c r="E77">
        <v>16</v>
      </c>
      <c r="F77" t="s">
        <v>7162</v>
      </c>
      <c r="G77">
        <v>4</v>
      </c>
      <c r="H77">
        <f t="shared" si="2"/>
        <v>25</v>
      </c>
      <c r="I77">
        <f t="shared" si="3"/>
        <v>2.7303754266211606</v>
      </c>
      <c r="J77" t="s">
        <v>7150</v>
      </c>
      <c r="K77">
        <v>240</v>
      </c>
      <c r="L77">
        <v>14</v>
      </c>
    </row>
    <row r="78" spans="1:12" x14ac:dyDescent="0.2">
      <c r="A78">
        <v>260</v>
      </c>
      <c r="B78">
        <v>12</v>
      </c>
      <c r="C78">
        <v>586</v>
      </c>
      <c r="D78" t="s">
        <v>7363</v>
      </c>
      <c r="E78">
        <v>1</v>
      </c>
      <c r="F78" t="s">
        <v>7162</v>
      </c>
      <c r="G78">
        <v>0</v>
      </c>
      <c r="H78">
        <f t="shared" si="2"/>
        <v>0</v>
      </c>
      <c r="I78">
        <f t="shared" si="3"/>
        <v>0.17064846416382254</v>
      </c>
      <c r="J78" t="s">
        <v>7150</v>
      </c>
      <c r="K78">
        <v>265</v>
      </c>
      <c r="L78">
        <v>14</v>
      </c>
    </row>
    <row r="79" spans="1:12" x14ac:dyDescent="0.2">
      <c r="A79">
        <v>5</v>
      </c>
      <c r="B79">
        <v>12</v>
      </c>
      <c r="C79">
        <v>586</v>
      </c>
      <c r="D79" t="s">
        <v>7353</v>
      </c>
      <c r="E79">
        <v>245</v>
      </c>
      <c r="F79" t="s">
        <v>7168</v>
      </c>
      <c r="G79">
        <v>2</v>
      </c>
      <c r="H79">
        <f t="shared" si="2"/>
        <v>0.81632653061224492</v>
      </c>
      <c r="I79">
        <f t="shared" si="3"/>
        <v>41.808873720136518</v>
      </c>
      <c r="J79" t="s">
        <v>7150</v>
      </c>
      <c r="K79">
        <v>5</v>
      </c>
      <c r="L79">
        <v>14</v>
      </c>
    </row>
    <row r="80" spans="1:12" x14ac:dyDescent="0.2">
      <c r="A80">
        <v>35</v>
      </c>
      <c r="B80">
        <v>12</v>
      </c>
      <c r="C80">
        <v>586</v>
      </c>
      <c r="D80" t="s">
        <v>7354</v>
      </c>
      <c r="E80">
        <v>238</v>
      </c>
      <c r="F80" t="s">
        <v>7168</v>
      </c>
      <c r="G80">
        <v>4</v>
      </c>
      <c r="H80">
        <f t="shared" si="2"/>
        <v>1.680672268907563</v>
      </c>
      <c r="I80">
        <f t="shared" si="3"/>
        <v>40.61433447098976</v>
      </c>
      <c r="J80" t="s">
        <v>7150</v>
      </c>
      <c r="K80">
        <v>40</v>
      </c>
      <c r="L80">
        <v>14</v>
      </c>
    </row>
    <row r="81" spans="1:12" x14ac:dyDescent="0.2">
      <c r="A81">
        <v>60</v>
      </c>
      <c r="B81">
        <v>12</v>
      </c>
      <c r="C81">
        <v>586</v>
      </c>
      <c r="D81" t="s">
        <v>7355</v>
      </c>
      <c r="E81">
        <v>20</v>
      </c>
      <c r="F81" t="s">
        <v>7168</v>
      </c>
      <c r="G81">
        <v>0</v>
      </c>
      <c r="H81">
        <f t="shared" si="2"/>
        <v>0</v>
      </c>
      <c r="I81">
        <f t="shared" si="3"/>
        <v>3.4129692832764507</v>
      </c>
      <c r="J81" t="s">
        <v>7150</v>
      </c>
      <c r="K81">
        <v>65</v>
      </c>
      <c r="L81">
        <v>14</v>
      </c>
    </row>
    <row r="82" spans="1:12" x14ac:dyDescent="0.2">
      <c r="A82">
        <v>85</v>
      </c>
      <c r="B82">
        <v>12</v>
      </c>
      <c r="C82">
        <v>586</v>
      </c>
      <c r="D82" t="s">
        <v>7356</v>
      </c>
      <c r="E82">
        <v>67</v>
      </c>
      <c r="F82" t="s">
        <v>7168</v>
      </c>
      <c r="G82">
        <v>0</v>
      </c>
      <c r="H82">
        <f t="shared" si="2"/>
        <v>0</v>
      </c>
      <c r="I82">
        <f t="shared" si="3"/>
        <v>11.433447098976108</v>
      </c>
      <c r="J82" t="s">
        <v>7150</v>
      </c>
      <c r="K82">
        <v>90</v>
      </c>
      <c r="L82">
        <v>14</v>
      </c>
    </row>
    <row r="83" spans="1:12" x14ac:dyDescent="0.2">
      <c r="A83">
        <v>110</v>
      </c>
      <c r="B83">
        <v>12</v>
      </c>
      <c r="C83">
        <v>586</v>
      </c>
      <c r="D83" t="s">
        <v>7357</v>
      </c>
      <c r="E83">
        <v>108</v>
      </c>
      <c r="F83" t="s">
        <v>7168</v>
      </c>
      <c r="G83">
        <v>0</v>
      </c>
      <c r="H83">
        <f t="shared" si="2"/>
        <v>0</v>
      </c>
      <c r="I83">
        <f t="shared" si="3"/>
        <v>18.430034129692832</v>
      </c>
      <c r="J83" t="s">
        <v>7150</v>
      </c>
      <c r="K83">
        <v>115</v>
      </c>
      <c r="L83">
        <v>14</v>
      </c>
    </row>
    <row r="84" spans="1:12" x14ac:dyDescent="0.2">
      <c r="A84">
        <v>135</v>
      </c>
      <c r="B84">
        <v>12</v>
      </c>
      <c r="C84">
        <v>586</v>
      </c>
      <c r="D84" t="s">
        <v>7358</v>
      </c>
      <c r="E84">
        <v>118</v>
      </c>
      <c r="F84" t="s">
        <v>7168</v>
      </c>
      <c r="G84">
        <v>0</v>
      </c>
      <c r="H84">
        <f t="shared" si="2"/>
        <v>0</v>
      </c>
      <c r="I84">
        <f t="shared" si="3"/>
        <v>20.136518771331058</v>
      </c>
      <c r="J84" t="s">
        <v>7150</v>
      </c>
      <c r="K84">
        <v>140</v>
      </c>
      <c r="L84">
        <v>14</v>
      </c>
    </row>
    <row r="85" spans="1:12" x14ac:dyDescent="0.2">
      <c r="A85">
        <v>160</v>
      </c>
      <c r="B85">
        <v>12</v>
      </c>
      <c r="C85">
        <v>586</v>
      </c>
      <c r="D85" t="s">
        <v>7359</v>
      </c>
      <c r="E85">
        <v>1</v>
      </c>
      <c r="F85" t="s">
        <v>7168</v>
      </c>
      <c r="G85">
        <v>0</v>
      </c>
      <c r="H85">
        <f t="shared" si="2"/>
        <v>0</v>
      </c>
      <c r="I85">
        <f t="shared" si="3"/>
        <v>0.17064846416382254</v>
      </c>
      <c r="J85" t="s">
        <v>7150</v>
      </c>
      <c r="K85">
        <v>165</v>
      </c>
      <c r="L85">
        <v>14</v>
      </c>
    </row>
    <row r="86" spans="1:12" x14ac:dyDescent="0.2">
      <c r="A86">
        <v>185</v>
      </c>
      <c r="B86">
        <v>12</v>
      </c>
      <c r="C86">
        <v>586</v>
      </c>
      <c r="D86" t="s">
        <v>7360</v>
      </c>
      <c r="E86">
        <v>8</v>
      </c>
      <c r="F86" t="s">
        <v>7168</v>
      </c>
      <c r="G86">
        <v>0</v>
      </c>
      <c r="H86">
        <f t="shared" si="2"/>
        <v>0</v>
      </c>
      <c r="I86">
        <f t="shared" si="3"/>
        <v>1.3651877133105803</v>
      </c>
      <c r="J86" t="s">
        <v>7150</v>
      </c>
      <c r="K86">
        <v>190</v>
      </c>
      <c r="L86">
        <v>14</v>
      </c>
    </row>
    <row r="87" spans="1:12" x14ac:dyDescent="0.2">
      <c r="A87">
        <v>210</v>
      </c>
      <c r="B87">
        <v>12</v>
      </c>
      <c r="C87">
        <v>586</v>
      </c>
      <c r="D87" t="s">
        <v>7361</v>
      </c>
      <c r="E87">
        <v>3</v>
      </c>
      <c r="F87" t="s">
        <v>7168</v>
      </c>
      <c r="G87">
        <v>0</v>
      </c>
      <c r="H87">
        <f t="shared" si="2"/>
        <v>0</v>
      </c>
      <c r="I87">
        <f t="shared" si="3"/>
        <v>0.51194539249146753</v>
      </c>
      <c r="J87" t="s">
        <v>7150</v>
      </c>
      <c r="K87">
        <v>215</v>
      </c>
      <c r="L87">
        <v>14</v>
      </c>
    </row>
    <row r="88" spans="1:12" x14ac:dyDescent="0.2">
      <c r="A88">
        <v>235</v>
      </c>
      <c r="B88">
        <v>12</v>
      </c>
      <c r="C88">
        <v>586</v>
      </c>
      <c r="D88" t="s">
        <v>7362</v>
      </c>
      <c r="E88">
        <v>16</v>
      </c>
      <c r="F88" t="s">
        <v>7168</v>
      </c>
      <c r="G88">
        <v>0</v>
      </c>
      <c r="H88">
        <f t="shared" si="2"/>
        <v>0</v>
      </c>
      <c r="I88">
        <f t="shared" si="3"/>
        <v>2.7303754266211606</v>
      </c>
      <c r="J88" t="s">
        <v>7150</v>
      </c>
      <c r="K88">
        <v>240</v>
      </c>
      <c r="L88">
        <v>14</v>
      </c>
    </row>
    <row r="89" spans="1:12" x14ac:dyDescent="0.2">
      <c r="A89">
        <v>260</v>
      </c>
      <c r="B89">
        <v>12</v>
      </c>
      <c r="C89">
        <v>586</v>
      </c>
      <c r="D89" t="s">
        <v>7363</v>
      </c>
      <c r="E89">
        <v>1</v>
      </c>
      <c r="F89" t="s">
        <v>7168</v>
      </c>
      <c r="G89">
        <v>0</v>
      </c>
      <c r="H89">
        <f t="shared" si="2"/>
        <v>0</v>
      </c>
      <c r="I89">
        <f t="shared" si="3"/>
        <v>0.17064846416382254</v>
      </c>
      <c r="J89" t="s">
        <v>7150</v>
      </c>
      <c r="K89">
        <v>265</v>
      </c>
      <c r="L89">
        <v>14</v>
      </c>
    </row>
    <row r="90" spans="1:12" x14ac:dyDescent="0.2">
      <c r="A90">
        <v>5</v>
      </c>
      <c r="B90">
        <v>12</v>
      </c>
      <c r="C90">
        <v>350</v>
      </c>
      <c r="D90" t="s">
        <v>7353</v>
      </c>
      <c r="E90">
        <v>93</v>
      </c>
      <c r="F90" t="s">
        <v>7167</v>
      </c>
      <c r="G90">
        <v>0</v>
      </c>
      <c r="H90">
        <f t="shared" si="2"/>
        <v>0</v>
      </c>
      <c r="I90">
        <f t="shared" si="3"/>
        <v>26.571428571428573</v>
      </c>
      <c r="J90" t="s">
        <v>7164</v>
      </c>
      <c r="K90">
        <v>5</v>
      </c>
      <c r="L90">
        <v>14</v>
      </c>
    </row>
    <row r="91" spans="1:12" x14ac:dyDescent="0.2">
      <c r="A91">
        <v>35</v>
      </c>
      <c r="B91">
        <v>12</v>
      </c>
      <c r="C91">
        <v>350</v>
      </c>
      <c r="D91" t="s">
        <v>7354</v>
      </c>
      <c r="E91">
        <v>64</v>
      </c>
      <c r="F91" t="s">
        <v>7167</v>
      </c>
      <c r="G91">
        <v>0</v>
      </c>
      <c r="H91">
        <f t="shared" si="2"/>
        <v>0</v>
      </c>
      <c r="I91">
        <f t="shared" si="3"/>
        <v>18.285714285714285</v>
      </c>
      <c r="J91" t="s">
        <v>7164</v>
      </c>
      <c r="K91">
        <v>40</v>
      </c>
      <c r="L91">
        <v>14</v>
      </c>
    </row>
    <row r="92" spans="1:12" x14ac:dyDescent="0.2">
      <c r="A92">
        <v>60</v>
      </c>
      <c r="B92">
        <v>12</v>
      </c>
      <c r="C92">
        <v>350</v>
      </c>
      <c r="D92" t="s">
        <v>7355</v>
      </c>
      <c r="E92">
        <v>20</v>
      </c>
      <c r="F92" t="s">
        <v>7167</v>
      </c>
      <c r="G92" s="21">
        <v>3</v>
      </c>
      <c r="H92">
        <f t="shared" si="2"/>
        <v>15</v>
      </c>
      <c r="I92">
        <f t="shared" si="3"/>
        <v>5.7142857142857144</v>
      </c>
      <c r="J92" t="s">
        <v>7164</v>
      </c>
      <c r="K92">
        <v>65</v>
      </c>
      <c r="L92">
        <v>14</v>
      </c>
    </row>
    <row r="93" spans="1:12" x14ac:dyDescent="0.2">
      <c r="A93">
        <v>85</v>
      </c>
      <c r="B93">
        <v>12</v>
      </c>
      <c r="C93">
        <v>350</v>
      </c>
      <c r="D93" t="s">
        <v>7356</v>
      </c>
      <c r="E93">
        <v>23</v>
      </c>
      <c r="F93" t="s">
        <v>7167</v>
      </c>
      <c r="G93">
        <v>0</v>
      </c>
      <c r="H93">
        <f t="shared" si="2"/>
        <v>0</v>
      </c>
      <c r="I93">
        <f t="shared" si="3"/>
        <v>6.5714285714285712</v>
      </c>
      <c r="J93" t="s">
        <v>7164</v>
      </c>
      <c r="K93">
        <v>90</v>
      </c>
      <c r="L93">
        <v>14</v>
      </c>
    </row>
    <row r="94" spans="1:12" x14ac:dyDescent="0.2">
      <c r="A94">
        <v>110</v>
      </c>
      <c r="B94">
        <v>12</v>
      </c>
      <c r="C94">
        <v>350</v>
      </c>
      <c r="D94" t="s">
        <v>7357</v>
      </c>
      <c r="E94">
        <v>105</v>
      </c>
      <c r="F94" t="s">
        <v>7167</v>
      </c>
      <c r="G94" s="21">
        <v>0</v>
      </c>
      <c r="H94">
        <f t="shared" si="2"/>
        <v>0</v>
      </c>
      <c r="I94">
        <f t="shared" si="3"/>
        <v>30</v>
      </c>
      <c r="J94" t="s">
        <v>7164</v>
      </c>
      <c r="K94">
        <v>115</v>
      </c>
      <c r="L94">
        <v>14</v>
      </c>
    </row>
    <row r="95" spans="1:12" x14ac:dyDescent="0.2">
      <c r="A95">
        <v>135</v>
      </c>
      <c r="B95">
        <v>12</v>
      </c>
      <c r="C95">
        <v>350</v>
      </c>
      <c r="D95" t="s">
        <v>7358</v>
      </c>
      <c r="E95">
        <v>113</v>
      </c>
      <c r="F95" t="s">
        <v>7167</v>
      </c>
      <c r="G95">
        <v>0</v>
      </c>
      <c r="H95">
        <f t="shared" si="2"/>
        <v>0</v>
      </c>
      <c r="I95">
        <f t="shared" si="3"/>
        <v>32.285714285714285</v>
      </c>
      <c r="J95" t="s">
        <v>7164</v>
      </c>
      <c r="K95">
        <v>140</v>
      </c>
      <c r="L95">
        <v>14</v>
      </c>
    </row>
    <row r="96" spans="1:12" x14ac:dyDescent="0.2">
      <c r="A96">
        <v>160</v>
      </c>
      <c r="B96">
        <v>12</v>
      </c>
      <c r="C96">
        <v>350</v>
      </c>
      <c r="D96" t="s">
        <v>7359</v>
      </c>
      <c r="E96">
        <v>1</v>
      </c>
      <c r="F96" t="s">
        <v>7167</v>
      </c>
      <c r="G96">
        <v>0</v>
      </c>
      <c r="H96">
        <f t="shared" si="2"/>
        <v>0</v>
      </c>
      <c r="I96">
        <f t="shared" si="3"/>
        <v>0.2857142857142857</v>
      </c>
      <c r="J96" t="s">
        <v>7164</v>
      </c>
      <c r="K96">
        <v>165</v>
      </c>
      <c r="L96">
        <v>14</v>
      </c>
    </row>
    <row r="97" spans="1:12" x14ac:dyDescent="0.2">
      <c r="A97">
        <v>185</v>
      </c>
      <c r="B97">
        <v>12</v>
      </c>
      <c r="C97">
        <v>350</v>
      </c>
      <c r="D97" t="s">
        <v>7360</v>
      </c>
      <c r="E97">
        <v>8</v>
      </c>
      <c r="F97" t="s">
        <v>7167</v>
      </c>
      <c r="G97" s="21">
        <v>0</v>
      </c>
      <c r="H97">
        <f t="shared" si="2"/>
        <v>0</v>
      </c>
      <c r="I97">
        <f t="shared" si="3"/>
        <v>2.2857142857142856</v>
      </c>
      <c r="J97" t="s">
        <v>7164</v>
      </c>
      <c r="K97">
        <v>190</v>
      </c>
      <c r="L97">
        <v>14</v>
      </c>
    </row>
    <row r="98" spans="1:12" x14ac:dyDescent="0.2">
      <c r="A98">
        <v>210</v>
      </c>
      <c r="B98">
        <v>12</v>
      </c>
      <c r="C98">
        <v>350</v>
      </c>
      <c r="D98" t="s">
        <v>7361</v>
      </c>
      <c r="E98">
        <v>3</v>
      </c>
      <c r="F98" t="s">
        <v>7167</v>
      </c>
      <c r="G98">
        <v>0</v>
      </c>
      <c r="H98">
        <f t="shared" si="2"/>
        <v>0</v>
      </c>
      <c r="I98">
        <f t="shared" si="3"/>
        <v>0.85714285714285721</v>
      </c>
      <c r="J98" t="s">
        <v>7164</v>
      </c>
      <c r="K98">
        <v>215</v>
      </c>
      <c r="L98">
        <v>14</v>
      </c>
    </row>
    <row r="99" spans="1:12" x14ac:dyDescent="0.2">
      <c r="A99">
        <v>235</v>
      </c>
      <c r="B99">
        <v>12</v>
      </c>
      <c r="C99">
        <v>350</v>
      </c>
      <c r="D99" t="s">
        <v>7362</v>
      </c>
      <c r="E99">
        <v>14</v>
      </c>
      <c r="F99" t="s">
        <v>7167</v>
      </c>
      <c r="G99" s="21">
        <v>0</v>
      </c>
      <c r="H99">
        <f t="shared" si="2"/>
        <v>0</v>
      </c>
      <c r="I99">
        <f t="shared" si="3"/>
        <v>4</v>
      </c>
      <c r="J99" t="s">
        <v>7164</v>
      </c>
      <c r="K99">
        <v>240</v>
      </c>
      <c r="L99">
        <v>14</v>
      </c>
    </row>
    <row r="100" spans="1:12" x14ac:dyDescent="0.2">
      <c r="A100">
        <v>260</v>
      </c>
      <c r="B100">
        <v>12</v>
      </c>
      <c r="C100">
        <v>350</v>
      </c>
      <c r="D100" t="s">
        <v>7363</v>
      </c>
      <c r="E100">
        <v>1</v>
      </c>
      <c r="F100" t="s">
        <v>7167</v>
      </c>
      <c r="G100">
        <v>0</v>
      </c>
      <c r="H100">
        <f t="shared" si="2"/>
        <v>0</v>
      </c>
      <c r="I100">
        <f t="shared" si="3"/>
        <v>0.2857142857142857</v>
      </c>
      <c r="J100" t="s">
        <v>7164</v>
      </c>
      <c r="K100">
        <v>265</v>
      </c>
      <c r="L100">
        <v>14</v>
      </c>
    </row>
    <row r="101" spans="1:12" x14ac:dyDescent="0.2">
      <c r="A101">
        <v>5</v>
      </c>
      <c r="B101">
        <v>12</v>
      </c>
      <c r="C101">
        <v>350</v>
      </c>
      <c r="D101" t="s">
        <v>7353</v>
      </c>
      <c r="E101">
        <v>93</v>
      </c>
      <c r="F101" s="21" t="s">
        <v>7170</v>
      </c>
      <c r="G101" s="21">
        <v>0</v>
      </c>
      <c r="H101">
        <f t="shared" si="2"/>
        <v>0</v>
      </c>
      <c r="I101">
        <f t="shared" si="3"/>
        <v>26.571428571428573</v>
      </c>
      <c r="J101" t="s">
        <v>7164</v>
      </c>
      <c r="K101">
        <v>5</v>
      </c>
      <c r="L101">
        <v>14</v>
      </c>
    </row>
    <row r="102" spans="1:12" x14ac:dyDescent="0.2">
      <c r="A102">
        <v>35</v>
      </c>
      <c r="B102">
        <v>12</v>
      </c>
      <c r="C102">
        <v>350</v>
      </c>
      <c r="D102" t="s">
        <v>7354</v>
      </c>
      <c r="E102">
        <v>64</v>
      </c>
      <c r="F102" s="21" t="s">
        <v>7170</v>
      </c>
      <c r="G102">
        <v>0</v>
      </c>
      <c r="H102">
        <f t="shared" si="2"/>
        <v>0</v>
      </c>
      <c r="I102">
        <f t="shared" si="3"/>
        <v>18.285714285714285</v>
      </c>
      <c r="J102" t="s">
        <v>7164</v>
      </c>
      <c r="K102">
        <v>40</v>
      </c>
      <c r="L102">
        <v>14</v>
      </c>
    </row>
    <row r="103" spans="1:12" x14ac:dyDescent="0.2">
      <c r="A103">
        <v>60</v>
      </c>
      <c r="B103">
        <v>12</v>
      </c>
      <c r="C103">
        <v>350</v>
      </c>
      <c r="D103" t="s">
        <v>7355</v>
      </c>
      <c r="E103">
        <v>20</v>
      </c>
      <c r="F103" s="21" t="s">
        <v>7170</v>
      </c>
      <c r="G103" s="21">
        <v>0</v>
      </c>
      <c r="H103">
        <f t="shared" si="2"/>
        <v>0</v>
      </c>
      <c r="I103">
        <f t="shared" si="3"/>
        <v>5.7142857142857144</v>
      </c>
      <c r="J103" t="s">
        <v>7164</v>
      </c>
      <c r="K103">
        <v>65</v>
      </c>
      <c r="L103">
        <v>14</v>
      </c>
    </row>
    <row r="104" spans="1:12" x14ac:dyDescent="0.2">
      <c r="A104">
        <v>85</v>
      </c>
      <c r="B104">
        <v>12</v>
      </c>
      <c r="C104">
        <v>350</v>
      </c>
      <c r="D104" t="s">
        <v>7356</v>
      </c>
      <c r="E104">
        <v>23</v>
      </c>
      <c r="F104" s="21" t="s">
        <v>7170</v>
      </c>
      <c r="G104">
        <v>0</v>
      </c>
      <c r="H104">
        <f t="shared" si="2"/>
        <v>0</v>
      </c>
      <c r="I104">
        <f t="shared" si="3"/>
        <v>6.5714285714285712</v>
      </c>
      <c r="J104" t="s">
        <v>7164</v>
      </c>
      <c r="K104">
        <v>90</v>
      </c>
      <c r="L104">
        <v>14</v>
      </c>
    </row>
    <row r="105" spans="1:12" x14ac:dyDescent="0.2">
      <c r="A105">
        <v>110</v>
      </c>
      <c r="B105">
        <v>12</v>
      </c>
      <c r="C105">
        <v>350</v>
      </c>
      <c r="D105" t="s">
        <v>7357</v>
      </c>
      <c r="E105">
        <v>105</v>
      </c>
      <c r="F105" s="21" t="s">
        <v>7170</v>
      </c>
      <c r="G105" s="21">
        <v>0</v>
      </c>
      <c r="H105">
        <f t="shared" si="2"/>
        <v>0</v>
      </c>
      <c r="I105">
        <f t="shared" si="3"/>
        <v>30</v>
      </c>
      <c r="J105" t="s">
        <v>7164</v>
      </c>
      <c r="K105">
        <v>115</v>
      </c>
      <c r="L105">
        <v>14</v>
      </c>
    </row>
    <row r="106" spans="1:12" x14ac:dyDescent="0.2">
      <c r="A106">
        <v>135</v>
      </c>
      <c r="B106">
        <v>12</v>
      </c>
      <c r="C106">
        <v>350</v>
      </c>
      <c r="D106" t="s">
        <v>7358</v>
      </c>
      <c r="E106">
        <v>113</v>
      </c>
      <c r="F106" s="21" t="s">
        <v>7170</v>
      </c>
      <c r="G106">
        <v>0</v>
      </c>
      <c r="H106">
        <f t="shared" si="2"/>
        <v>0</v>
      </c>
      <c r="I106">
        <f t="shared" si="3"/>
        <v>32.285714285714285</v>
      </c>
      <c r="J106" t="s">
        <v>7164</v>
      </c>
      <c r="K106">
        <v>140</v>
      </c>
      <c r="L106">
        <v>14</v>
      </c>
    </row>
    <row r="107" spans="1:12" x14ac:dyDescent="0.2">
      <c r="A107">
        <v>160</v>
      </c>
      <c r="B107">
        <v>12</v>
      </c>
      <c r="C107">
        <v>350</v>
      </c>
      <c r="D107" t="s">
        <v>7359</v>
      </c>
      <c r="E107">
        <v>1</v>
      </c>
      <c r="F107" s="21" t="s">
        <v>7170</v>
      </c>
      <c r="G107">
        <v>0</v>
      </c>
      <c r="H107">
        <f t="shared" si="2"/>
        <v>0</v>
      </c>
      <c r="I107">
        <f t="shared" si="3"/>
        <v>0.2857142857142857</v>
      </c>
      <c r="J107" t="s">
        <v>7164</v>
      </c>
      <c r="K107">
        <v>165</v>
      </c>
      <c r="L107">
        <v>14</v>
      </c>
    </row>
    <row r="108" spans="1:12" x14ac:dyDescent="0.2">
      <c r="A108">
        <v>185</v>
      </c>
      <c r="B108">
        <v>12</v>
      </c>
      <c r="C108">
        <v>350</v>
      </c>
      <c r="D108" t="s">
        <v>7360</v>
      </c>
      <c r="E108">
        <v>8</v>
      </c>
      <c r="F108" s="21" t="s">
        <v>7170</v>
      </c>
      <c r="G108" s="21">
        <v>0</v>
      </c>
      <c r="H108">
        <f t="shared" si="2"/>
        <v>0</v>
      </c>
      <c r="I108">
        <f t="shared" si="3"/>
        <v>2.2857142857142856</v>
      </c>
      <c r="J108" t="s">
        <v>7164</v>
      </c>
      <c r="K108">
        <v>190</v>
      </c>
      <c r="L108">
        <v>14</v>
      </c>
    </row>
    <row r="109" spans="1:12" x14ac:dyDescent="0.2">
      <c r="A109">
        <v>210</v>
      </c>
      <c r="B109">
        <v>12</v>
      </c>
      <c r="C109">
        <v>350</v>
      </c>
      <c r="D109" t="s">
        <v>7361</v>
      </c>
      <c r="E109">
        <v>3</v>
      </c>
      <c r="F109" s="21" t="s">
        <v>7170</v>
      </c>
      <c r="G109">
        <v>0</v>
      </c>
      <c r="H109">
        <f t="shared" si="2"/>
        <v>0</v>
      </c>
      <c r="I109">
        <f t="shared" si="3"/>
        <v>0.85714285714285721</v>
      </c>
      <c r="J109" t="s">
        <v>7164</v>
      </c>
      <c r="K109">
        <v>215</v>
      </c>
      <c r="L109">
        <v>14</v>
      </c>
    </row>
    <row r="110" spans="1:12" x14ac:dyDescent="0.2">
      <c r="A110">
        <v>235</v>
      </c>
      <c r="B110">
        <v>12</v>
      </c>
      <c r="C110">
        <v>350</v>
      </c>
      <c r="D110" t="s">
        <v>7362</v>
      </c>
      <c r="E110">
        <v>14</v>
      </c>
      <c r="F110" s="21" t="s">
        <v>7170</v>
      </c>
      <c r="G110" s="21">
        <v>0</v>
      </c>
      <c r="H110">
        <f t="shared" si="2"/>
        <v>0</v>
      </c>
      <c r="I110">
        <f t="shared" si="3"/>
        <v>4</v>
      </c>
      <c r="J110" t="s">
        <v>7164</v>
      </c>
      <c r="K110">
        <v>240</v>
      </c>
      <c r="L110">
        <v>14</v>
      </c>
    </row>
    <row r="111" spans="1:12" x14ac:dyDescent="0.2">
      <c r="A111">
        <v>260</v>
      </c>
      <c r="B111">
        <v>12</v>
      </c>
      <c r="C111">
        <v>350</v>
      </c>
      <c r="D111" t="s">
        <v>7363</v>
      </c>
      <c r="E111">
        <v>1</v>
      </c>
      <c r="F111" s="21" t="s">
        <v>7170</v>
      </c>
      <c r="G111">
        <v>0</v>
      </c>
      <c r="H111">
        <f t="shared" si="2"/>
        <v>0</v>
      </c>
      <c r="I111">
        <f t="shared" si="3"/>
        <v>0.2857142857142857</v>
      </c>
      <c r="J111" t="s">
        <v>7164</v>
      </c>
      <c r="K111">
        <v>265</v>
      </c>
      <c r="L111">
        <v>14</v>
      </c>
    </row>
    <row r="112" spans="1:12" x14ac:dyDescent="0.2">
      <c r="A112">
        <v>5</v>
      </c>
      <c r="B112">
        <v>12</v>
      </c>
      <c r="C112">
        <v>350</v>
      </c>
      <c r="D112" t="s">
        <v>7353</v>
      </c>
      <c r="E112">
        <v>93</v>
      </c>
      <c r="F112" t="s">
        <v>60</v>
      </c>
      <c r="G112">
        <v>5</v>
      </c>
      <c r="H112">
        <f t="shared" si="2"/>
        <v>5.376344086021505</v>
      </c>
      <c r="I112">
        <f t="shared" si="3"/>
        <v>26.571428571428573</v>
      </c>
      <c r="J112" t="s">
        <v>7164</v>
      </c>
      <c r="K112">
        <v>5</v>
      </c>
      <c r="L112">
        <v>14</v>
      </c>
    </row>
    <row r="113" spans="1:12" x14ac:dyDescent="0.2">
      <c r="A113">
        <v>35</v>
      </c>
      <c r="B113">
        <v>12</v>
      </c>
      <c r="C113">
        <v>350</v>
      </c>
      <c r="D113" t="s">
        <v>7354</v>
      </c>
      <c r="E113">
        <v>64</v>
      </c>
      <c r="F113" t="s">
        <v>60</v>
      </c>
      <c r="G113">
        <v>23</v>
      </c>
      <c r="H113">
        <f t="shared" si="2"/>
        <v>35.9375</v>
      </c>
      <c r="I113">
        <f t="shared" si="3"/>
        <v>18.285714285714285</v>
      </c>
      <c r="J113" t="s">
        <v>7164</v>
      </c>
      <c r="K113">
        <v>40</v>
      </c>
      <c r="L113">
        <v>14</v>
      </c>
    </row>
    <row r="114" spans="1:12" x14ac:dyDescent="0.2">
      <c r="A114">
        <v>60</v>
      </c>
      <c r="B114">
        <v>12</v>
      </c>
      <c r="C114">
        <v>350</v>
      </c>
      <c r="D114" t="s">
        <v>7355</v>
      </c>
      <c r="E114">
        <v>20</v>
      </c>
      <c r="F114" t="s">
        <v>60</v>
      </c>
      <c r="G114">
        <v>0</v>
      </c>
      <c r="H114">
        <f t="shared" si="2"/>
        <v>0</v>
      </c>
      <c r="I114">
        <f t="shared" si="3"/>
        <v>5.7142857142857144</v>
      </c>
      <c r="J114" t="s">
        <v>7164</v>
      </c>
      <c r="K114">
        <v>65</v>
      </c>
      <c r="L114">
        <v>14</v>
      </c>
    </row>
    <row r="115" spans="1:12" x14ac:dyDescent="0.2">
      <c r="A115">
        <v>85</v>
      </c>
      <c r="B115">
        <v>12</v>
      </c>
      <c r="C115">
        <v>350</v>
      </c>
      <c r="D115" t="s">
        <v>7356</v>
      </c>
      <c r="E115">
        <v>23</v>
      </c>
      <c r="F115" t="s">
        <v>60</v>
      </c>
      <c r="G115">
        <v>1</v>
      </c>
      <c r="H115">
        <f t="shared" si="2"/>
        <v>4.3478260869565215</v>
      </c>
      <c r="I115">
        <f t="shared" si="3"/>
        <v>6.5714285714285712</v>
      </c>
      <c r="J115" t="s">
        <v>7164</v>
      </c>
      <c r="K115">
        <v>90</v>
      </c>
      <c r="L115">
        <v>14</v>
      </c>
    </row>
    <row r="116" spans="1:12" x14ac:dyDescent="0.2">
      <c r="A116">
        <v>110</v>
      </c>
      <c r="B116">
        <v>12</v>
      </c>
      <c r="C116">
        <v>350</v>
      </c>
      <c r="D116" t="s">
        <v>7357</v>
      </c>
      <c r="E116">
        <v>105</v>
      </c>
      <c r="F116" t="s">
        <v>60</v>
      </c>
      <c r="G116">
        <v>1</v>
      </c>
      <c r="H116">
        <f t="shared" si="2"/>
        <v>0.95238095238095244</v>
      </c>
      <c r="I116">
        <f t="shared" si="3"/>
        <v>30</v>
      </c>
      <c r="J116" t="s">
        <v>7164</v>
      </c>
      <c r="K116">
        <v>115</v>
      </c>
      <c r="L116">
        <v>14</v>
      </c>
    </row>
    <row r="117" spans="1:12" x14ac:dyDescent="0.2">
      <c r="A117">
        <v>135</v>
      </c>
      <c r="B117">
        <v>12</v>
      </c>
      <c r="C117">
        <v>350</v>
      </c>
      <c r="D117" t="s">
        <v>7358</v>
      </c>
      <c r="E117">
        <v>113</v>
      </c>
      <c r="F117" t="s">
        <v>60</v>
      </c>
      <c r="G117">
        <v>0</v>
      </c>
      <c r="H117">
        <f t="shared" si="2"/>
        <v>0</v>
      </c>
      <c r="I117">
        <f t="shared" si="3"/>
        <v>32.285714285714285</v>
      </c>
      <c r="J117" t="s">
        <v>7164</v>
      </c>
      <c r="K117">
        <v>140</v>
      </c>
      <c r="L117">
        <v>14</v>
      </c>
    </row>
    <row r="118" spans="1:12" x14ac:dyDescent="0.2">
      <c r="A118">
        <v>160</v>
      </c>
      <c r="B118">
        <v>12</v>
      </c>
      <c r="C118">
        <v>350</v>
      </c>
      <c r="D118" t="s">
        <v>7359</v>
      </c>
      <c r="E118">
        <v>1</v>
      </c>
      <c r="F118" t="s">
        <v>60</v>
      </c>
      <c r="G118">
        <v>0</v>
      </c>
      <c r="H118">
        <f t="shared" si="2"/>
        <v>0</v>
      </c>
      <c r="I118">
        <f t="shared" si="3"/>
        <v>0.2857142857142857</v>
      </c>
      <c r="J118" t="s">
        <v>7164</v>
      </c>
      <c r="K118">
        <v>165</v>
      </c>
      <c r="L118">
        <v>14</v>
      </c>
    </row>
    <row r="119" spans="1:12" x14ac:dyDescent="0.2">
      <c r="A119">
        <v>185</v>
      </c>
      <c r="B119">
        <v>12</v>
      </c>
      <c r="C119">
        <v>350</v>
      </c>
      <c r="D119" t="s">
        <v>7360</v>
      </c>
      <c r="E119">
        <v>8</v>
      </c>
      <c r="F119" t="s">
        <v>60</v>
      </c>
      <c r="G119">
        <v>0</v>
      </c>
      <c r="H119">
        <f t="shared" si="2"/>
        <v>0</v>
      </c>
      <c r="I119">
        <f t="shared" si="3"/>
        <v>2.2857142857142856</v>
      </c>
      <c r="J119" t="s">
        <v>7164</v>
      </c>
      <c r="K119">
        <v>190</v>
      </c>
      <c r="L119">
        <v>14</v>
      </c>
    </row>
    <row r="120" spans="1:12" x14ac:dyDescent="0.2">
      <c r="A120">
        <v>210</v>
      </c>
      <c r="B120">
        <v>12</v>
      </c>
      <c r="C120">
        <v>350</v>
      </c>
      <c r="D120" t="s">
        <v>7361</v>
      </c>
      <c r="E120">
        <v>3</v>
      </c>
      <c r="F120" t="s">
        <v>60</v>
      </c>
      <c r="G120">
        <v>0</v>
      </c>
      <c r="H120">
        <f t="shared" si="2"/>
        <v>0</v>
      </c>
      <c r="I120">
        <f t="shared" si="3"/>
        <v>0.85714285714285721</v>
      </c>
      <c r="J120" t="s">
        <v>7164</v>
      </c>
      <c r="K120">
        <v>215</v>
      </c>
      <c r="L120">
        <v>14</v>
      </c>
    </row>
    <row r="121" spans="1:12" x14ac:dyDescent="0.2">
      <c r="A121">
        <v>235</v>
      </c>
      <c r="B121">
        <v>12</v>
      </c>
      <c r="C121">
        <v>350</v>
      </c>
      <c r="D121" t="s">
        <v>7362</v>
      </c>
      <c r="E121">
        <v>14</v>
      </c>
      <c r="F121" t="s">
        <v>60</v>
      </c>
      <c r="G121">
        <v>0</v>
      </c>
      <c r="H121">
        <f t="shared" si="2"/>
        <v>0</v>
      </c>
      <c r="I121">
        <f t="shared" si="3"/>
        <v>4</v>
      </c>
      <c r="J121" t="s">
        <v>7164</v>
      </c>
      <c r="K121">
        <v>240</v>
      </c>
      <c r="L121">
        <v>14</v>
      </c>
    </row>
    <row r="122" spans="1:12" x14ac:dyDescent="0.2">
      <c r="A122">
        <v>260</v>
      </c>
      <c r="B122">
        <v>12</v>
      </c>
      <c r="C122">
        <v>350</v>
      </c>
      <c r="D122" t="s">
        <v>7363</v>
      </c>
      <c r="E122">
        <v>1</v>
      </c>
      <c r="F122" t="s">
        <v>60</v>
      </c>
      <c r="G122">
        <v>0</v>
      </c>
      <c r="H122">
        <f t="shared" si="2"/>
        <v>0</v>
      </c>
      <c r="I122">
        <f t="shared" si="3"/>
        <v>0.2857142857142857</v>
      </c>
      <c r="J122" t="s">
        <v>7164</v>
      </c>
      <c r="K122">
        <v>265</v>
      </c>
      <c r="L122">
        <v>14</v>
      </c>
    </row>
    <row r="123" spans="1:12" x14ac:dyDescent="0.2">
      <c r="A123">
        <v>5</v>
      </c>
      <c r="B123">
        <v>12</v>
      </c>
      <c r="C123">
        <v>350</v>
      </c>
      <c r="D123" t="s">
        <v>7353</v>
      </c>
      <c r="E123">
        <v>93</v>
      </c>
      <c r="F123" t="s">
        <v>7165</v>
      </c>
      <c r="G123">
        <v>61</v>
      </c>
      <c r="H123">
        <f t="shared" si="2"/>
        <v>65.591397849462368</v>
      </c>
      <c r="I123">
        <f t="shared" si="3"/>
        <v>26.571428571428573</v>
      </c>
      <c r="J123" t="s">
        <v>7164</v>
      </c>
      <c r="K123">
        <v>5</v>
      </c>
      <c r="L123">
        <v>14</v>
      </c>
    </row>
    <row r="124" spans="1:12" x14ac:dyDescent="0.2">
      <c r="A124">
        <v>35</v>
      </c>
      <c r="B124">
        <v>12</v>
      </c>
      <c r="C124">
        <v>350</v>
      </c>
      <c r="D124" t="s">
        <v>7354</v>
      </c>
      <c r="E124">
        <v>64</v>
      </c>
      <c r="F124" t="s">
        <v>7165</v>
      </c>
      <c r="G124">
        <v>18</v>
      </c>
      <c r="H124">
        <f t="shared" si="2"/>
        <v>28.125</v>
      </c>
      <c r="I124">
        <f t="shared" si="3"/>
        <v>18.285714285714285</v>
      </c>
      <c r="J124" t="s">
        <v>7164</v>
      </c>
      <c r="K124">
        <v>40</v>
      </c>
      <c r="L124">
        <v>14</v>
      </c>
    </row>
    <row r="125" spans="1:12" x14ac:dyDescent="0.2">
      <c r="A125">
        <v>60</v>
      </c>
      <c r="B125">
        <v>12</v>
      </c>
      <c r="C125">
        <v>350</v>
      </c>
      <c r="D125" t="s">
        <v>7355</v>
      </c>
      <c r="E125">
        <v>20</v>
      </c>
      <c r="F125" t="s">
        <v>7165</v>
      </c>
      <c r="G125">
        <v>15</v>
      </c>
      <c r="H125">
        <f t="shared" si="2"/>
        <v>75</v>
      </c>
      <c r="I125">
        <f t="shared" si="3"/>
        <v>5.7142857142857144</v>
      </c>
      <c r="J125" t="s">
        <v>7164</v>
      </c>
      <c r="K125">
        <v>65</v>
      </c>
      <c r="L125">
        <v>14</v>
      </c>
    </row>
    <row r="126" spans="1:12" x14ac:dyDescent="0.2">
      <c r="A126">
        <v>85</v>
      </c>
      <c r="B126">
        <v>12</v>
      </c>
      <c r="C126">
        <v>350</v>
      </c>
      <c r="D126" t="s">
        <v>7356</v>
      </c>
      <c r="E126">
        <v>23</v>
      </c>
      <c r="F126" t="s">
        <v>7165</v>
      </c>
      <c r="G126">
        <v>15</v>
      </c>
      <c r="H126">
        <f t="shared" si="2"/>
        <v>65.217391304347828</v>
      </c>
      <c r="I126">
        <f t="shared" si="3"/>
        <v>6.5714285714285712</v>
      </c>
      <c r="J126" t="s">
        <v>7164</v>
      </c>
      <c r="K126">
        <v>90</v>
      </c>
      <c r="L126">
        <v>14</v>
      </c>
    </row>
    <row r="127" spans="1:12" x14ac:dyDescent="0.2">
      <c r="A127">
        <v>110</v>
      </c>
      <c r="B127">
        <v>12</v>
      </c>
      <c r="C127">
        <v>350</v>
      </c>
      <c r="D127" t="s">
        <v>7357</v>
      </c>
      <c r="E127">
        <v>105</v>
      </c>
      <c r="F127" t="s">
        <v>7165</v>
      </c>
      <c r="G127">
        <v>52</v>
      </c>
      <c r="H127">
        <f t="shared" si="2"/>
        <v>49.523809523809526</v>
      </c>
      <c r="I127">
        <f t="shared" si="3"/>
        <v>30</v>
      </c>
      <c r="J127" t="s">
        <v>7164</v>
      </c>
      <c r="K127">
        <v>115</v>
      </c>
      <c r="L127">
        <v>14</v>
      </c>
    </row>
    <row r="128" spans="1:12" x14ac:dyDescent="0.2">
      <c r="A128">
        <v>135</v>
      </c>
      <c r="B128">
        <v>12</v>
      </c>
      <c r="C128">
        <v>350</v>
      </c>
      <c r="D128" t="s">
        <v>7358</v>
      </c>
      <c r="E128">
        <v>113</v>
      </c>
      <c r="F128" t="s">
        <v>7165</v>
      </c>
      <c r="G128">
        <v>63</v>
      </c>
      <c r="H128">
        <f t="shared" si="2"/>
        <v>55.752212389380531</v>
      </c>
      <c r="I128">
        <f t="shared" si="3"/>
        <v>32.285714285714285</v>
      </c>
      <c r="J128" t="s">
        <v>7164</v>
      </c>
      <c r="K128">
        <v>140</v>
      </c>
      <c r="L128">
        <v>14</v>
      </c>
    </row>
    <row r="129" spans="1:12" x14ac:dyDescent="0.2">
      <c r="A129">
        <v>160</v>
      </c>
      <c r="B129">
        <v>12</v>
      </c>
      <c r="C129">
        <v>350</v>
      </c>
      <c r="D129" t="s">
        <v>7359</v>
      </c>
      <c r="E129">
        <v>1</v>
      </c>
      <c r="F129" t="s">
        <v>7165</v>
      </c>
      <c r="G129">
        <v>1</v>
      </c>
      <c r="H129">
        <f t="shared" si="2"/>
        <v>100</v>
      </c>
      <c r="I129">
        <f t="shared" si="3"/>
        <v>0.2857142857142857</v>
      </c>
      <c r="J129" t="s">
        <v>7164</v>
      </c>
      <c r="K129">
        <v>165</v>
      </c>
      <c r="L129">
        <v>14</v>
      </c>
    </row>
    <row r="130" spans="1:12" x14ac:dyDescent="0.2">
      <c r="A130">
        <v>185</v>
      </c>
      <c r="B130">
        <v>12</v>
      </c>
      <c r="C130">
        <v>350</v>
      </c>
      <c r="D130" t="s">
        <v>7360</v>
      </c>
      <c r="E130">
        <v>8</v>
      </c>
      <c r="F130" t="s">
        <v>7165</v>
      </c>
      <c r="G130">
        <v>7</v>
      </c>
      <c r="H130">
        <f t="shared" si="2"/>
        <v>87.5</v>
      </c>
      <c r="I130">
        <f t="shared" si="3"/>
        <v>2.2857142857142856</v>
      </c>
      <c r="J130" t="s">
        <v>7164</v>
      </c>
      <c r="K130">
        <v>190</v>
      </c>
      <c r="L130">
        <v>14</v>
      </c>
    </row>
    <row r="131" spans="1:12" x14ac:dyDescent="0.2">
      <c r="A131">
        <v>210</v>
      </c>
      <c r="B131">
        <v>12</v>
      </c>
      <c r="C131">
        <v>350</v>
      </c>
      <c r="D131" t="s">
        <v>7361</v>
      </c>
      <c r="E131">
        <v>3</v>
      </c>
      <c r="F131" t="s">
        <v>7165</v>
      </c>
      <c r="G131">
        <v>2</v>
      </c>
      <c r="H131">
        <f t="shared" ref="H131:H193" si="4">G131/E131*100</f>
        <v>66.666666666666657</v>
      </c>
      <c r="I131">
        <f t="shared" si="3"/>
        <v>0.85714285714285721</v>
      </c>
      <c r="J131" t="s">
        <v>7164</v>
      </c>
      <c r="K131">
        <v>215</v>
      </c>
      <c r="L131">
        <v>14</v>
      </c>
    </row>
    <row r="132" spans="1:12" x14ac:dyDescent="0.2">
      <c r="A132">
        <v>235</v>
      </c>
      <c r="B132">
        <v>12</v>
      </c>
      <c r="C132">
        <v>350</v>
      </c>
      <c r="D132" t="s">
        <v>7362</v>
      </c>
      <c r="E132">
        <v>14</v>
      </c>
      <c r="F132" t="s">
        <v>7165</v>
      </c>
      <c r="G132">
        <v>0</v>
      </c>
      <c r="H132">
        <f t="shared" si="4"/>
        <v>0</v>
      </c>
      <c r="I132">
        <f t="shared" ref="I132:I193" si="5">E132/C132*100</f>
        <v>4</v>
      </c>
      <c r="J132" t="s">
        <v>7164</v>
      </c>
      <c r="K132">
        <v>240</v>
      </c>
      <c r="L132">
        <v>14</v>
      </c>
    </row>
    <row r="133" spans="1:12" x14ac:dyDescent="0.2">
      <c r="A133">
        <v>260</v>
      </c>
      <c r="B133">
        <v>12</v>
      </c>
      <c r="C133">
        <v>350</v>
      </c>
      <c r="D133" t="s">
        <v>7363</v>
      </c>
      <c r="E133">
        <v>1</v>
      </c>
      <c r="F133" t="s">
        <v>7165</v>
      </c>
      <c r="G133">
        <v>0</v>
      </c>
      <c r="H133">
        <f t="shared" si="4"/>
        <v>0</v>
      </c>
      <c r="I133">
        <f t="shared" si="5"/>
        <v>0.2857142857142857</v>
      </c>
      <c r="J133" t="s">
        <v>7164</v>
      </c>
      <c r="K133">
        <v>265</v>
      </c>
      <c r="L133">
        <v>14</v>
      </c>
    </row>
    <row r="134" spans="1:12" x14ac:dyDescent="0.2">
      <c r="A134">
        <v>5</v>
      </c>
      <c r="B134">
        <v>12</v>
      </c>
      <c r="C134">
        <v>350</v>
      </c>
      <c r="D134" t="s">
        <v>7353</v>
      </c>
      <c r="E134">
        <v>93</v>
      </c>
      <c r="F134" t="s">
        <v>7172</v>
      </c>
      <c r="G134">
        <v>8</v>
      </c>
      <c r="H134">
        <f t="shared" si="4"/>
        <v>8.6021505376344098</v>
      </c>
      <c r="I134">
        <f t="shared" si="5"/>
        <v>26.571428571428573</v>
      </c>
      <c r="J134" t="s">
        <v>7164</v>
      </c>
      <c r="K134">
        <v>5</v>
      </c>
      <c r="L134">
        <v>14</v>
      </c>
    </row>
    <row r="135" spans="1:12" x14ac:dyDescent="0.2">
      <c r="A135">
        <v>35</v>
      </c>
      <c r="B135">
        <v>12</v>
      </c>
      <c r="C135">
        <v>350</v>
      </c>
      <c r="D135" t="s">
        <v>7354</v>
      </c>
      <c r="E135">
        <v>64</v>
      </c>
      <c r="F135" t="s">
        <v>7172</v>
      </c>
      <c r="G135">
        <v>0</v>
      </c>
      <c r="H135">
        <f t="shared" si="4"/>
        <v>0</v>
      </c>
      <c r="I135">
        <f t="shared" si="5"/>
        <v>18.285714285714285</v>
      </c>
      <c r="J135" t="s">
        <v>7164</v>
      </c>
      <c r="K135">
        <v>40</v>
      </c>
      <c r="L135">
        <v>14</v>
      </c>
    </row>
    <row r="136" spans="1:12" x14ac:dyDescent="0.2">
      <c r="A136">
        <v>60</v>
      </c>
      <c r="B136">
        <v>12</v>
      </c>
      <c r="C136">
        <v>350</v>
      </c>
      <c r="D136" t="s">
        <v>7355</v>
      </c>
      <c r="E136">
        <v>20</v>
      </c>
      <c r="F136" t="s">
        <v>7172</v>
      </c>
      <c r="G136">
        <v>0</v>
      </c>
      <c r="H136">
        <f t="shared" si="4"/>
        <v>0</v>
      </c>
      <c r="I136">
        <f t="shared" si="5"/>
        <v>5.7142857142857144</v>
      </c>
      <c r="J136" t="s">
        <v>7164</v>
      </c>
      <c r="K136">
        <v>65</v>
      </c>
      <c r="L136">
        <v>14</v>
      </c>
    </row>
    <row r="137" spans="1:12" x14ac:dyDescent="0.2">
      <c r="A137">
        <v>85</v>
      </c>
      <c r="B137">
        <v>12</v>
      </c>
      <c r="C137">
        <v>350</v>
      </c>
      <c r="D137" t="s">
        <v>7356</v>
      </c>
      <c r="E137">
        <v>23</v>
      </c>
      <c r="F137" t="s">
        <v>7172</v>
      </c>
      <c r="G137">
        <v>0</v>
      </c>
      <c r="H137">
        <f t="shared" si="4"/>
        <v>0</v>
      </c>
      <c r="I137">
        <f t="shared" si="5"/>
        <v>6.5714285714285712</v>
      </c>
      <c r="J137" t="s">
        <v>7164</v>
      </c>
      <c r="K137">
        <v>90</v>
      </c>
      <c r="L137">
        <v>14</v>
      </c>
    </row>
    <row r="138" spans="1:12" x14ac:dyDescent="0.2">
      <c r="A138">
        <v>110</v>
      </c>
      <c r="B138">
        <v>12</v>
      </c>
      <c r="C138">
        <v>350</v>
      </c>
      <c r="D138" t="s">
        <v>7357</v>
      </c>
      <c r="E138">
        <v>105</v>
      </c>
      <c r="F138" t="s">
        <v>7172</v>
      </c>
      <c r="G138">
        <v>28</v>
      </c>
      <c r="H138">
        <f t="shared" si="4"/>
        <v>26.666666666666668</v>
      </c>
      <c r="I138">
        <f t="shared" si="5"/>
        <v>30</v>
      </c>
      <c r="J138" t="s">
        <v>7164</v>
      </c>
      <c r="K138">
        <v>115</v>
      </c>
      <c r="L138">
        <v>14</v>
      </c>
    </row>
    <row r="139" spans="1:12" x14ac:dyDescent="0.2">
      <c r="A139">
        <v>135</v>
      </c>
      <c r="B139">
        <v>12</v>
      </c>
      <c r="C139">
        <v>350</v>
      </c>
      <c r="D139" t="s">
        <v>7358</v>
      </c>
      <c r="E139">
        <v>113</v>
      </c>
      <c r="F139" t="s">
        <v>7172</v>
      </c>
      <c r="G139">
        <v>23</v>
      </c>
      <c r="H139">
        <f t="shared" si="4"/>
        <v>20.353982300884958</v>
      </c>
      <c r="I139">
        <f t="shared" si="5"/>
        <v>32.285714285714285</v>
      </c>
      <c r="J139" t="s">
        <v>7164</v>
      </c>
      <c r="K139">
        <v>140</v>
      </c>
      <c r="L139">
        <v>14</v>
      </c>
    </row>
    <row r="140" spans="1:12" x14ac:dyDescent="0.2">
      <c r="A140">
        <v>160</v>
      </c>
      <c r="B140">
        <v>12</v>
      </c>
      <c r="C140">
        <v>350</v>
      </c>
      <c r="D140" t="s">
        <v>7359</v>
      </c>
      <c r="E140">
        <v>1</v>
      </c>
      <c r="F140" t="s">
        <v>7172</v>
      </c>
      <c r="G140">
        <v>0</v>
      </c>
      <c r="H140">
        <f t="shared" si="4"/>
        <v>0</v>
      </c>
      <c r="I140">
        <f t="shared" si="5"/>
        <v>0.2857142857142857</v>
      </c>
      <c r="J140" t="s">
        <v>7164</v>
      </c>
      <c r="K140">
        <v>165</v>
      </c>
      <c r="L140">
        <v>14</v>
      </c>
    </row>
    <row r="141" spans="1:12" x14ac:dyDescent="0.2">
      <c r="A141">
        <v>185</v>
      </c>
      <c r="B141">
        <v>12</v>
      </c>
      <c r="C141">
        <v>350</v>
      </c>
      <c r="D141" t="s">
        <v>7360</v>
      </c>
      <c r="E141">
        <v>8</v>
      </c>
      <c r="F141" t="s">
        <v>7172</v>
      </c>
      <c r="G141">
        <v>1</v>
      </c>
      <c r="H141">
        <f t="shared" si="4"/>
        <v>12.5</v>
      </c>
      <c r="I141">
        <f t="shared" si="5"/>
        <v>2.2857142857142856</v>
      </c>
      <c r="J141" t="s">
        <v>7164</v>
      </c>
      <c r="K141">
        <v>190</v>
      </c>
      <c r="L141">
        <v>14</v>
      </c>
    </row>
    <row r="142" spans="1:12" x14ac:dyDescent="0.2">
      <c r="A142">
        <v>210</v>
      </c>
      <c r="B142">
        <v>12</v>
      </c>
      <c r="C142">
        <v>350</v>
      </c>
      <c r="D142" t="s">
        <v>7361</v>
      </c>
      <c r="E142">
        <v>3</v>
      </c>
      <c r="F142" t="s">
        <v>7172</v>
      </c>
      <c r="G142">
        <v>0</v>
      </c>
      <c r="H142">
        <f t="shared" si="4"/>
        <v>0</v>
      </c>
      <c r="I142">
        <f t="shared" si="5"/>
        <v>0.85714285714285721</v>
      </c>
      <c r="J142" t="s">
        <v>7164</v>
      </c>
      <c r="K142">
        <v>215</v>
      </c>
      <c r="L142">
        <v>14</v>
      </c>
    </row>
    <row r="143" spans="1:12" x14ac:dyDescent="0.2">
      <c r="A143">
        <v>235</v>
      </c>
      <c r="B143">
        <v>12</v>
      </c>
      <c r="C143">
        <v>350</v>
      </c>
      <c r="D143" t="s">
        <v>7362</v>
      </c>
      <c r="E143">
        <v>14</v>
      </c>
      <c r="F143" t="s">
        <v>7172</v>
      </c>
      <c r="G143">
        <v>12</v>
      </c>
      <c r="H143">
        <f t="shared" si="4"/>
        <v>85.714285714285708</v>
      </c>
      <c r="I143">
        <f t="shared" si="5"/>
        <v>4</v>
      </c>
      <c r="J143" t="s">
        <v>7164</v>
      </c>
      <c r="K143">
        <v>240</v>
      </c>
      <c r="L143">
        <v>14</v>
      </c>
    </row>
    <row r="144" spans="1:12" x14ac:dyDescent="0.2">
      <c r="A144">
        <v>260</v>
      </c>
      <c r="B144">
        <v>12</v>
      </c>
      <c r="C144">
        <v>350</v>
      </c>
      <c r="D144" t="s">
        <v>7363</v>
      </c>
      <c r="E144">
        <v>1</v>
      </c>
      <c r="F144" t="s">
        <v>7172</v>
      </c>
      <c r="G144">
        <v>0</v>
      </c>
      <c r="H144">
        <f t="shared" si="4"/>
        <v>0</v>
      </c>
      <c r="I144">
        <f t="shared" si="5"/>
        <v>0.2857142857142857</v>
      </c>
      <c r="J144" t="s">
        <v>7164</v>
      </c>
      <c r="K144">
        <v>265</v>
      </c>
      <c r="L144">
        <v>14</v>
      </c>
    </row>
    <row r="145" spans="1:12" x14ac:dyDescent="0.2">
      <c r="A145">
        <v>5</v>
      </c>
      <c r="B145">
        <v>12</v>
      </c>
      <c r="C145">
        <v>350</v>
      </c>
      <c r="D145" t="s">
        <v>7353</v>
      </c>
      <c r="E145">
        <v>93</v>
      </c>
      <c r="F145" t="s">
        <v>7169</v>
      </c>
      <c r="G145">
        <v>4</v>
      </c>
      <c r="H145">
        <f t="shared" si="4"/>
        <v>4.3010752688172049</v>
      </c>
      <c r="I145">
        <f t="shared" si="5"/>
        <v>26.571428571428573</v>
      </c>
      <c r="J145" t="s">
        <v>7164</v>
      </c>
      <c r="K145">
        <v>5</v>
      </c>
      <c r="L145">
        <v>14</v>
      </c>
    </row>
    <row r="146" spans="1:12" x14ac:dyDescent="0.2">
      <c r="A146">
        <v>35</v>
      </c>
      <c r="B146">
        <v>12</v>
      </c>
      <c r="C146">
        <v>350</v>
      </c>
      <c r="D146" t="s">
        <v>7354</v>
      </c>
      <c r="E146">
        <v>64</v>
      </c>
      <c r="F146" t="s">
        <v>7169</v>
      </c>
      <c r="G146">
        <v>13</v>
      </c>
      <c r="H146">
        <f t="shared" si="4"/>
        <v>20.3125</v>
      </c>
      <c r="I146">
        <f t="shared" si="5"/>
        <v>18.285714285714285</v>
      </c>
      <c r="J146" t="s">
        <v>7164</v>
      </c>
      <c r="K146">
        <v>40</v>
      </c>
      <c r="L146">
        <v>14</v>
      </c>
    </row>
    <row r="147" spans="1:12" x14ac:dyDescent="0.2">
      <c r="A147">
        <v>60</v>
      </c>
      <c r="B147">
        <v>12</v>
      </c>
      <c r="C147">
        <v>350</v>
      </c>
      <c r="D147" t="s">
        <v>7355</v>
      </c>
      <c r="E147">
        <v>20</v>
      </c>
      <c r="F147" t="s">
        <v>7169</v>
      </c>
      <c r="G147">
        <v>0</v>
      </c>
      <c r="H147">
        <f t="shared" si="4"/>
        <v>0</v>
      </c>
      <c r="I147">
        <f t="shared" si="5"/>
        <v>5.7142857142857144</v>
      </c>
      <c r="J147" t="s">
        <v>7164</v>
      </c>
      <c r="K147">
        <v>65</v>
      </c>
      <c r="L147">
        <v>14</v>
      </c>
    </row>
    <row r="148" spans="1:12" x14ac:dyDescent="0.2">
      <c r="A148">
        <v>85</v>
      </c>
      <c r="B148">
        <v>12</v>
      </c>
      <c r="C148">
        <v>350</v>
      </c>
      <c r="D148" t="s">
        <v>7356</v>
      </c>
      <c r="E148">
        <v>23</v>
      </c>
      <c r="F148" t="s">
        <v>7169</v>
      </c>
      <c r="G148">
        <v>3</v>
      </c>
      <c r="H148">
        <f t="shared" si="4"/>
        <v>13.043478260869565</v>
      </c>
      <c r="I148">
        <f t="shared" si="5"/>
        <v>6.5714285714285712</v>
      </c>
      <c r="J148" t="s">
        <v>7164</v>
      </c>
      <c r="K148">
        <v>90</v>
      </c>
      <c r="L148">
        <v>14</v>
      </c>
    </row>
    <row r="149" spans="1:12" x14ac:dyDescent="0.2">
      <c r="A149">
        <v>110</v>
      </c>
      <c r="B149">
        <v>12</v>
      </c>
      <c r="C149">
        <v>350</v>
      </c>
      <c r="D149" t="s">
        <v>7357</v>
      </c>
      <c r="E149">
        <v>105</v>
      </c>
      <c r="F149" t="s">
        <v>7169</v>
      </c>
      <c r="G149">
        <v>0</v>
      </c>
      <c r="H149">
        <f t="shared" si="4"/>
        <v>0</v>
      </c>
      <c r="I149">
        <f t="shared" si="5"/>
        <v>30</v>
      </c>
      <c r="J149" t="s">
        <v>7164</v>
      </c>
      <c r="K149">
        <v>115</v>
      </c>
      <c r="L149">
        <v>14</v>
      </c>
    </row>
    <row r="150" spans="1:12" x14ac:dyDescent="0.2">
      <c r="A150">
        <v>135</v>
      </c>
      <c r="B150">
        <v>12</v>
      </c>
      <c r="C150">
        <v>350</v>
      </c>
      <c r="D150" t="s">
        <v>7358</v>
      </c>
      <c r="E150">
        <v>113</v>
      </c>
      <c r="F150" t="s">
        <v>7169</v>
      </c>
      <c r="G150">
        <v>0</v>
      </c>
      <c r="H150">
        <f t="shared" si="4"/>
        <v>0</v>
      </c>
      <c r="I150">
        <f t="shared" si="5"/>
        <v>32.285714285714285</v>
      </c>
      <c r="J150" t="s">
        <v>7164</v>
      </c>
      <c r="K150">
        <v>140</v>
      </c>
      <c r="L150">
        <v>14</v>
      </c>
    </row>
    <row r="151" spans="1:12" x14ac:dyDescent="0.2">
      <c r="A151">
        <v>160</v>
      </c>
      <c r="B151">
        <v>12</v>
      </c>
      <c r="C151">
        <v>350</v>
      </c>
      <c r="D151" t="s">
        <v>7359</v>
      </c>
      <c r="E151">
        <v>1</v>
      </c>
      <c r="F151" t="s">
        <v>7169</v>
      </c>
      <c r="G151">
        <v>0</v>
      </c>
      <c r="H151">
        <f t="shared" si="4"/>
        <v>0</v>
      </c>
      <c r="I151">
        <f t="shared" si="5"/>
        <v>0.2857142857142857</v>
      </c>
      <c r="J151" t="s">
        <v>7164</v>
      </c>
      <c r="K151">
        <v>165</v>
      </c>
      <c r="L151">
        <v>14</v>
      </c>
    </row>
    <row r="152" spans="1:12" x14ac:dyDescent="0.2">
      <c r="A152">
        <v>185</v>
      </c>
      <c r="B152">
        <v>12</v>
      </c>
      <c r="C152">
        <v>350</v>
      </c>
      <c r="D152" t="s">
        <v>7360</v>
      </c>
      <c r="E152">
        <v>8</v>
      </c>
      <c r="F152" t="s">
        <v>7169</v>
      </c>
      <c r="G152">
        <v>0</v>
      </c>
      <c r="H152">
        <f t="shared" si="4"/>
        <v>0</v>
      </c>
      <c r="I152">
        <f t="shared" si="5"/>
        <v>2.2857142857142856</v>
      </c>
      <c r="J152" t="s">
        <v>7164</v>
      </c>
      <c r="K152">
        <v>190</v>
      </c>
      <c r="L152">
        <v>14</v>
      </c>
    </row>
    <row r="153" spans="1:12" x14ac:dyDescent="0.2">
      <c r="A153">
        <v>210</v>
      </c>
      <c r="B153">
        <v>12</v>
      </c>
      <c r="C153">
        <v>350</v>
      </c>
      <c r="D153" t="s">
        <v>7361</v>
      </c>
      <c r="E153">
        <v>3</v>
      </c>
      <c r="F153" t="s">
        <v>7169</v>
      </c>
      <c r="G153">
        <v>0</v>
      </c>
      <c r="H153">
        <f t="shared" si="4"/>
        <v>0</v>
      </c>
      <c r="I153">
        <f t="shared" si="5"/>
        <v>0.85714285714285721</v>
      </c>
      <c r="J153" t="s">
        <v>7164</v>
      </c>
      <c r="K153">
        <v>215</v>
      </c>
      <c r="L153">
        <v>14</v>
      </c>
    </row>
    <row r="154" spans="1:12" x14ac:dyDescent="0.2">
      <c r="A154">
        <v>235</v>
      </c>
      <c r="B154">
        <v>12</v>
      </c>
      <c r="C154">
        <v>350</v>
      </c>
      <c r="D154" t="s">
        <v>7362</v>
      </c>
      <c r="E154">
        <v>14</v>
      </c>
      <c r="F154" t="s">
        <v>7169</v>
      </c>
      <c r="G154">
        <v>0</v>
      </c>
      <c r="H154">
        <f t="shared" si="4"/>
        <v>0</v>
      </c>
      <c r="I154">
        <f t="shared" si="5"/>
        <v>4</v>
      </c>
      <c r="J154" t="s">
        <v>7164</v>
      </c>
      <c r="K154">
        <v>240</v>
      </c>
      <c r="L154">
        <v>14</v>
      </c>
    </row>
    <row r="155" spans="1:12" x14ac:dyDescent="0.2">
      <c r="A155">
        <v>260</v>
      </c>
      <c r="B155">
        <v>12</v>
      </c>
      <c r="C155">
        <v>350</v>
      </c>
      <c r="D155" t="s">
        <v>7363</v>
      </c>
      <c r="E155">
        <v>1</v>
      </c>
      <c r="F155" t="s">
        <v>7169</v>
      </c>
      <c r="G155">
        <v>1</v>
      </c>
      <c r="H155">
        <f t="shared" si="4"/>
        <v>100</v>
      </c>
      <c r="I155">
        <f t="shared" si="5"/>
        <v>0.2857142857142857</v>
      </c>
      <c r="J155" t="s">
        <v>7164</v>
      </c>
      <c r="K155">
        <v>265</v>
      </c>
      <c r="L155">
        <v>14</v>
      </c>
    </row>
    <row r="156" spans="1:12" x14ac:dyDescent="0.2">
      <c r="A156">
        <v>5</v>
      </c>
      <c r="B156">
        <v>12</v>
      </c>
      <c r="C156">
        <v>350</v>
      </c>
      <c r="D156" t="s">
        <v>7353</v>
      </c>
      <c r="E156">
        <v>93</v>
      </c>
      <c r="F156" t="s">
        <v>7162</v>
      </c>
      <c r="G156">
        <v>15</v>
      </c>
      <c r="H156">
        <f t="shared" si="4"/>
        <v>16.129032258064516</v>
      </c>
      <c r="I156">
        <f t="shared" si="5"/>
        <v>26.571428571428573</v>
      </c>
      <c r="J156" t="s">
        <v>7164</v>
      </c>
      <c r="K156">
        <v>5</v>
      </c>
      <c r="L156">
        <v>14</v>
      </c>
    </row>
    <row r="157" spans="1:12" x14ac:dyDescent="0.2">
      <c r="A157">
        <v>35</v>
      </c>
      <c r="B157">
        <v>12</v>
      </c>
      <c r="C157">
        <v>350</v>
      </c>
      <c r="D157" t="s">
        <v>7354</v>
      </c>
      <c r="E157">
        <v>64</v>
      </c>
      <c r="F157" t="s">
        <v>7162</v>
      </c>
      <c r="G157">
        <v>8</v>
      </c>
      <c r="H157">
        <f t="shared" si="4"/>
        <v>12.5</v>
      </c>
      <c r="I157">
        <f t="shared" si="5"/>
        <v>18.285714285714285</v>
      </c>
      <c r="J157" t="s">
        <v>7164</v>
      </c>
      <c r="K157">
        <v>40</v>
      </c>
      <c r="L157">
        <v>14</v>
      </c>
    </row>
    <row r="158" spans="1:12" x14ac:dyDescent="0.2">
      <c r="A158">
        <v>60</v>
      </c>
      <c r="B158">
        <v>12</v>
      </c>
      <c r="C158">
        <v>350</v>
      </c>
      <c r="D158" t="s">
        <v>7355</v>
      </c>
      <c r="E158">
        <v>20</v>
      </c>
      <c r="F158" t="s">
        <v>7162</v>
      </c>
      <c r="G158">
        <v>2</v>
      </c>
      <c r="H158">
        <f t="shared" si="4"/>
        <v>10</v>
      </c>
      <c r="I158">
        <f t="shared" si="5"/>
        <v>5.7142857142857144</v>
      </c>
      <c r="J158" t="s">
        <v>7164</v>
      </c>
      <c r="K158">
        <v>65</v>
      </c>
      <c r="L158">
        <v>14</v>
      </c>
    </row>
    <row r="159" spans="1:12" x14ac:dyDescent="0.2">
      <c r="A159">
        <v>85</v>
      </c>
      <c r="B159">
        <v>12</v>
      </c>
      <c r="C159">
        <v>350</v>
      </c>
      <c r="D159" t="s">
        <v>7356</v>
      </c>
      <c r="E159">
        <v>23</v>
      </c>
      <c r="F159" t="s">
        <v>7162</v>
      </c>
      <c r="G159">
        <v>4</v>
      </c>
      <c r="H159">
        <f t="shared" si="4"/>
        <v>17.391304347826086</v>
      </c>
      <c r="I159">
        <f t="shared" si="5"/>
        <v>6.5714285714285712</v>
      </c>
      <c r="J159" t="s">
        <v>7164</v>
      </c>
      <c r="K159">
        <v>90</v>
      </c>
      <c r="L159">
        <v>14</v>
      </c>
    </row>
    <row r="160" spans="1:12" x14ac:dyDescent="0.2">
      <c r="A160">
        <v>110</v>
      </c>
      <c r="B160">
        <v>12</v>
      </c>
      <c r="C160">
        <v>350</v>
      </c>
      <c r="D160" t="s">
        <v>7357</v>
      </c>
      <c r="E160">
        <v>105</v>
      </c>
      <c r="F160" t="s">
        <v>7162</v>
      </c>
      <c r="G160">
        <v>24</v>
      </c>
      <c r="H160">
        <f t="shared" si="4"/>
        <v>22.857142857142858</v>
      </c>
      <c r="I160">
        <f t="shared" si="5"/>
        <v>30</v>
      </c>
      <c r="J160" t="s">
        <v>7164</v>
      </c>
      <c r="K160">
        <v>115</v>
      </c>
      <c r="L160">
        <v>14</v>
      </c>
    </row>
    <row r="161" spans="1:12" x14ac:dyDescent="0.2">
      <c r="A161">
        <v>135</v>
      </c>
      <c r="B161">
        <v>12</v>
      </c>
      <c r="C161">
        <v>350</v>
      </c>
      <c r="D161" t="s">
        <v>7358</v>
      </c>
      <c r="E161">
        <v>113</v>
      </c>
      <c r="F161" t="s">
        <v>7162</v>
      </c>
      <c r="G161">
        <v>27</v>
      </c>
      <c r="H161">
        <f t="shared" si="4"/>
        <v>23.893805309734514</v>
      </c>
      <c r="I161">
        <f t="shared" si="5"/>
        <v>32.285714285714285</v>
      </c>
      <c r="J161" t="s">
        <v>7164</v>
      </c>
      <c r="K161">
        <v>140</v>
      </c>
      <c r="L161">
        <v>14</v>
      </c>
    </row>
    <row r="162" spans="1:12" x14ac:dyDescent="0.2">
      <c r="A162">
        <v>160</v>
      </c>
      <c r="B162">
        <v>12</v>
      </c>
      <c r="C162">
        <v>350</v>
      </c>
      <c r="D162" t="s">
        <v>7359</v>
      </c>
      <c r="E162">
        <v>1</v>
      </c>
      <c r="F162" t="s">
        <v>7162</v>
      </c>
      <c r="G162">
        <v>0</v>
      </c>
      <c r="H162">
        <f t="shared" si="4"/>
        <v>0</v>
      </c>
      <c r="I162">
        <f t="shared" si="5"/>
        <v>0.2857142857142857</v>
      </c>
      <c r="J162" t="s">
        <v>7164</v>
      </c>
      <c r="K162">
        <v>165</v>
      </c>
      <c r="L162">
        <v>14</v>
      </c>
    </row>
    <row r="163" spans="1:12" x14ac:dyDescent="0.2">
      <c r="A163">
        <v>185</v>
      </c>
      <c r="B163">
        <v>12</v>
      </c>
      <c r="C163">
        <v>350</v>
      </c>
      <c r="D163" t="s">
        <v>7360</v>
      </c>
      <c r="E163">
        <v>8</v>
      </c>
      <c r="F163" t="s">
        <v>7162</v>
      </c>
      <c r="G163">
        <v>0</v>
      </c>
      <c r="H163">
        <f t="shared" si="4"/>
        <v>0</v>
      </c>
      <c r="I163">
        <f t="shared" si="5"/>
        <v>2.2857142857142856</v>
      </c>
      <c r="J163" t="s">
        <v>7164</v>
      </c>
      <c r="K163">
        <v>190</v>
      </c>
      <c r="L163">
        <v>14</v>
      </c>
    </row>
    <row r="164" spans="1:12" x14ac:dyDescent="0.2">
      <c r="A164">
        <v>210</v>
      </c>
      <c r="B164">
        <v>12</v>
      </c>
      <c r="C164">
        <v>350</v>
      </c>
      <c r="D164" t="s">
        <v>7361</v>
      </c>
      <c r="E164">
        <v>3</v>
      </c>
      <c r="F164" t="s">
        <v>7162</v>
      </c>
      <c r="G164">
        <v>1</v>
      </c>
      <c r="H164">
        <f t="shared" si="4"/>
        <v>33.333333333333329</v>
      </c>
      <c r="I164">
        <f t="shared" si="5"/>
        <v>0.85714285714285721</v>
      </c>
      <c r="J164" t="s">
        <v>7164</v>
      </c>
      <c r="K164">
        <v>215</v>
      </c>
      <c r="L164">
        <v>14</v>
      </c>
    </row>
    <row r="165" spans="1:12" x14ac:dyDescent="0.2">
      <c r="A165">
        <v>235</v>
      </c>
      <c r="B165">
        <v>12</v>
      </c>
      <c r="C165">
        <v>350</v>
      </c>
      <c r="D165" t="s">
        <v>7362</v>
      </c>
      <c r="E165">
        <v>14</v>
      </c>
      <c r="F165" t="s">
        <v>7162</v>
      </c>
      <c r="G165">
        <v>2</v>
      </c>
      <c r="H165">
        <f t="shared" si="4"/>
        <v>14.285714285714285</v>
      </c>
      <c r="I165">
        <f t="shared" si="5"/>
        <v>4</v>
      </c>
      <c r="J165" t="s">
        <v>7164</v>
      </c>
      <c r="K165">
        <v>240</v>
      </c>
      <c r="L165">
        <v>14</v>
      </c>
    </row>
    <row r="166" spans="1:12" x14ac:dyDescent="0.2">
      <c r="A166">
        <v>260</v>
      </c>
      <c r="B166">
        <v>12</v>
      </c>
      <c r="C166">
        <v>350</v>
      </c>
      <c r="D166" t="s">
        <v>7363</v>
      </c>
      <c r="E166">
        <v>1</v>
      </c>
      <c r="F166" t="s">
        <v>7162</v>
      </c>
      <c r="G166">
        <v>0</v>
      </c>
      <c r="H166">
        <f t="shared" si="4"/>
        <v>0</v>
      </c>
      <c r="I166">
        <f t="shared" si="5"/>
        <v>0.2857142857142857</v>
      </c>
      <c r="J166" t="s">
        <v>7164</v>
      </c>
      <c r="K166">
        <v>265</v>
      </c>
      <c r="L166">
        <v>14</v>
      </c>
    </row>
    <row r="167" spans="1:12" x14ac:dyDescent="0.2">
      <c r="A167">
        <v>5</v>
      </c>
      <c r="B167">
        <v>12</v>
      </c>
      <c r="C167">
        <v>350</v>
      </c>
      <c r="D167" t="s">
        <v>7353</v>
      </c>
      <c r="E167">
        <v>93</v>
      </c>
      <c r="F167" t="s">
        <v>7168</v>
      </c>
      <c r="G167">
        <v>0</v>
      </c>
      <c r="H167">
        <f t="shared" si="4"/>
        <v>0</v>
      </c>
      <c r="I167">
        <f t="shared" si="5"/>
        <v>26.571428571428573</v>
      </c>
      <c r="J167" t="s">
        <v>7164</v>
      </c>
      <c r="K167">
        <v>5</v>
      </c>
      <c r="L167">
        <v>14</v>
      </c>
    </row>
    <row r="168" spans="1:12" x14ac:dyDescent="0.2">
      <c r="A168">
        <v>35</v>
      </c>
      <c r="B168">
        <v>12</v>
      </c>
      <c r="C168">
        <v>350</v>
      </c>
      <c r="D168" t="s">
        <v>7354</v>
      </c>
      <c r="E168">
        <v>64</v>
      </c>
      <c r="F168" t="s">
        <v>7168</v>
      </c>
      <c r="G168">
        <v>2</v>
      </c>
      <c r="H168">
        <f t="shared" si="4"/>
        <v>3.125</v>
      </c>
      <c r="I168">
        <f t="shared" si="5"/>
        <v>18.285714285714285</v>
      </c>
      <c r="J168" t="s">
        <v>7164</v>
      </c>
      <c r="K168">
        <v>40</v>
      </c>
      <c r="L168">
        <v>14</v>
      </c>
    </row>
    <row r="169" spans="1:12" x14ac:dyDescent="0.2">
      <c r="A169">
        <v>60</v>
      </c>
      <c r="B169">
        <v>12</v>
      </c>
      <c r="C169">
        <v>350</v>
      </c>
      <c r="D169" t="s">
        <v>7355</v>
      </c>
      <c r="E169">
        <v>20</v>
      </c>
      <c r="F169" t="s">
        <v>7168</v>
      </c>
      <c r="G169">
        <v>0</v>
      </c>
      <c r="H169">
        <f t="shared" si="4"/>
        <v>0</v>
      </c>
      <c r="I169">
        <f t="shared" si="5"/>
        <v>5.7142857142857144</v>
      </c>
      <c r="J169" t="s">
        <v>7164</v>
      </c>
      <c r="K169">
        <v>65</v>
      </c>
      <c r="L169">
        <v>14</v>
      </c>
    </row>
    <row r="170" spans="1:12" x14ac:dyDescent="0.2">
      <c r="A170">
        <v>85</v>
      </c>
      <c r="B170">
        <v>12</v>
      </c>
      <c r="C170">
        <v>350</v>
      </c>
      <c r="D170" t="s">
        <v>7356</v>
      </c>
      <c r="E170">
        <v>23</v>
      </c>
      <c r="F170" t="s">
        <v>7168</v>
      </c>
      <c r="G170">
        <v>0</v>
      </c>
      <c r="H170">
        <f t="shared" si="4"/>
        <v>0</v>
      </c>
      <c r="I170">
        <f t="shared" si="5"/>
        <v>6.5714285714285712</v>
      </c>
      <c r="J170" t="s">
        <v>7164</v>
      </c>
      <c r="K170">
        <v>90</v>
      </c>
      <c r="L170">
        <v>14</v>
      </c>
    </row>
    <row r="171" spans="1:12" x14ac:dyDescent="0.2">
      <c r="A171">
        <v>110</v>
      </c>
      <c r="B171">
        <v>12</v>
      </c>
      <c r="C171">
        <v>350</v>
      </c>
      <c r="D171" t="s">
        <v>7357</v>
      </c>
      <c r="E171">
        <v>105</v>
      </c>
      <c r="F171" t="s">
        <v>7168</v>
      </c>
      <c r="G171">
        <v>0</v>
      </c>
      <c r="H171">
        <f t="shared" si="4"/>
        <v>0</v>
      </c>
      <c r="I171">
        <f t="shared" si="5"/>
        <v>30</v>
      </c>
      <c r="J171" t="s">
        <v>7164</v>
      </c>
      <c r="K171">
        <v>115</v>
      </c>
      <c r="L171">
        <v>14</v>
      </c>
    </row>
    <row r="172" spans="1:12" x14ac:dyDescent="0.2">
      <c r="A172">
        <v>135</v>
      </c>
      <c r="B172">
        <v>12</v>
      </c>
      <c r="C172">
        <v>350</v>
      </c>
      <c r="D172" t="s">
        <v>7358</v>
      </c>
      <c r="E172">
        <v>113</v>
      </c>
      <c r="F172" t="s">
        <v>7168</v>
      </c>
      <c r="G172">
        <v>0</v>
      </c>
      <c r="H172">
        <f t="shared" si="4"/>
        <v>0</v>
      </c>
      <c r="I172">
        <f t="shared" si="5"/>
        <v>32.285714285714285</v>
      </c>
      <c r="J172" t="s">
        <v>7164</v>
      </c>
      <c r="K172">
        <v>140</v>
      </c>
      <c r="L172">
        <v>14</v>
      </c>
    </row>
    <row r="173" spans="1:12" x14ac:dyDescent="0.2">
      <c r="A173">
        <v>160</v>
      </c>
      <c r="B173">
        <v>12</v>
      </c>
      <c r="C173">
        <v>350</v>
      </c>
      <c r="D173" t="s">
        <v>7359</v>
      </c>
      <c r="E173">
        <v>1</v>
      </c>
      <c r="F173" t="s">
        <v>7168</v>
      </c>
      <c r="G173">
        <v>0</v>
      </c>
      <c r="H173">
        <f t="shared" si="4"/>
        <v>0</v>
      </c>
      <c r="I173">
        <f t="shared" si="5"/>
        <v>0.2857142857142857</v>
      </c>
      <c r="J173" t="s">
        <v>7164</v>
      </c>
      <c r="K173">
        <v>165</v>
      </c>
      <c r="L173">
        <v>14</v>
      </c>
    </row>
    <row r="174" spans="1:12" x14ac:dyDescent="0.2">
      <c r="A174">
        <v>185</v>
      </c>
      <c r="B174">
        <v>12</v>
      </c>
      <c r="C174">
        <v>350</v>
      </c>
      <c r="D174" t="s">
        <v>7360</v>
      </c>
      <c r="E174">
        <v>8</v>
      </c>
      <c r="F174" t="s">
        <v>7168</v>
      </c>
      <c r="G174">
        <v>0</v>
      </c>
      <c r="H174">
        <f t="shared" si="4"/>
        <v>0</v>
      </c>
      <c r="I174">
        <f t="shared" si="5"/>
        <v>2.2857142857142856</v>
      </c>
      <c r="J174" t="s">
        <v>7164</v>
      </c>
      <c r="K174">
        <v>190</v>
      </c>
      <c r="L174">
        <v>14</v>
      </c>
    </row>
    <row r="175" spans="1:12" x14ac:dyDescent="0.2">
      <c r="A175">
        <v>210</v>
      </c>
      <c r="B175">
        <v>12</v>
      </c>
      <c r="C175">
        <v>350</v>
      </c>
      <c r="D175" t="s">
        <v>7361</v>
      </c>
      <c r="E175">
        <v>3</v>
      </c>
      <c r="F175" t="s">
        <v>7168</v>
      </c>
      <c r="G175">
        <v>0</v>
      </c>
      <c r="H175">
        <f t="shared" si="4"/>
        <v>0</v>
      </c>
      <c r="I175">
        <f t="shared" si="5"/>
        <v>0.85714285714285721</v>
      </c>
      <c r="J175" t="s">
        <v>7164</v>
      </c>
      <c r="K175">
        <v>215</v>
      </c>
      <c r="L175">
        <v>14</v>
      </c>
    </row>
    <row r="176" spans="1:12" x14ac:dyDescent="0.2">
      <c r="A176">
        <v>235</v>
      </c>
      <c r="B176">
        <v>12</v>
      </c>
      <c r="C176">
        <v>350</v>
      </c>
      <c r="D176" t="s">
        <v>7362</v>
      </c>
      <c r="E176">
        <v>14</v>
      </c>
      <c r="F176" t="s">
        <v>7168</v>
      </c>
      <c r="G176">
        <v>0</v>
      </c>
      <c r="H176">
        <f t="shared" si="4"/>
        <v>0</v>
      </c>
      <c r="I176">
        <f t="shared" si="5"/>
        <v>4</v>
      </c>
      <c r="J176" t="s">
        <v>7164</v>
      </c>
      <c r="K176">
        <v>240</v>
      </c>
      <c r="L176">
        <v>14</v>
      </c>
    </row>
    <row r="177" spans="1:12" x14ac:dyDescent="0.2">
      <c r="A177">
        <v>260</v>
      </c>
      <c r="B177">
        <v>12</v>
      </c>
      <c r="C177">
        <v>350</v>
      </c>
      <c r="D177" t="s">
        <v>7363</v>
      </c>
      <c r="E177">
        <v>1</v>
      </c>
      <c r="F177" t="s">
        <v>7168</v>
      </c>
      <c r="G177">
        <v>0</v>
      </c>
      <c r="H177">
        <f t="shared" si="4"/>
        <v>0</v>
      </c>
      <c r="I177">
        <f t="shared" si="5"/>
        <v>0.2857142857142857</v>
      </c>
      <c r="J177" t="s">
        <v>7164</v>
      </c>
      <c r="K177">
        <v>265</v>
      </c>
      <c r="L177">
        <v>14</v>
      </c>
    </row>
    <row r="178" spans="1:12" x14ac:dyDescent="0.2">
      <c r="A178">
        <v>285</v>
      </c>
      <c r="B178">
        <v>12</v>
      </c>
      <c r="C178">
        <v>586</v>
      </c>
      <c r="D178" t="s">
        <v>6416</v>
      </c>
      <c r="E178">
        <v>32</v>
      </c>
      <c r="F178" t="s">
        <v>7167</v>
      </c>
      <c r="G178">
        <v>0</v>
      </c>
      <c r="H178">
        <f t="shared" si="4"/>
        <v>0</v>
      </c>
      <c r="I178">
        <f t="shared" si="5"/>
        <v>5.4607508532423212</v>
      </c>
      <c r="J178" t="s">
        <v>7150</v>
      </c>
      <c r="K178">
        <v>290</v>
      </c>
      <c r="L178">
        <v>14</v>
      </c>
    </row>
    <row r="179" spans="1:12" x14ac:dyDescent="0.2">
      <c r="A179">
        <v>285</v>
      </c>
      <c r="B179">
        <v>12</v>
      </c>
      <c r="C179">
        <v>586</v>
      </c>
      <c r="D179" t="s">
        <v>6416</v>
      </c>
      <c r="E179">
        <v>32</v>
      </c>
      <c r="F179" s="21" t="s">
        <v>7170</v>
      </c>
      <c r="G179">
        <v>0</v>
      </c>
      <c r="H179">
        <f t="shared" si="4"/>
        <v>0</v>
      </c>
      <c r="I179">
        <f t="shared" si="5"/>
        <v>5.4607508532423212</v>
      </c>
      <c r="J179" t="s">
        <v>7150</v>
      </c>
      <c r="K179">
        <v>290</v>
      </c>
      <c r="L179">
        <v>14</v>
      </c>
    </row>
    <row r="180" spans="1:12" x14ac:dyDescent="0.2">
      <c r="A180">
        <v>285</v>
      </c>
      <c r="B180">
        <v>12</v>
      </c>
      <c r="C180">
        <v>586</v>
      </c>
      <c r="D180" t="s">
        <v>6416</v>
      </c>
      <c r="E180">
        <v>32</v>
      </c>
      <c r="F180" t="s">
        <v>60</v>
      </c>
      <c r="G180">
        <v>0</v>
      </c>
      <c r="H180">
        <f t="shared" si="4"/>
        <v>0</v>
      </c>
      <c r="I180">
        <f t="shared" si="5"/>
        <v>5.4607508532423212</v>
      </c>
      <c r="J180" t="s">
        <v>7150</v>
      </c>
      <c r="K180">
        <v>290</v>
      </c>
      <c r="L180">
        <v>14</v>
      </c>
    </row>
    <row r="181" spans="1:12" x14ac:dyDescent="0.2">
      <c r="A181">
        <v>285</v>
      </c>
      <c r="B181">
        <v>12</v>
      </c>
      <c r="C181">
        <v>586</v>
      </c>
      <c r="D181" t="s">
        <v>6416</v>
      </c>
      <c r="E181">
        <v>32</v>
      </c>
      <c r="F181" t="s">
        <v>7165</v>
      </c>
      <c r="G181">
        <v>3</v>
      </c>
      <c r="H181">
        <f t="shared" si="4"/>
        <v>9.375</v>
      </c>
      <c r="I181">
        <f t="shared" si="5"/>
        <v>5.4607508532423212</v>
      </c>
      <c r="J181" t="s">
        <v>7150</v>
      </c>
      <c r="K181">
        <v>290</v>
      </c>
      <c r="L181">
        <v>14</v>
      </c>
    </row>
    <row r="182" spans="1:12" x14ac:dyDescent="0.2">
      <c r="A182">
        <v>285</v>
      </c>
      <c r="B182">
        <v>12</v>
      </c>
      <c r="C182">
        <v>586</v>
      </c>
      <c r="D182" t="s">
        <v>6416</v>
      </c>
      <c r="E182">
        <v>32</v>
      </c>
      <c r="F182" t="s">
        <v>7172</v>
      </c>
      <c r="G182">
        <v>0</v>
      </c>
      <c r="H182">
        <f t="shared" si="4"/>
        <v>0</v>
      </c>
      <c r="I182">
        <f t="shared" si="5"/>
        <v>5.4607508532423212</v>
      </c>
      <c r="J182" t="s">
        <v>7150</v>
      </c>
      <c r="K182">
        <v>290</v>
      </c>
      <c r="L182">
        <v>14</v>
      </c>
    </row>
    <row r="183" spans="1:12" x14ac:dyDescent="0.2">
      <c r="A183">
        <v>285</v>
      </c>
      <c r="B183">
        <v>12</v>
      </c>
      <c r="C183">
        <v>586</v>
      </c>
      <c r="D183" t="s">
        <v>6416</v>
      </c>
      <c r="E183">
        <v>32</v>
      </c>
      <c r="F183" t="s">
        <v>7169</v>
      </c>
      <c r="G183">
        <v>0</v>
      </c>
      <c r="H183">
        <f t="shared" si="4"/>
        <v>0</v>
      </c>
      <c r="I183">
        <f t="shared" si="5"/>
        <v>5.4607508532423212</v>
      </c>
      <c r="J183" t="s">
        <v>7150</v>
      </c>
      <c r="K183">
        <v>290</v>
      </c>
      <c r="L183">
        <v>14</v>
      </c>
    </row>
    <row r="184" spans="1:12" x14ac:dyDescent="0.2">
      <c r="A184">
        <v>285</v>
      </c>
      <c r="B184">
        <v>12</v>
      </c>
      <c r="C184">
        <v>586</v>
      </c>
      <c r="D184" t="s">
        <v>6416</v>
      </c>
      <c r="E184">
        <v>32</v>
      </c>
      <c r="F184" t="s">
        <v>7162</v>
      </c>
      <c r="G184">
        <v>5</v>
      </c>
      <c r="H184">
        <f t="shared" si="4"/>
        <v>15.625</v>
      </c>
      <c r="I184">
        <f t="shared" si="5"/>
        <v>5.4607508532423212</v>
      </c>
      <c r="J184" t="s">
        <v>7150</v>
      </c>
      <c r="K184">
        <v>290</v>
      </c>
      <c r="L184">
        <v>14</v>
      </c>
    </row>
    <row r="185" spans="1:12" x14ac:dyDescent="0.2">
      <c r="A185">
        <v>285</v>
      </c>
      <c r="B185">
        <v>12</v>
      </c>
      <c r="C185">
        <v>586</v>
      </c>
      <c r="D185" t="s">
        <v>6416</v>
      </c>
      <c r="E185">
        <v>32</v>
      </c>
      <c r="F185" t="s">
        <v>7168</v>
      </c>
      <c r="G185">
        <v>0</v>
      </c>
      <c r="H185">
        <f t="shared" si="4"/>
        <v>0</v>
      </c>
      <c r="I185">
        <f t="shared" si="5"/>
        <v>5.4607508532423212</v>
      </c>
      <c r="J185" t="s">
        <v>7150</v>
      </c>
      <c r="K185">
        <v>290</v>
      </c>
      <c r="L185">
        <v>14</v>
      </c>
    </row>
    <row r="186" spans="1:12" x14ac:dyDescent="0.2">
      <c r="A186">
        <v>285</v>
      </c>
      <c r="B186">
        <v>12</v>
      </c>
      <c r="C186">
        <v>350</v>
      </c>
      <c r="D186" t="s">
        <v>6416</v>
      </c>
      <c r="E186">
        <v>32</v>
      </c>
      <c r="F186" t="s">
        <v>7167</v>
      </c>
      <c r="G186">
        <v>0</v>
      </c>
      <c r="H186">
        <f t="shared" si="4"/>
        <v>0</v>
      </c>
      <c r="I186">
        <f t="shared" si="5"/>
        <v>9.1428571428571423</v>
      </c>
      <c r="J186" t="s">
        <v>7164</v>
      </c>
      <c r="K186">
        <v>290</v>
      </c>
      <c r="L186">
        <v>14</v>
      </c>
    </row>
    <row r="187" spans="1:12" x14ac:dyDescent="0.2">
      <c r="A187">
        <v>285</v>
      </c>
      <c r="B187">
        <v>12</v>
      </c>
      <c r="C187">
        <v>350</v>
      </c>
      <c r="D187" t="s">
        <v>6416</v>
      </c>
      <c r="E187">
        <v>32</v>
      </c>
      <c r="F187" s="21" t="s">
        <v>7170</v>
      </c>
      <c r="G187">
        <v>0</v>
      </c>
      <c r="H187">
        <f t="shared" si="4"/>
        <v>0</v>
      </c>
      <c r="I187">
        <f t="shared" si="5"/>
        <v>9.1428571428571423</v>
      </c>
      <c r="J187" t="s">
        <v>7164</v>
      </c>
      <c r="K187">
        <v>290</v>
      </c>
      <c r="L187">
        <v>14</v>
      </c>
    </row>
    <row r="188" spans="1:12" x14ac:dyDescent="0.2">
      <c r="A188">
        <v>285</v>
      </c>
      <c r="B188">
        <v>12</v>
      </c>
      <c r="C188">
        <v>350</v>
      </c>
      <c r="D188" t="s">
        <v>6416</v>
      </c>
      <c r="E188">
        <v>32</v>
      </c>
      <c r="F188" t="s">
        <v>60</v>
      </c>
      <c r="G188">
        <v>0</v>
      </c>
      <c r="H188">
        <f t="shared" si="4"/>
        <v>0</v>
      </c>
      <c r="I188">
        <f t="shared" si="5"/>
        <v>9.1428571428571423</v>
      </c>
      <c r="J188" t="s">
        <v>7164</v>
      </c>
      <c r="K188">
        <v>290</v>
      </c>
      <c r="L188">
        <v>14</v>
      </c>
    </row>
    <row r="189" spans="1:12" x14ac:dyDescent="0.2">
      <c r="A189">
        <v>285</v>
      </c>
      <c r="B189">
        <v>12</v>
      </c>
      <c r="C189">
        <v>350</v>
      </c>
      <c r="D189" t="s">
        <v>6416</v>
      </c>
      <c r="E189">
        <v>32</v>
      </c>
      <c r="F189" t="s">
        <v>7165</v>
      </c>
      <c r="G189">
        <v>1</v>
      </c>
      <c r="H189">
        <f t="shared" si="4"/>
        <v>3.125</v>
      </c>
      <c r="I189">
        <f t="shared" si="5"/>
        <v>9.1428571428571423</v>
      </c>
      <c r="J189" t="s">
        <v>7164</v>
      </c>
      <c r="K189">
        <v>290</v>
      </c>
      <c r="L189">
        <v>14</v>
      </c>
    </row>
    <row r="190" spans="1:12" x14ac:dyDescent="0.2">
      <c r="A190">
        <v>285</v>
      </c>
      <c r="B190">
        <v>12</v>
      </c>
      <c r="C190">
        <v>350</v>
      </c>
      <c r="D190" t="s">
        <v>6416</v>
      </c>
      <c r="E190">
        <v>32</v>
      </c>
      <c r="F190" t="s">
        <v>7172</v>
      </c>
      <c r="G190">
        <v>0</v>
      </c>
      <c r="H190">
        <f t="shared" si="4"/>
        <v>0</v>
      </c>
      <c r="I190">
        <f t="shared" si="5"/>
        <v>9.1428571428571423</v>
      </c>
      <c r="J190" t="s">
        <v>7164</v>
      </c>
      <c r="K190">
        <v>290</v>
      </c>
      <c r="L190">
        <v>14</v>
      </c>
    </row>
    <row r="191" spans="1:12" x14ac:dyDescent="0.2">
      <c r="A191">
        <v>285</v>
      </c>
      <c r="B191">
        <v>12</v>
      </c>
      <c r="C191">
        <v>350</v>
      </c>
      <c r="D191" t="s">
        <v>6416</v>
      </c>
      <c r="E191">
        <v>32</v>
      </c>
      <c r="F191" t="s">
        <v>7169</v>
      </c>
      <c r="G191">
        <v>0</v>
      </c>
      <c r="H191">
        <f t="shared" si="4"/>
        <v>0</v>
      </c>
      <c r="I191">
        <f t="shared" si="5"/>
        <v>9.1428571428571423</v>
      </c>
      <c r="J191" t="s">
        <v>7164</v>
      </c>
      <c r="K191">
        <v>290</v>
      </c>
      <c r="L191">
        <v>14</v>
      </c>
    </row>
    <row r="192" spans="1:12" x14ac:dyDescent="0.2">
      <c r="A192">
        <v>285</v>
      </c>
      <c r="B192">
        <v>12</v>
      </c>
      <c r="C192">
        <v>350</v>
      </c>
      <c r="D192" t="s">
        <v>6416</v>
      </c>
      <c r="E192">
        <v>32</v>
      </c>
      <c r="F192" t="s">
        <v>7162</v>
      </c>
      <c r="G192">
        <v>22</v>
      </c>
      <c r="H192">
        <f t="shared" si="4"/>
        <v>68.75</v>
      </c>
      <c r="I192">
        <f t="shared" si="5"/>
        <v>9.1428571428571423</v>
      </c>
      <c r="J192" t="s">
        <v>7164</v>
      </c>
      <c r="K192">
        <v>290</v>
      </c>
      <c r="L192">
        <v>14</v>
      </c>
    </row>
    <row r="193" spans="1:12" x14ac:dyDescent="0.2">
      <c r="A193">
        <v>285</v>
      </c>
      <c r="B193">
        <v>12</v>
      </c>
      <c r="C193">
        <v>350</v>
      </c>
      <c r="D193" t="s">
        <v>6416</v>
      </c>
      <c r="E193">
        <v>32</v>
      </c>
      <c r="F193" t="s">
        <v>7168</v>
      </c>
      <c r="G193">
        <v>1</v>
      </c>
      <c r="H193">
        <f t="shared" si="4"/>
        <v>3.125</v>
      </c>
      <c r="I193">
        <f t="shared" si="5"/>
        <v>9.1428571428571423</v>
      </c>
      <c r="J193" t="s">
        <v>7164</v>
      </c>
      <c r="K193">
        <v>290</v>
      </c>
      <c r="L193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5CD-857C-4DB3-B113-F11563E2330B}">
  <dimension ref="A3:B321"/>
  <sheetViews>
    <sheetView workbookViewId="0">
      <selection activeCell="B57" sqref="B57"/>
    </sheetView>
  </sheetViews>
  <sheetFormatPr baseColWidth="10" defaultColWidth="8.83203125" defaultRowHeight="15" x14ac:dyDescent="0.2"/>
  <cols>
    <col min="1" max="1" width="64.1640625" bestFit="1" customWidth="1"/>
    <col min="2" max="2" width="23.33203125" bestFit="1" customWidth="1"/>
    <col min="3" max="4" width="19.33203125" bestFit="1" customWidth="1"/>
    <col min="5" max="5" width="18.5" bestFit="1" customWidth="1"/>
    <col min="6" max="6" width="18.33203125" bestFit="1" customWidth="1"/>
    <col min="7" max="7" width="34.6640625" bestFit="1" customWidth="1"/>
    <col min="8" max="8" width="18.33203125" bestFit="1" customWidth="1"/>
    <col min="9" max="9" width="34.6640625" bestFit="1" customWidth="1"/>
    <col min="10" max="10" width="36.6640625" bestFit="1" customWidth="1"/>
    <col min="11" max="11" width="34.6640625" bestFit="1" customWidth="1"/>
    <col min="12" max="13" width="38.83203125" bestFit="1" customWidth="1"/>
    <col min="14" max="14" width="19.33203125" bestFit="1" customWidth="1"/>
    <col min="15" max="15" width="60.5" bestFit="1" customWidth="1"/>
    <col min="16" max="16" width="38.83203125" bestFit="1" customWidth="1"/>
    <col min="17" max="17" width="36.6640625" bestFit="1" customWidth="1"/>
    <col min="18" max="18" width="20.5" bestFit="1" customWidth="1"/>
    <col min="19" max="20" width="39" bestFit="1" customWidth="1"/>
    <col min="21" max="21" width="39.83203125" bestFit="1" customWidth="1"/>
    <col min="22" max="22" width="20.5" bestFit="1" customWidth="1"/>
    <col min="23" max="23" width="41" bestFit="1" customWidth="1"/>
    <col min="24" max="25" width="39.83203125" bestFit="1" customWidth="1"/>
    <col min="26" max="26" width="42" bestFit="1" customWidth="1"/>
    <col min="27" max="27" width="20.5" bestFit="1" customWidth="1"/>
    <col min="28" max="28" width="39" bestFit="1" customWidth="1"/>
    <col min="29" max="29" width="39.83203125" bestFit="1" customWidth="1"/>
    <col min="30" max="30" width="41" bestFit="1" customWidth="1"/>
    <col min="31" max="31" width="39" bestFit="1" customWidth="1"/>
    <col min="32" max="32" width="42" bestFit="1" customWidth="1"/>
    <col min="33" max="35" width="39.83203125" bestFit="1" customWidth="1"/>
    <col min="36" max="36" width="42" bestFit="1" customWidth="1"/>
    <col min="37" max="37" width="39" bestFit="1" customWidth="1"/>
    <col min="38" max="39" width="18.1640625" bestFit="1" customWidth="1"/>
    <col min="40" max="40" width="20.33203125" bestFit="1" customWidth="1"/>
    <col min="41" max="41" width="41" bestFit="1" customWidth="1"/>
    <col min="42" max="42" width="20.33203125" bestFit="1" customWidth="1"/>
    <col min="43" max="43" width="20.5" bestFit="1" customWidth="1"/>
    <col min="44" max="44" width="17.33203125" bestFit="1" customWidth="1"/>
    <col min="45" max="45" width="19.5" bestFit="1" customWidth="1"/>
    <col min="46" max="46" width="20.5" bestFit="1" customWidth="1"/>
    <col min="47" max="47" width="18.33203125" bestFit="1" customWidth="1"/>
    <col min="48" max="48" width="36.6640625" bestFit="1" customWidth="1"/>
    <col min="49" max="49" width="37.5" bestFit="1" customWidth="1"/>
    <col min="50" max="51" width="18.33203125" bestFit="1" customWidth="1"/>
    <col min="52" max="52" width="36.6640625" bestFit="1" customWidth="1"/>
    <col min="53" max="53" width="37.5" bestFit="1" customWidth="1"/>
    <col min="54" max="54" width="19.33203125" bestFit="1" customWidth="1"/>
    <col min="55" max="55" width="34.6640625" bestFit="1" customWidth="1"/>
    <col min="56" max="56" width="34.5" bestFit="1" customWidth="1"/>
    <col min="57" max="57" width="37.6640625" bestFit="1" customWidth="1"/>
    <col min="58" max="58" width="19.5" bestFit="1" customWidth="1"/>
    <col min="59" max="59" width="42" bestFit="1" customWidth="1"/>
    <col min="60" max="60" width="42.33203125" bestFit="1" customWidth="1"/>
    <col min="61" max="61" width="39.83203125" bestFit="1" customWidth="1"/>
    <col min="62" max="62" width="18.1640625" bestFit="1" customWidth="1"/>
    <col min="63" max="63" width="15.1640625" bestFit="1" customWidth="1"/>
    <col min="64" max="64" width="20.33203125" bestFit="1" customWidth="1"/>
    <col min="65" max="65" width="36.5" bestFit="1" customWidth="1"/>
    <col min="66" max="66" width="17.33203125" bestFit="1" customWidth="1"/>
    <col min="67" max="67" width="21.33203125" bestFit="1" customWidth="1"/>
    <col min="68" max="68" width="18.33203125" bestFit="1" customWidth="1"/>
    <col min="69" max="69" width="19.33203125" bestFit="1" customWidth="1"/>
    <col min="70" max="70" width="19.5" bestFit="1" customWidth="1"/>
    <col min="71" max="71" width="20.33203125" bestFit="1" customWidth="1"/>
    <col min="72" max="72" width="42" bestFit="1" customWidth="1"/>
    <col min="73" max="73" width="19.33203125" bestFit="1" customWidth="1"/>
    <col min="74" max="74" width="37.6640625" bestFit="1" customWidth="1"/>
    <col min="75" max="75" width="19.5" bestFit="1" customWidth="1"/>
    <col min="76" max="76" width="41" bestFit="1" customWidth="1"/>
    <col min="77" max="77" width="19.5" bestFit="1" customWidth="1"/>
    <col min="78" max="78" width="38" bestFit="1" customWidth="1"/>
    <col min="79" max="79" width="39" bestFit="1" customWidth="1"/>
    <col min="80" max="80" width="38.83203125" bestFit="1" customWidth="1"/>
    <col min="81" max="81" width="39.83203125" bestFit="1" customWidth="1"/>
    <col min="82" max="82" width="38" bestFit="1" customWidth="1"/>
    <col min="83" max="83" width="18.1640625" bestFit="1" customWidth="1"/>
    <col min="84" max="84" width="37.5" bestFit="1" customWidth="1"/>
    <col min="85" max="85" width="34.5" bestFit="1" customWidth="1"/>
    <col min="86" max="86" width="19.33203125" bestFit="1" customWidth="1"/>
    <col min="87" max="87" width="17.5" bestFit="1" customWidth="1"/>
    <col min="88" max="90" width="18.5" bestFit="1" customWidth="1"/>
    <col min="91" max="91" width="34.83203125" bestFit="1" customWidth="1"/>
    <col min="92" max="92" width="19.5" bestFit="1" customWidth="1"/>
    <col min="93" max="93" width="18.5" bestFit="1" customWidth="1"/>
    <col min="94" max="94" width="16.1640625" bestFit="1" customWidth="1"/>
    <col min="95" max="95" width="18.33203125" bestFit="1" customWidth="1"/>
    <col min="96" max="96" width="19.33203125" bestFit="1" customWidth="1"/>
    <col min="97" max="97" width="17.83203125" bestFit="1" customWidth="1"/>
    <col min="98" max="98" width="37.6640625" bestFit="1" customWidth="1"/>
    <col min="99" max="99" width="38.83203125" bestFit="1" customWidth="1"/>
    <col min="100" max="100" width="5.5" bestFit="1" customWidth="1"/>
    <col min="101" max="101" width="7.33203125" bestFit="1" customWidth="1"/>
    <col min="102" max="102" width="11.33203125" bestFit="1" customWidth="1"/>
  </cols>
  <sheetData>
    <row r="3" spans="1:2" x14ac:dyDescent="0.2">
      <c r="A3" s="15" t="s">
        <v>7173</v>
      </c>
      <c r="B3" t="s">
        <v>7365</v>
      </c>
    </row>
    <row r="4" spans="1:2" x14ac:dyDescent="0.2">
      <c r="A4" s="16" t="s">
        <v>4492</v>
      </c>
      <c r="B4">
        <v>3</v>
      </c>
    </row>
    <row r="5" spans="1:2" x14ac:dyDescent="0.2">
      <c r="A5" s="18" t="s">
        <v>7216</v>
      </c>
      <c r="B5">
        <v>1</v>
      </c>
    </row>
    <row r="6" spans="1:2" x14ac:dyDescent="0.2">
      <c r="A6" s="18" t="s">
        <v>7207</v>
      </c>
      <c r="B6">
        <v>2</v>
      </c>
    </row>
    <row r="7" spans="1:2" x14ac:dyDescent="0.2">
      <c r="A7" s="18" t="s">
        <v>7174</v>
      </c>
    </row>
    <row r="8" spans="1:2" x14ac:dyDescent="0.2">
      <c r="A8" s="16" t="s">
        <v>6764</v>
      </c>
      <c r="B8">
        <v>5</v>
      </c>
    </row>
    <row r="9" spans="1:2" x14ac:dyDescent="0.2">
      <c r="A9" s="18" t="s">
        <v>7207</v>
      </c>
      <c r="B9">
        <v>1</v>
      </c>
    </row>
    <row r="10" spans="1:2" x14ac:dyDescent="0.2">
      <c r="A10" s="18" t="s">
        <v>7327</v>
      </c>
      <c r="B10">
        <v>4</v>
      </c>
    </row>
    <row r="11" spans="1:2" x14ac:dyDescent="0.2">
      <c r="A11" s="16" t="s">
        <v>4565</v>
      </c>
      <c r="B11">
        <v>1</v>
      </c>
    </row>
    <row r="12" spans="1:2" x14ac:dyDescent="0.2">
      <c r="A12" s="16" t="s">
        <v>3194</v>
      </c>
      <c r="B12">
        <v>7</v>
      </c>
    </row>
    <row r="13" spans="1:2" x14ac:dyDescent="0.2">
      <c r="A13" s="16" t="s">
        <v>372</v>
      </c>
      <c r="B13">
        <v>2</v>
      </c>
    </row>
    <row r="14" spans="1:2" x14ac:dyDescent="0.2">
      <c r="A14" s="16" t="s">
        <v>5461</v>
      </c>
      <c r="B14">
        <v>3</v>
      </c>
    </row>
    <row r="15" spans="1:2" x14ac:dyDescent="0.2">
      <c r="A15" s="16" t="s">
        <v>6945</v>
      </c>
    </row>
    <row r="16" spans="1:2" x14ac:dyDescent="0.2">
      <c r="A16" s="18" t="s">
        <v>7174</v>
      </c>
    </row>
    <row r="17" spans="1:2" x14ac:dyDescent="0.2">
      <c r="A17" s="16" t="s">
        <v>7110</v>
      </c>
    </row>
    <row r="18" spans="1:2" x14ac:dyDescent="0.2">
      <c r="A18" s="18" t="s">
        <v>7174</v>
      </c>
    </row>
    <row r="19" spans="1:2" x14ac:dyDescent="0.2">
      <c r="A19" s="16" t="s">
        <v>4511</v>
      </c>
      <c r="B19">
        <v>4</v>
      </c>
    </row>
    <row r="20" spans="1:2" x14ac:dyDescent="0.2">
      <c r="A20" s="18" t="s">
        <v>7209</v>
      </c>
      <c r="B20">
        <v>1</v>
      </c>
    </row>
    <row r="21" spans="1:2" x14ac:dyDescent="0.2">
      <c r="A21" s="18" t="s">
        <v>7200</v>
      </c>
      <c r="B21">
        <v>1</v>
      </c>
    </row>
    <row r="22" spans="1:2" x14ac:dyDescent="0.2">
      <c r="A22" s="18" t="s">
        <v>7221</v>
      </c>
      <c r="B22">
        <v>1</v>
      </c>
    </row>
    <row r="23" spans="1:2" x14ac:dyDescent="0.2">
      <c r="A23" s="18" t="s">
        <v>7230</v>
      </c>
      <c r="B23">
        <v>1</v>
      </c>
    </row>
    <row r="24" spans="1:2" x14ac:dyDescent="0.2">
      <c r="A24" s="18" t="s">
        <v>7174</v>
      </c>
    </row>
    <row r="25" spans="1:2" x14ac:dyDescent="0.2">
      <c r="A25" s="16" t="s">
        <v>7001</v>
      </c>
    </row>
    <row r="26" spans="1:2" x14ac:dyDescent="0.2">
      <c r="A26" s="18" t="s">
        <v>7174</v>
      </c>
    </row>
    <row r="27" spans="1:2" x14ac:dyDescent="0.2">
      <c r="A27" s="16" t="s">
        <v>4872</v>
      </c>
      <c r="B27">
        <v>7</v>
      </c>
    </row>
    <row r="28" spans="1:2" x14ac:dyDescent="0.2">
      <c r="A28" s="18" t="s">
        <v>7332</v>
      </c>
      <c r="B28">
        <v>1</v>
      </c>
    </row>
    <row r="29" spans="1:2" x14ac:dyDescent="0.2">
      <c r="A29" s="18" t="s">
        <v>7344</v>
      </c>
      <c r="B29">
        <v>6</v>
      </c>
    </row>
    <row r="30" spans="1:2" x14ac:dyDescent="0.2">
      <c r="A30" s="18" t="s">
        <v>7174</v>
      </c>
    </row>
    <row r="31" spans="1:2" x14ac:dyDescent="0.2">
      <c r="A31" s="16" t="s">
        <v>3261</v>
      </c>
      <c r="B31">
        <v>4</v>
      </c>
    </row>
    <row r="32" spans="1:2" x14ac:dyDescent="0.2">
      <c r="A32" s="18" t="s">
        <v>7210</v>
      </c>
      <c r="B32">
        <v>1</v>
      </c>
    </row>
    <row r="33" spans="1:2" x14ac:dyDescent="0.2">
      <c r="A33" s="18" t="s">
        <v>7346</v>
      </c>
      <c r="B33">
        <v>1</v>
      </c>
    </row>
    <row r="34" spans="1:2" x14ac:dyDescent="0.2">
      <c r="A34" s="18" t="s">
        <v>7212</v>
      </c>
      <c r="B34">
        <v>2</v>
      </c>
    </row>
    <row r="35" spans="1:2" x14ac:dyDescent="0.2">
      <c r="A35" s="16" t="s">
        <v>5322</v>
      </c>
      <c r="B35">
        <v>1</v>
      </c>
    </row>
    <row r="36" spans="1:2" x14ac:dyDescent="0.2">
      <c r="A36" s="18" t="s">
        <v>7327</v>
      </c>
      <c r="B36">
        <v>1</v>
      </c>
    </row>
    <row r="37" spans="1:2" x14ac:dyDescent="0.2">
      <c r="A37" s="16" t="s">
        <v>7092</v>
      </c>
    </row>
    <row r="38" spans="1:2" x14ac:dyDescent="0.2">
      <c r="A38" s="18" t="s">
        <v>7174</v>
      </c>
    </row>
    <row r="39" spans="1:2" x14ac:dyDescent="0.2">
      <c r="A39" s="16" t="s">
        <v>5551</v>
      </c>
      <c r="B39">
        <v>2</v>
      </c>
    </row>
    <row r="40" spans="1:2" x14ac:dyDescent="0.2">
      <c r="A40" s="18" t="s">
        <v>7231</v>
      </c>
      <c r="B40">
        <v>1</v>
      </c>
    </row>
    <row r="41" spans="1:2" x14ac:dyDescent="0.2">
      <c r="A41" s="18" t="s">
        <v>7348</v>
      </c>
      <c r="B41">
        <v>1</v>
      </c>
    </row>
    <row r="42" spans="1:2" x14ac:dyDescent="0.2">
      <c r="A42" s="16" t="s">
        <v>4364</v>
      </c>
      <c r="B42">
        <v>1</v>
      </c>
    </row>
    <row r="43" spans="1:2" x14ac:dyDescent="0.2">
      <c r="A43" s="18" t="s">
        <v>7201</v>
      </c>
      <c r="B43">
        <v>1</v>
      </c>
    </row>
    <row r="44" spans="1:2" x14ac:dyDescent="0.2">
      <c r="A44" s="16" t="s">
        <v>5613</v>
      </c>
      <c r="B44">
        <v>1</v>
      </c>
    </row>
    <row r="45" spans="1:2" x14ac:dyDescent="0.2">
      <c r="A45" s="18" t="s">
        <v>7207</v>
      </c>
      <c r="B45">
        <v>1</v>
      </c>
    </row>
    <row r="46" spans="1:2" x14ac:dyDescent="0.2">
      <c r="A46" s="16" t="s">
        <v>7013</v>
      </c>
    </row>
    <row r="47" spans="1:2" x14ac:dyDescent="0.2">
      <c r="A47" s="18" t="s">
        <v>7174</v>
      </c>
    </row>
    <row r="48" spans="1:2" x14ac:dyDescent="0.2">
      <c r="A48" s="16" t="s">
        <v>5058</v>
      </c>
      <c r="B48">
        <v>3</v>
      </c>
    </row>
    <row r="49" spans="1:2" x14ac:dyDescent="0.2">
      <c r="A49" s="18" t="s">
        <v>7333</v>
      </c>
      <c r="B49">
        <v>3</v>
      </c>
    </row>
    <row r="50" spans="1:2" x14ac:dyDescent="0.2">
      <c r="A50" s="16" t="s">
        <v>61</v>
      </c>
      <c r="B50">
        <v>13</v>
      </c>
    </row>
    <row r="51" spans="1:2" x14ac:dyDescent="0.2">
      <c r="A51" s="18" t="s">
        <v>7214</v>
      </c>
      <c r="B51">
        <v>1</v>
      </c>
    </row>
    <row r="52" spans="1:2" x14ac:dyDescent="0.2">
      <c r="A52" s="18" t="s">
        <v>7211</v>
      </c>
      <c r="B52">
        <v>1</v>
      </c>
    </row>
    <row r="53" spans="1:2" x14ac:dyDescent="0.2">
      <c r="A53" s="18" t="s">
        <v>7231</v>
      </c>
      <c r="B53">
        <v>10</v>
      </c>
    </row>
    <row r="54" spans="1:2" x14ac:dyDescent="0.2">
      <c r="A54" s="18" t="s">
        <v>7212</v>
      </c>
      <c r="B54">
        <v>1</v>
      </c>
    </row>
    <row r="55" spans="1:2" x14ac:dyDescent="0.2">
      <c r="A55" s="18" t="s">
        <v>7174</v>
      </c>
    </row>
    <row r="56" spans="1:2" x14ac:dyDescent="0.2">
      <c r="A56" s="16" t="s">
        <v>7024</v>
      </c>
    </row>
    <row r="57" spans="1:2" x14ac:dyDescent="0.2">
      <c r="A57" s="18" t="s">
        <v>7174</v>
      </c>
    </row>
    <row r="58" spans="1:2" x14ac:dyDescent="0.2">
      <c r="A58" s="16" t="s">
        <v>431</v>
      </c>
      <c r="B58">
        <v>1</v>
      </c>
    </row>
    <row r="59" spans="1:2" x14ac:dyDescent="0.2">
      <c r="A59" s="18" t="s">
        <v>7303</v>
      </c>
      <c r="B59">
        <v>1</v>
      </c>
    </row>
    <row r="60" spans="1:2" x14ac:dyDescent="0.2">
      <c r="A60" s="16" t="s">
        <v>3863</v>
      </c>
      <c r="B60">
        <v>1</v>
      </c>
    </row>
    <row r="61" spans="1:2" x14ac:dyDescent="0.2">
      <c r="A61" s="18" t="s">
        <v>7195</v>
      </c>
      <c r="B61">
        <v>1</v>
      </c>
    </row>
    <row r="62" spans="1:2" x14ac:dyDescent="0.2">
      <c r="A62" s="16" t="s">
        <v>4528</v>
      </c>
      <c r="B62">
        <v>1</v>
      </c>
    </row>
    <row r="63" spans="1:2" x14ac:dyDescent="0.2">
      <c r="A63" s="18" t="s">
        <v>7210</v>
      </c>
      <c r="B63">
        <v>1</v>
      </c>
    </row>
    <row r="64" spans="1:2" x14ac:dyDescent="0.2">
      <c r="A64" s="16" t="s">
        <v>7067</v>
      </c>
    </row>
    <row r="65" spans="1:2" x14ac:dyDescent="0.2">
      <c r="A65" s="18" t="s">
        <v>7174</v>
      </c>
    </row>
    <row r="66" spans="1:2" x14ac:dyDescent="0.2">
      <c r="A66" s="16" t="s">
        <v>448</v>
      </c>
      <c r="B66">
        <v>26</v>
      </c>
    </row>
    <row r="67" spans="1:2" x14ac:dyDescent="0.2">
      <c r="A67" s="18" t="s">
        <v>7298</v>
      </c>
      <c r="B67">
        <v>1</v>
      </c>
    </row>
    <row r="68" spans="1:2" x14ac:dyDescent="0.2">
      <c r="A68" s="18" t="s">
        <v>7307</v>
      </c>
      <c r="B68">
        <v>2</v>
      </c>
    </row>
    <row r="69" spans="1:2" x14ac:dyDescent="0.2">
      <c r="A69" s="18" t="s">
        <v>7214</v>
      </c>
      <c r="B69">
        <v>5</v>
      </c>
    </row>
    <row r="70" spans="1:2" x14ac:dyDescent="0.2">
      <c r="A70" s="18" t="s">
        <v>7310</v>
      </c>
      <c r="B70">
        <v>1</v>
      </c>
    </row>
    <row r="71" spans="1:2" x14ac:dyDescent="0.2">
      <c r="A71" s="18" t="s">
        <v>7216</v>
      </c>
      <c r="B71">
        <v>1</v>
      </c>
    </row>
    <row r="72" spans="1:2" x14ac:dyDescent="0.2">
      <c r="A72" s="18" t="s">
        <v>7200</v>
      </c>
      <c r="B72">
        <v>9</v>
      </c>
    </row>
    <row r="73" spans="1:2" x14ac:dyDescent="0.2">
      <c r="A73" s="18" t="s">
        <v>7207</v>
      </c>
      <c r="B73">
        <v>1</v>
      </c>
    </row>
    <row r="74" spans="1:2" x14ac:dyDescent="0.2">
      <c r="A74" s="18" t="s">
        <v>7322</v>
      </c>
      <c r="B74">
        <v>1</v>
      </c>
    </row>
    <row r="75" spans="1:2" x14ac:dyDescent="0.2">
      <c r="A75" s="18" t="s">
        <v>7217</v>
      </c>
      <c r="B75">
        <v>1</v>
      </c>
    </row>
    <row r="76" spans="1:2" x14ac:dyDescent="0.2">
      <c r="A76" s="18" t="s">
        <v>7218</v>
      </c>
      <c r="B76">
        <v>1</v>
      </c>
    </row>
    <row r="77" spans="1:2" x14ac:dyDescent="0.2">
      <c r="A77" s="18" t="s">
        <v>7337</v>
      </c>
      <c r="B77">
        <v>1</v>
      </c>
    </row>
    <row r="78" spans="1:2" x14ac:dyDescent="0.2">
      <c r="A78" s="18" t="s">
        <v>7199</v>
      </c>
      <c r="B78">
        <v>1</v>
      </c>
    </row>
    <row r="79" spans="1:2" x14ac:dyDescent="0.2">
      <c r="A79" s="18" t="s">
        <v>7203</v>
      </c>
      <c r="B79">
        <v>1</v>
      </c>
    </row>
    <row r="80" spans="1:2" x14ac:dyDescent="0.2">
      <c r="A80" s="16" t="s">
        <v>3210</v>
      </c>
      <c r="B80">
        <v>5</v>
      </c>
    </row>
    <row r="81" spans="1:2" x14ac:dyDescent="0.2">
      <c r="A81" s="18" t="s">
        <v>7220</v>
      </c>
      <c r="B81">
        <v>5</v>
      </c>
    </row>
    <row r="82" spans="1:2" x14ac:dyDescent="0.2">
      <c r="A82" s="16" t="s">
        <v>4316</v>
      </c>
      <c r="B82">
        <v>2</v>
      </c>
    </row>
    <row r="83" spans="1:2" x14ac:dyDescent="0.2">
      <c r="A83" s="18" t="s">
        <v>7199</v>
      </c>
      <c r="B83">
        <v>1</v>
      </c>
    </row>
    <row r="84" spans="1:2" x14ac:dyDescent="0.2">
      <c r="A84" s="18" t="s">
        <v>7205</v>
      </c>
      <c r="B84">
        <v>1</v>
      </c>
    </row>
    <row r="85" spans="1:2" x14ac:dyDescent="0.2">
      <c r="A85" s="16" t="s">
        <v>5444</v>
      </c>
      <c r="B85">
        <v>1</v>
      </c>
    </row>
    <row r="86" spans="1:2" x14ac:dyDescent="0.2">
      <c r="A86" s="18" t="s">
        <v>7292</v>
      </c>
      <c r="B86">
        <v>1</v>
      </c>
    </row>
    <row r="87" spans="1:2" x14ac:dyDescent="0.2">
      <c r="A87" s="16" t="s">
        <v>4223</v>
      </c>
      <c r="B87">
        <v>2</v>
      </c>
    </row>
    <row r="88" spans="1:2" x14ac:dyDescent="0.2">
      <c r="A88" s="18" t="s">
        <v>7200</v>
      </c>
      <c r="B88">
        <v>1</v>
      </c>
    </row>
    <row r="89" spans="1:2" x14ac:dyDescent="0.2">
      <c r="A89" s="18" t="s">
        <v>7196</v>
      </c>
      <c r="B89">
        <v>1</v>
      </c>
    </row>
    <row r="90" spans="1:2" x14ac:dyDescent="0.2">
      <c r="A90" s="16" t="s">
        <v>7017</v>
      </c>
    </row>
    <row r="91" spans="1:2" x14ac:dyDescent="0.2">
      <c r="A91" s="18" t="s">
        <v>7174</v>
      </c>
    </row>
    <row r="92" spans="1:2" x14ac:dyDescent="0.2">
      <c r="A92" s="16" t="s">
        <v>4337</v>
      </c>
      <c r="B92">
        <v>2</v>
      </c>
    </row>
    <row r="93" spans="1:2" x14ac:dyDescent="0.2">
      <c r="A93" s="18" t="s">
        <v>7200</v>
      </c>
      <c r="B93">
        <v>1</v>
      </c>
    </row>
    <row r="94" spans="1:2" x14ac:dyDescent="0.2">
      <c r="A94" s="18" t="s">
        <v>7208</v>
      </c>
      <c r="B94">
        <v>1</v>
      </c>
    </row>
    <row r="95" spans="1:2" x14ac:dyDescent="0.2">
      <c r="A95" s="16" t="s">
        <v>4900</v>
      </c>
      <c r="B95">
        <v>2</v>
      </c>
    </row>
    <row r="96" spans="1:2" x14ac:dyDescent="0.2">
      <c r="A96" s="18" t="s">
        <v>7334</v>
      </c>
      <c r="B96">
        <v>2</v>
      </c>
    </row>
    <row r="97" spans="1:2" x14ac:dyDescent="0.2">
      <c r="A97" s="16" t="s">
        <v>390</v>
      </c>
      <c r="B97">
        <v>8</v>
      </c>
    </row>
    <row r="98" spans="1:2" x14ac:dyDescent="0.2">
      <c r="A98" s="18" t="s">
        <v>7197</v>
      </c>
      <c r="B98">
        <v>8</v>
      </c>
    </row>
    <row r="99" spans="1:2" x14ac:dyDescent="0.2">
      <c r="A99" s="16" t="s">
        <v>3475</v>
      </c>
      <c r="B99">
        <v>1</v>
      </c>
    </row>
    <row r="100" spans="1:2" x14ac:dyDescent="0.2">
      <c r="A100" s="18" t="s">
        <v>7205</v>
      </c>
      <c r="B100">
        <v>1</v>
      </c>
    </row>
    <row r="101" spans="1:2" x14ac:dyDescent="0.2">
      <c r="A101" s="16" t="s">
        <v>3823</v>
      </c>
      <c r="B101">
        <v>1</v>
      </c>
    </row>
    <row r="102" spans="1:2" x14ac:dyDescent="0.2">
      <c r="A102" s="18" t="s">
        <v>7226</v>
      </c>
      <c r="B102">
        <v>1</v>
      </c>
    </row>
    <row r="103" spans="1:2" x14ac:dyDescent="0.2">
      <c r="A103" s="16" t="s">
        <v>4326</v>
      </c>
      <c r="B103">
        <v>1</v>
      </c>
    </row>
    <row r="104" spans="1:2" x14ac:dyDescent="0.2">
      <c r="A104" s="18" t="s">
        <v>7200</v>
      </c>
      <c r="B104">
        <v>1</v>
      </c>
    </row>
    <row r="105" spans="1:2" x14ac:dyDescent="0.2">
      <c r="A105" s="16" t="s">
        <v>603</v>
      </c>
      <c r="B105">
        <v>231</v>
      </c>
    </row>
    <row r="106" spans="1:2" x14ac:dyDescent="0.2">
      <c r="A106" s="18" t="s">
        <v>169</v>
      </c>
      <c r="B106">
        <v>3</v>
      </c>
    </row>
    <row r="107" spans="1:2" x14ac:dyDescent="0.2">
      <c r="A107" s="18" t="s">
        <v>7227</v>
      </c>
      <c r="B107">
        <v>1</v>
      </c>
    </row>
    <row r="108" spans="1:2" x14ac:dyDescent="0.2">
      <c r="A108" s="18" t="s">
        <v>7293</v>
      </c>
      <c r="B108">
        <v>8</v>
      </c>
    </row>
    <row r="109" spans="1:2" x14ac:dyDescent="0.2">
      <c r="A109" s="18" t="s">
        <v>7294</v>
      </c>
      <c r="B109">
        <v>1</v>
      </c>
    </row>
    <row r="110" spans="1:2" x14ac:dyDescent="0.2">
      <c r="A110" s="18" t="s">
        <v>7220</v>
      </c>
      <c r="B110">
        <v>32</v>
      </c>
    </row>
    <row r="111" spans="1:2" x14ac:dyDescent="0.2">
      <c r="A111" s="18" t="s">
        <v>7194</v>
      </c>
      <c r="B111">
        <v>66</v>
      </c>
    </row>
    <row r="112" spans="1:2" x14ac:dyDescent="0.2">
      <c r="A112" s="18" t="s">
        <v>7226</v>
      </c>
      <c r="B112">
        <v>1</v>
      </c>
    </row>
    <row r="113" spans="1:2" x14ac:dyDescent="0.2">
      <c r="A113" s="18" t="s">
        <v>7200</v>
      </c>
      <c r="B113">
        <v>1</v>
      </c>
    </row>
    <row r="114" spans="1:2" x14ac:dyDescent="0.2">
      <c r="A114" s="18" t="s">
        <v>7207</v>
      </c>
      <c r="B114">
        <v>1</v>
      </c>
    </row>
    <row r="115" spans="1:2" x14ac:dyDescent="0.2">
      <c r="A115" s="18" t="s">
        <v>7318</v>
      </c>
      <c r="B115">
        <v>1</v>
      </c>
    </row>
    <row r="116" spans="1:2" x14ac:dyDescent="0.2">
      <c r="A116" s="18" t="s">
        <v>7319</v>
      </c>
      <c r="B116">
        <v>3</v>
      </c>
    </row>
    <row r="117" spans="1:2" x14ac:dyDescent="0.2">
      <c r="A117" s="18" t="s">
        <v>7321</v>
      </c>
      <c r="B117">
        <v>1</v>
      </c>
    </row>
    <row r="118" spans="1:2" x14ac:dyDescent="0.2">
      <c r="A118" s="18" t="s">
        <v>7211</v>
      </c>
      <c r="B118">
        <v>65</v>
      </c>
    </row>
    <row r="119" spans="1:2" x14ac:dyDescent="0.2">
      <c r="A119" s="18" t="s">
        <v>7323</v>
      </c>
      <c r="B119">
        <v>3</v>
      </c>
    </row>
    <row r="120" spans="1:2" x14ac:dyDescent="0.2">
      <c r="A120" s="18" t="s">
        <v>7324</v>
      </c>
      <c r="B120">
        <v>1</v>
      </c>
    </row>
    <row r="121" spans="1:2" x14ac:dyDescent="0.2">
      <c r="A121" s="18" t="s">
        <v>7328</v>
      </c>
      <c r="B121">
        <v>3</v>
      </c>
    </row>
    <row r="122" spans="1:2" x14ac:dyDescent="0.2">
      <c r="A122" s="18" t="s">
        <v>7329</v>
      </c>
      <c r="B122">
        <v>1</v>
      </c>
    </row>
    <row r="123" spans="1:2" x14ac:dyDescent="0.2">
      <c r="A123" s="18" t="s">
        <v>7330</v>
      </c>
      <c r="B123">
        <v>1</v>
      </c>
    </row>
    <row r="124" spans="1:2" x14ac:dyDescent="0.2">
      <c r="A124" s="18" t="s">
        <v>7217</v>
      </c>
      <c r="B124">
        <v>1</v>
      </c>
    </row>
    <row r="125" spans="1:2" x14ac:dyDescent="0.2">
      <c r="A125" s="18" t="s">
        <v>7210</v>
      </c>
      <c r="B125">
        <v>1</v>
      </c>
    </row>
    <row r="126" spans="1:2" x14ac:dyDescent="0.2">
      <c r="A126" s="18" t="s">
        <v>7229</v>
      </c>
      <c r="B126">
        <v>1</v>
      </c>
    </row>
    <row r="127" spans="1:2" x14ac:dyDescent="0.2">
      <c r="A127" s="18" t="s">
        <v>7339</v>
      </c>
      <c r="B127">
        <v>26</v>
      </c>
    </row>
    <row r="128" spans="1:2" x14ac:dyDescent="0.2">
      <c r="A128" s="18" t="s">
        <v>7340</v>
      </c>
      <c r="B128">
        <v>4</v>
      </c>
    </row>
    <row r="129" spans="1:2" x14ac:dyDescent="0.2">
      <c r="A129" s="18" t="s">
        <v>7341</v>
      </c>
      <c r="B129">
        <v>2</v>
      </c>
    </row>
    <row r="130" spans="1:2" x14ac:dyDescent="0.2">
      <c r="A130" s="18" t="s">
        <v>7225</v>
      </c>
      <c r="B130">
        <v>1</v>
      </c>
    </row>
    <row r="131" spans="1:2" x14ac:dyDescent="0.2">
      <c r="A131" s="18" t="s">
        <v>7198</v>
      </c>
      <c r="B131">
        <v>2</v>
      </c>
    </row>
    <row r="132" spans="1:2" x14ac:dyDescent="0.2">
      <c r="A132" s="18" t="s">
        <v>7174</v>
      </c>
    </row>
    <row r="133" spans="1:2" x14ac:dyDescent="0.2">
      <c r="A133" s="16" t="s">
        <v>3150</v>
      </c>
      <c r="B133">
        <v>8</v>
      </c>
    </row>
    <row r="134" spans="1:2" x14ac:dyDescent="0.2">
      <c r="A134" s="18" t="s">
        <v>7331</v>
      </c>
      <c r="B134">
        <v>7</v>
      </c>
    </row>
    <row r="135" spans="1:2" x14ac:dyDescent="0.2">
      <c r="A135" s="18" t="s">
        <v>7349</v>
      </c>
      <c r="B135">
        <v>1</v>
      </c>
    </row>
    <row r="136" spans="1:2" x14ac:dyDescent="0.2">
      <c r="A136" s="16" t="s">
        <v>5217</v>
      </c>
      <c r="B136">
        <v>2</v>
      </c>
    </row>
    <row r="137" spans="1:2" x14ac:dyDescent="0.2">
      <c r="A137" s="18" t="s">
        <v>7327</v>
      </c>
      <c r="B137">
        <v>2</v>
      </c>
    </row>
    <row r="138" spans="1:2" x14ac:dyDescent="0.2">
      <c r="A138" s="16" t="s">
        <v>4574</v>
      </c>
      <c r="B138">
        <v>3</v>
      </c>
    </row>
    <row r="139" spans="1:2" x14ac:dyDescent="0.2">
      <c r="A139" s="18" t="s">
        <v>7214</v>
      </c>
      <c r="B139">
        <v>1</v>
      </c>
    </row>
    <row r="140" spans="1:2" x14ac:dyDescent="0.2">
      <c r="A140" s="18" t="s">
        <v>7200</v>
      </c>
      <c r="B140">
        <v>1</v>
      </c>
    </row>
    <row r="141" spans="1:2" x14ac:dyDescent="0.2">
      <c r="A141" s="18" t="s">
        <v>7210</v>
      </c>
      <c r="B141">
        <v>1</v>
      </c>
    </row>
    <row r="142" spans="1:2" x14ac:dyDescent="0.2">
      <c r="A142" s="16" t="s">
        <v>4666</v>
      </c>
      <c r="B142">
        <v>2</v>
      </c>
    </row>
    <row r="143" spans="1:2" x14ac:dyDescent="0.2">
      <c r="A143" s="18" t="s">
        <v>7231</v>
      </c>
      <c r="B143">
        <v>2</v>
      </c>
    </row>
    <row r="144" spans="1:2" x14ac:dyDescent="0.2">
      <c r="A144" s="16" t="s">
        <v>311</v>
      </c>
      <c r="B144">
        <v>3</v>
      </c>
    </row>
    <row r="145" spans="1:2" x14ac:dyDescent="0.2">
      <c r="A145" s="18" t="s">
        <v>7345</v>
      </c>
      <c r="B145">
        <v>3</v>
      </c>
    </row>
    <row r="146" spans="1:2" x14ac:dyDescent="0.2">
      <c r="A146" s="16" t="s">
        <v>4372</v>
      </c>
      <c r="B146">
        <v>1</v>
      </c>
    </row>
    <row r="147" spans="1:2" x14ac:dyDescent="0.2">
      <c r="A147" s="18" t="s">
        <v>7201</v>
      </c>
      <c r="B147">
        <v>1</v>
      </c>
    </row>
    <row r="148" spans="1:2" x14ac:dyDescent="0.2">
      <c r="A148" s="16" t="s">
        <v>142</v>
      </c>
      <c r="B148">
        <v>4</v>
      </c>
    </row>
    <row r="149" spans="1:2" x14ac:dyDescent="0.2">
      <c r="A149" s="18" t="s">
        <v>7301</v>
      </c>
      <c r="B149">
        <v>1</v>
      </c>
    </row>
    <row r="150" spans="1:2" x14ac:dyDescent="0.2">
      <c r="A150" s="18" t="s">
        <v>7203</v>
      </c>
      <c r="B150">
        <v>2</v>
      </c>
    </row>
    <row r="151" spans="1:2" x14ac:dyDescent="0.2">
      <c r="A151" s="18" t="s">
        <v>7198</v>
      </c>
      <c r="B151">
        <v>1</v>
      </c>
    </row>
    <row r="152" spans="1:2" x14ac:dyDescent="0.2">
      <c r="A152" s="16" t="s">
        <v>268</v>
      </c>
      <c r="B152">
        <v>10</v>
      </c>
    </row>
    <row r="153" spans="1:2" x14ac:dyDescent="0.2">
      <c r="A153" s="18" t="s">
        <v>7204</v>
      </c>
      <c r="B153">
        <v>1</v>
      </c>
    </row>
    <row r="154" spans="1:2" x14ac:dyDescent="0.2">
      <c r="A154" s="18" t="s">
        <v>7221</v>
      </c>
      <c r="B154">
        <v>9</v>
      </c>
    </row>
    <row r="155" spans="1:2" x14ac:dyDescent="0.2">
      <c r="A155" s="16" t="s">
        <v>4460</v>
      </c>
      <c r="B155">
        <v>1</v>
      </c>
    </row>
    <row r="156" spans="1:2" x14ac:dyDescent="0.2">
      <c r="A156" s="18" t="s">
        <v>7204</v>
      </c>
      <c r="B156">
        <v>1</v>
      </c>
    </row>
    <row r="157" spans="1:2" x14ac:dyDescent="0.2">
      <c r="A157" s="16" t="s">
        <v>3392</v>
      </c>
      <c r="B157">
        <v>5</v>
      </c>
    </row>
    <row r="158" spans="1:2" x14ac:dyDescent="0.2">
      <c r="A158" s="18" t="s">
        <v>7227</v>
      </c>
      <c r="B158">
        <v>2</v>
      </c>
    </row>
    <row r="159" spans="1:2" x14ac:dyDescent="0.2">
      <c r="A159" s="18" t="s">
        <v>7228</v>
      </c>
      <c r="B159">
        <v>3</v>
      </c>
    </row>
    <row r="160" spans="1:2" x14ac:dyDescent="0.2">
      <c r="A160" s="16" t="s">
        <v>4583</v>
      </c>
      <c r="B160">
        <v>1</v>
      </c>
    </row>
    <row r="161" spans="1:2" x14ac:dyDescent="0.2">
      <c r="A161" s="18" t="s">
        <v>7215</v>
      </c>
      <c r="B161">
        <v>1</v>
      </c>
    </row>
    <row r="162" spans="1:2" x14ac:dyDescent="0.2">
      <c r="A162" s="16" t="s">
        <v>7102</v>
      </c>
      <c r="B162">
        <v>1</v>
      </c>
    </row>
    <row r="163" spans="1:2" x14ac:dyDescent="0.2">
      <c r="A163" s="18" t="s">
        <v>7178</v>
      </c>
      <c r="B163">
        <v>1</v>
      </c>
    </row>
    <row r="164" spans="1:2" x14ac:dyDescent="0.2">
      <c r="A164" s="16" t="s">
        <v>5416</v>
      </c>
      <c r="B164">
        <v>2</v>
      </c>
    </row>
    <row r="165" spans="1:2" x14ac:dyDescent="0.2">
      <c r="A165" s="18" t="s">
        <v>7300</v>
      </c>
      <c r="B165">
        <v>2</v>
      </c>
    </row>
    <row r="166" spans="1:2" x14ac:dyDescent="0.2">
      <c r="A166" s="16" t="s">
        <v>481</v>
      </c>
      <c r="B166">
        <v>4</v>
      </c>
    </row>
    <row r="167" spans="1:2" x14ac:dyDescent="0.2">
      <c r="A167" s="18" t="s">
        <v>7326</v>
      </c>
      <c r="B167">
        <v>3</v>
      </c>
    </row>
    <row r="168" spans="1:2" x14ac:dyDescent="0.2">
      <c r="A168" s="18" t="s">
        <v>7201</v>
      </c>
      <c r="B168">
        <v>1</v>
      </c>
    </row>
    <row r="169" spans="1:2" x14ac:dyDescent="0.2">
      <c r="A169" s="16" t="s">
        <v>3739</v>
      </c>
      <c r="B169">
        <v>1</v>
      </c>
    </row>
    <row r="170" spans="1:2" x14ac:dyDescent="0.2">
      <c r="A170" s="18" t="s">
        <v>7196</v>
      </c>
      <c r="B170">
        <v>1</v>
      </c>
    </row>
    <row r="171" spans="1:2" x14ac:dyDescent="0.2">
      <c r="A171" s="16" t="s">
        <v>3331</v>
      </c>
      <c r="B171">
        <v>1</v>
      </c>
    </row>
    <row r="172" spans="1:2" x14ac:dyDescent="0.2">
      <c r="A172" s="18" t="s">
        <v>7222</v>
      </c>
      <c r="B172">
        <v>1</v>
      </c>
    </row>
    <row r="173" spans="1:2" x14ac:dyDescent="0.2">
      <c r="A173" s="16" t="s">
        <v>4838</v>
      </c>
      <c r="B173">
        <v>5</v>
      </c>
    </row>
    <row r="174" spans="1:2" x14ac:dyDescent="0.2">
      <c r="A174" s="18" t="s">
        <v>7339</v>
      </c>
      <c r="B174">
        <v>1</v>
      </c>
    </row>
    <row r="175" spans="1:2" x14ac:dyDescent="0.2">
      <c r="A175" s="18" t="s">
        <v>7342</v>
      </c>
      <c r="B175">
        <v>4</v>
      </c>
    </row>
    <row r="176" spans="1:2" x14ac:dyDescent="0.2">
      <c r="A176" s="16" t="s">
        <v>164</v>
      </c>
      <c r="B176">
        <v>1</v>
      </c>
    </row>
    <row r="177" spans="1:2" x14ac:dyDescent="0.2">
      <c r="A177" s="18" t="s">
        <v>7197</v>
      </c>
      <c r="B177">
        <v>1</v>
      </c>
    </row>
    <row r="178" spans="1:2" x14ac:dyDescent="0.2">
      <c r="A178" s="16" t="s">
        <v>4381</v>
      </c>
      <c r="B178">
        <v>2</v>
      </c>
    </row>
    <row r="179" spans="1:2" x14ac:dyDescent="0.2">
      <c r="A179" s="18" t="s">
        <v>7197</v>
      </c>
      <c r="B179">
        <v>1</v>
      </c>
    </row>
    <row r="180" spans="1:2" x14ac:dyDescent="0.2">
      <c r="A180" s="18" t="s">
        <v>7195</v>
      </c>
      <c r="B180">
        <v>1</v>
      </c>
    </row>
    <row r="181" spans="1:2" x14ac:dyDescent="0.2">
      <c r="A181" s="16" t="s">
        <v>4213</v>
      </c>
      <c r="B181">
        <v>2</v>
      </c>
    </row>
    <row r="182" spans="1:2" x14ac:dyDescent="0.2">
      <c r="A182" s="18" t="s">
        <v>7195</v>
      </c>
      <c r="B182">
        <v>1</v>
      </c>
    </row>
    <row r="183" spans="1:2" x14ac:dyDescent="0.2">
      <c r="A183" s="18" t="s">
        <v>7223</v>
      </c>
      <c r="B183">
        <v>1</v>
      </c>
    </row>
    <row r="184" spans="1:2" x14ac:dyDescent="0.2">
      <c r="A184" s="16" t="s">
        <v>4538</v>
      </c>
      <c r="B184">
        <v>3</v>
      </c>
    </row>
    <row r="185" spans="1:2" x14ac:dyDescent="0.2">
      <c r="A185" s="18" t="s">
        <v>7211</v>
      </c>
      <c r="B185">
        <v>2</v>
      </c>
    </row>
    <row r="186" spans="1:2" x14ac:dyDescent="0.2">
      <c r="A186" s="18" t="s">
        <v>7219</v>
      </c>
      <c r="B186">
        <v>1</v>
      </c>
    </row>
    <row r="187" spans="1:2" x14ac:dyDescent="0.2">
      <c r="A187" s="18" t="s">
        <v>7174</v>
      </c>
    </row>
    <row r="188" spans="1:2" x14ac:dyDescent="0.2">
      <c r="A188" s="16" t="s">
        <v>6777</v>
      </c>
      <c r="B188">
        <v>1</v>
      </c>
    </row>
    <row r="189" spans="1:2" x14ac:dyDescent="0.2">
      <c r="A189" s="18" t="s">
        <v>169</v>
      </c>
      <c r="B189">
        <v>1</v>
      </c>
    </row>
    <row r="190" spans="1:2" x14ac:dyDescent="0.2">
      <c r="A190" s="16" t="s">
        <v>6363</v>
      </c>
      <c r="B190">
        <v>1</v>
      </c>
    </row>
    <row r="191" spans="1:2" x14ac:dyDescent="0.2">
      <c r="A191" s="18" t="s">
        <v>7309</v>
      </c>
      <c r="B191">
        <v>1</v>
      </c>
    </row>
    <row r="192" spans="1:2" x14ac:dyDescent="0.2">
      <c r="A192" s="16" t="s">
        <v>5099</v>
      </c>
      <c r="B192">
        <v>1</v>
      </c>
    </row>
    <row r="193" spans="1:2" x14ac:dyDescent="0.2">
      <c r="A193" s="18" t="s">
        <v>7333</v>
      </c>
      <c r="B193">
        <v>1</v>
      </c>
    </row>
    <row r="194" spans="1:2" x14ac:dyDescent="0.2">
      <c r="A194" s="16" t="s">
        <v>3461</v>
      </c>
      <c r="B194">
        <v>3</v>
      </c>
    </row>
    <row r="195" spans="1:2" x14ac:dyDescent="0.2">
      <c r="A195" s="18" t="s">
        <v>7214</v>
      </c>
      <c r="B195">
        <v>1</v>
      </c>
    </row>
    <row r="196" spans="1:2" x14ac:dyDescent="0.2">
      <c r="A196" s="18" t="s">
        <v>7200</v>
      </c>
      <c r="B196">
        <v>2</v>
      </c>
    </row>
    <row r="197" spans="1:2" x14ac:dyDescent="0.2">
      <c r="A197" s="16" t="s">
        <v>7047</v>
      </c>
    </row>
    <row r="198" spans="1:2" x14ac:dyDescent="0.2">
      <c r="A198" s="18" t="s">
        <v>7174</v>
      </c>
    </row>
    <row r="199" spans="1:2" x14ac:dyDescent="0.2">
      <c r="A199" s="16" t="s">
        <v>4348</v>
      </c>
      <c r="B199">
        <v>1</v>
      </c>
    </row>
    <row r="200" spans="1:2" x14ac:dyDescent="0.2">
      <c r="A200" s="18" t="s">
        <v>7201</v>
      </c>
      <c r="B200">
        <v>1</v>
      </c>
    </row>
    <row r="201" spans="1:2" x14ac:dyDescent="0.2">
      <c r="A201" s="16" t="s">
        <v>3635</v>
      </c>
      <c r="B201">
        <v>5</v>
      </c>
    </row>
    <row r="202" spans="1:2" x14ac:dyDescent="0.2">
      <c r="A202" s="18" t="s">
        <v>7213</v>
      </c>
      <c r="B202">
        <v>2</v>
      </c>
    </row>
    <row r="203" spans="1:2" x14ac:dyDescent="0.2">
      <c r="A203" s="18" t="s">
        <v>7201</v>
      </c>
      <c r="B203">
        <v>2</v>
      </c>
    </row>
    <row r="204" spans="1:2" x14ac:dyDescent="0.2">
      <c r="A204" s="18" t="s">
        <v>7335</v>
      </c>
      <c r="B204">
        <v>1</v>
      </c>
    </row>
    <row r="205" spans="1:2" x14ac:dyDescent="0.2">
      <c r="A205" s="16" t="s">
        <v>3988</v>
      </c>
      <c r="B205">
        <v>1</v>
      </c>
    </row>
    <row r="206" spans="1:2" x14ac:dyDescent="0.2">
      <c r="A206" s="18" t="s">
        <v>7225</v>
      </c>
      <c r="B206">
        <v>1</v>
      </c>
    </row>
    <row r="207" spans="1:2" x14ac:dyDescent="0.2">
      <c r="A207" s="16" t="s">
        <v>3903</v>
      </c>
      <c r="B207">
        <v>8</v>
      </c>
    </row>
    <row r="208" spans="1:2" x14ac:dyDescent="0.2">
      <c r="A208" s="18" t="s">
        <v>7208</v>
      </c>
      <c r="B208">
        <v>8</v>
      </c>
    </row>
    <row r="209" spans="1:2" x14ac:dyDescent="0.2">
      <c r="A209" s="16" t="s">
        <v>3515</v>
      </c>
      <c r="B209">
        <v>1</v>
      </c>
    </row>
    <row r="210" spans="1:2" x14ac:dyDescent="0.2">
      <c r="A210" s="18" t="s">
        <v>7197</v>
      </c>
      <c r="B210">
        <v>1</v>
      </c>
    </row>
    <row r="211" spans="1:2" x14ac:dyDescent="0.2">
      <c r="A211" s="16" t="s">
        <v>4964</v>
      </c>
      <c r="B211">
        <v>1</v>
      </c>
    </row>
    <row r="212" spans="1:2" x14ac:dyDescent="0.2">
      <c r="A212" s="18" t="s">
        <v>7198</v>
      </c>
      <c r="B212">
        <v>1</v>
      </c>
    </row>
    <row r="213" spans="1:2" x14ac:dyDescent="0.2">
      <c r="A213" s="16" t="s">
        <v>465</v>
      </c>
      <c r="B213">
        <v>3</v>
      </c>
    </row>
    <row r="214" spans="1:2" x14ac:dyDescent="0.2">
      <c r="A214" s="18" t="s">
        <v>7206</v>
      </c>
      <c r="B214">
        <v>1</v>
      </c>
    </row>
    <row r="215" spans="1:2" x14ac:dyDescent="0.2">
      <c r="A215" s="18" t="s">
        <v>7215</v>
      </c>
      <c r="B215">
        <v>1</v>
      </c>
    </row>
    <row r="216" spans="1:2" x14ac:dyDescent="0.2">
      <c r="A216" s="18" t="s">
        <v>7195</v>
      </c>
      <c r="B216">
        <v>1</v>
      </c>
    </row>
    <row r="217" spans="1:2" x14ac:dyDescent="0.2">
      <c r="A217" s="16" t="s">
        <v>208</v>
      </c>
      <c r="B217">
        <v>6</v>
      </c>
    </row>
    <row r="218" spans="1:2" x14ac:dyDescent="0.2">
      <c r="A218" s="18" t="s">
        <v>7202</v>
      </c>
      <c r="B218">
        <v>1</v>
      </c>
    </row>
    <row r="219" spans="1:2" x14ac:dyDescent="0.2">
      <c r="A219" s="18" t="s">
        <v>7201</v>
      </c>
      <c r="B219">
        <v>5</v>
      </c>
    </row>
    <row r="220" spans="1:2" x14ac:dyDescent="0.2">
      <c r="A220" s="18" t="s">
        <v>7174</v>
      </c>
    </row>
    <row r="221" spans="1:2" x14ac:dyDescent="0.2">
      <c r="A221" s="16" t="s">
        <v>4556</v>
      </c>
      <c r="B221">
        <v>1</v>
      </c>
    </row>
    <row r="222" spans="1:2" x14ac:dyDescent="0.2">
      <c r="A222" s="18" t="s">
        <v>7197</v>
      </c>
      <c r="B222">
        <v>1</v>
      </c>
    </row>
    <row r="223" spans="1:2" x14ac:dyDescent="0.2">
      <c r="A223" s="16" t="s">
        <v>248</v>
      </c>
      <c r="B223">
        <v>2</v>
      </c>
    </row>
    <row r="224" spans="1:2" x14ac:dyDescent="0.2">
      <c r="A224" s="18" t="s">
        <v>7208</v>
      </c>
      <c r="B224">
        <v>2</v>
      </c>
    </row>
    <row r="225" spans="1:2" x14ac:dyDescent="0.2">
      <c r="A225" s="16" t="s">
        <v>4754</v>
      </c>
      <c r="B225">
        <v>1</v>
      </c>
    </row>
    <row r="226" spans="1:2" x14ac:dyDescent="0.2">
      <c r="A226" s="18" t="s">
        <v>7220</v>
      </c>
      <c r="B226">
        <v>1</v>
      </c>
    </row>
    <row r="227" spans="1:2" x14ac:dyDescent="0.2">
      <c r="A227" s="18" t="s">
        <v>7174</v>
      </c>
    </row>
    <row r="228" spans="1:2" x14ac:dyDescent="0.2">
      <c r="A228" s="16" t="s">
        <v>4787</v>
      </c>
      <c r="B228">
        <v>1</v>
      </c>
    </row>
    <row r="229" spans="1:2" x14ac:dyDescent="0.2">
      <c r="A229" s="18" t="s">
        <v>7224</v>
      </c>
      <c r="B229">
        <v>1</v>
      </c>
    </row>
    <row r="230" spans="1:2" x14ac:dyDescent="0.2">
      <c r="A230" s="16" t="s">
        <v>3134</v>
      </c>
      <c r="B230">
        <v>4</v>
      </c>
    </row>
    <row r="231" spans="1:2" x14ac:dyDescent="0.2">
      <c r="A231" s="18" t="s">
        <v>7200</v>
      </c>
      <c r="B231">
        <v>1</v>
      </c>
    </row>
    <row r="232" spans="1:2" x14ac:dyDescent="0.2">
      <c r="A232" s="18" t="s">
        <v>7331</v>
      </c>
      <c r="B232">
        <v>2</v>
      </c>
    </row>
    <row r="233" spans="1:2" x14ac:dyDescent="0.2">
      <c r="A233" s="18" t="s">
        <v>7198</v>
      </c>
      <c r="B233">
        <v>1</v>
      </c>
    </row>
    <row r="234" spans="1:2" x14ac:dyDescent="0.2">
      <c r="A234" s="16" t="s">
        <v>5479</v>
      </c>
      <c r="B234">
        <v>5</v>
      </c>
    </row>
    <row r="235" spans="1:2" x14ac:dyDescent="0.2">
      <c r="A235" s="18" t="s">
        <v>7336</v>
      </c>
      <c r="B235">
        <v>5</v>
      </c>
    </row>
    <row r="236" spans="1:2" x14ac:dyDescent="0.2">
      <c r="A236" s="16" t="s">
        <v>3607</v>
      </c>
      <c r="B236">
        <v>1</v>
      </c>
    </row>
    <row r="237" spans="1:2" x14ac:dyDescent="0.2">
      <c r="A237" s="18" t="s">
        <v>7208</v>
      </c>
      <c r="B237">
        <v>1</v>
      </c>
    </row>
    <row r="238" spans="1:2" x14ac:dyDescent="0.2">
      <c r="A238" s="16" t="s">
        <v>6379</v>
      </c>
      <c r="B238">
        <v>1</v>
      </c>
    </row>
    <row r="239" spans="1:2" x14ac:dyDescent="0.2">
      <c r="A239" s="18" t="s">
        <v>7198</v>
      </c>
      <c r="B239">
        <v>1</v>
      </c>
    </row>
    <row r="240" spans="1:2" x14ac:dyDescent="0.2">
      <c r="A240" s="16" t="s">
        <v>95</v>
      </c>
      <c r="B240">
        <v>8</v>
      </c>
    </row>
    <row r="241" spans="1:2" x14ac:dyDescent="0.2">
      <c r="A241" s="18" t="s">
        <v>7331</v>
      </c>
      <c r="B241">
        <v>8</v>
      </c>
    </row>
    <row r="242" spans="1:2" x14ac:dyDescent="0.2">
      <c r="A242" s="16" t="s">
        <v>6185</v>
      </c>
      <c r="B242">
        <v>1</v>
      </c>
    </row>
    <row r="243" spans="1:2" x14ac:dyDescent="0.2">
      <c r="A243" s="18" t="s">
        <v>7317</v>
      </c>
      <c r="B243">
        <v>1</v>
      </c>
    </row>
    <row r="244" spans="1:2" x14ac:dyDescent="0.2">
      <c r="A244" s="16" t="s">
        <v>5231</v>
      </c>
      <c r="B244">
        <v>1</v>
      </c>
    </row>
    <row r="245" spans="1:2" x14ac:dyDescent="0.2">
      <c r="A245" s="18" t="s">
        <v>7333</v>
      </c>
      <c r="B245">
        <v>1</v>
      </c>
    </row>
    <row r="246" spans="1:2" x14ac:dyDescent="0.2">
      <c r="A246" s="16" t="s">
        <v>3918</v>
      </c>
      <c r="B246">
        <v>2</v>
      </c>
    </row>
    <row r="247" spans="1:2" x14ac:dyDescent="0.2">
      <c r="A247" s="18" t="s">
        <v>7219</v>
      </c>
      <c r="B247">
        <v>1</v>
      </c>
    </row>
    <row r="248" spans="1:2" x14ac:dyDescent="0.2">
      <c r="A248" s="18" t="s">
        <v>7325</v>
      </c>
      <c r="B248">
        <v>1</v>
      </c>
    </row>
    <row r="249" spans="1:2" x14ac:dyDescent="0.2">
      <c r="A249" s="16" t="s">
        <v>124</v>
      </c>
      <c r="B249">
        <v>2</v>
      </c>
    </row>
    <row r="250" spans="1:2" x14ac:dyDescent="0.2">
      <c r="A250" s="18" t="s">
        <v>7209</v>
      </c>
      <c r="B250">
        <v>2</v>
      </c>
    </row>
    <row r="251" spans="1:2" x14ac:dyDescent="0.2">
      <c r="A251" s="16" t="s">
        <v>4039</v>
      </c>
      <c r="B251">
        <v>2</v>
      </c>
    </row>
    <row r="252" spans="1:2" x14ac:dyDescent="0.2">
      <c r="A252" s="18" t="s">
        <v>7198</v>
      </c>
      <c r="B252">
        <v>2</v>
      </c>
    </row>
    <row r="253" spans="1:2" x14ac:dyDescent="0.2">
      <c r="A253" s="16" t="s">
        <v>183</v>
      </c>
      <c r="B253">
        <v>39</v>
      </c>
    </row>
    <row r="254" spans="1:2" x14ac:dyDescent="0.2">
      <c r="A254" s="18" t="s">
        <v>7302</v>
      </c>
      <c r="B254">
        <v>2</v>
      </c>
    </row>
    <row r="255" spans="1:2" x14ac:dyDescent="0.2">
      <c r="A255" s="18" t="s">
        <v>7305</v>
      </c>
      <c r="B255">
        <v>1</v>
      </c>
    </row>
    <row r="256" spans="1:2" x14ac:dyDescent="0.2">
      <c r="A256" s="18" t="s">
        <v>7306</v>
      </c>
      <c r="B256">
        <v>1</v>
      </c>
    </row>
    <row r="257" spans="1:2" x14ac:dyDescent="0.2">
      <c r="A257" s="18" t="s">
        <v>7308</v>
      </c>
      <c r="B257">
        <v>1</v>
      </c>
    </row>
    <row r="258" spans="1:2" x14ac:dyDescent="0.2">
      <c r="A258" s="18" t="s">
        <v>7311</v>
      </c>
      <c r="B258">
        <v>1</v>
      </c>
    </row>
    <row r="259" spans="1:2" x14ac:dyDescent="0.2">
      <c r="A259" s="18" t="s">
        <v>7327</v>
      </c>
      <c r="B259">
        <v>9</v>
      </c>
    </row>
    <row r="260" spans="1:2" x14ac:dyDescent="0.2">
      <c r="A260" s="18" t="s">
        <v>7230</v>
      </c>
      <c r="B260">
        <v>2</v>
      </c>
    </row>
    <row r="261" spans="1:2" x14ac:dyDescent="0.2">
      <c r="A261" s="18" t="s">
        <v>7210</v>
      </c>
      <c r="B261">
        <v>19</v>
      </c>
    </row>
    <row r="262" spans="1:2" x14ac:dyDescent="0.2">
      <c r="A262" s="18" t="s">
        <v>7229</v>
      </c>
      <c r="B262">
        <v>1</v>
      </c>
    </row>
    <row r="263" spans="1:2" x14ac:dyDescent="0.2">
      <c r="A263" s="18" t="s">
        <v>7338</v>
      </c>
      <c r="B263">
        <v>2</v>
      </c>
    </row>
    <row r="264" spans="1:2" x14ac:dyDescent="0.2">
      <c r="A264" s="16" t="s">
        <v>4285</v>
      </c>
      <c r="B264">
        <v>3</v>
      </c>
    </row>
    <row r="265" spans="1:2" x14ac:dyDescent="0.2">
      <c r="A265" s="18" t="s">
        <v>7197</v>
      </c>
      <c r="B265">
        <v>1</v>
      </c>
    </row>
    <row r="266" spans="1:2" x14ac:dyDescent="0.2">
      <c r="A266" s="18" t="s">
        <v>7295</v>
      </c>
      <c r="B266">
        <v>1</v>
      </c>
    </row>
    <row r="267" spans="1:2" x14ac:dyDescent="0.2">
      <c r="A267" s="18" t="s">
        <v>7320</v>
      </c>
      <c r="B267">
        <v>1</v>
      </c>
    </row>
    <row r="268" spans="1:2" x14ac:dyDescent="0.2">
      <c r="A268" s="16" t="s">
        <v>3529</v>
      </c>
      <c r="B268">
        <v>2</v>
      </c>
    </row>
    <row r="269" spans="1:2" x14ac:dyDescent="0.2">
      <c r="A269" s="18" t="s">
        <v>7207</v>
      </c>
      <c r="B269">
        <v>2</v>
      </c>
    </row>
    <row r="270" spans="1:2" x14ac:dyDescent="0.2">
      <c r="A270" s="16" t="s">
        <v>3848</v>
      </c>
      <c r="B270">
        <v>2</v>
      </c>
    </row>
    <row r="271" spans="1:2" x14ac:dyDescent="0.2">
      <c r="A271" s="18" t="s">
        <v>7304</v>
      </c>
      <c r="B271">
        <v>1</v>
      </c>
    </row>
    <row r="272" spans="1:2" x14ac:dyDescent="0.2">
      <c r="A272" s="18" t="s">
        <v>7343</v>
      </c>
      <c r="B272">
        <v>1</v>
      </c>
    </row>
    <row r="273" spans="1:2" x14ac:dyDescent="0.2">
      <c r="A273" s="16" t="s">
        <v>4768</v>
      </c>
      <c r="B273">
        <v>3</v>
      </c>
    </row>
    <row r="274" spans="1:2" x14ac:dyDescent="0.2">
      <c r="A274" s="18" t="s">
        <v>7297</v>
      </c>
      <c r="B274">
        <v>2</v>
      </c>
    </row>
    <row r="275" spans="1:2" x14ac:dyDescent="0.2">
      <c r="A275" s="18" t="s">
        <v>7221</v>
      </c>
      <c r="B275">
        <v>1</v>
      </c>
    </row>
    <row r="276" spans="1:2" x14ac:dyDescent="0.2">
      <c r="A276" s="16" t="s">
        <v>4699</v>
      </c>
      <c r="B276">
        <v>1</v>
      </c>
    </row>
    <row r="277" spans="1:2" x14ac:dyDescent="0.2">
      <c r="A277" s="18" t="s">
        <v>7200</v>
      </c>
      <c r="B277">
        <v>1</v>
      </c>
    </row>
    <row r="278" spans="1:2" x14ac:dyDescent="0.2">
      <c r="A278" s="16" t="s">
        <v>4477</v>
      </c>
      <c r="B278">
        <v>1</v>
      </c>
    </row>
    <row r="279" spans="1:2" x14ac:dyDescent="0.2">
      <c r="A279" s="18" t="s">
        <v>7206</v>
      </c>
      <c r="B279">
        <v>1</v>
      </c>
    </row>
    <row r="280" spans="1:2" x14ac:dyDescent="0.2">
      <c r="A280" s="16" t="s">
        <v>6128</v>
      </c>
      <c r="B280">
        <v>1</v>
      </c>
    </row>
    <row r="281" spans="1:2" x14ac:dyDescent="0.2">
      <c r="A281" s="18" t="s">
        <v>7197</v>
      </c>
      <c r="B281">
        <v>1</v>
      </c>
    </row>
    <row r="282" spans="1:2" x14ac:dyDescent="0.2">
      <c r="A282" s="16" t="s">
        <v>4600</v>
      </c>
      <c r="B282">
        <v>4</v>
      </c>
    </row>
    <row r="283" spans="1:2" x14ac:dyDescent="0.2">
      <c r="A283" s="18" t="s">
        <v>7296</v>
      </c>
      <c r="B283">
        <v>3</v>
      </c>
    </row>
    <row r="284" spans="1:2" x14ac:dyDescent="0.2">
      <c r="A284" s="18" t="s">
        <v>7350</v>
      </c>
      <c r="B284">
        <v>1</v>
      </c>
    </row>
    <row r="285" spans="1:2" x14ac:dyDescent="0.2">
      <c r="A285" s="16" t="s">
        <v>3179</v>
      </c>
      <c r="B285">
        <v>2</v>
      </c>
    </row>
    <row r="286" spans="1:2" x14ac:dyDescent="0.2">
      <c r="A286" s="18" t="s">
        <v>7195</v>
      </c>
      <c r="B286">
        <v>1</v>
      </c>
    </row>
    <row r="287" spans="1:2" x14ac:dyDescent="0.2">
      <c r="A287" s="18" t="s">
        <v>7331</v>
      </c>
      <c r="B287">
        <v>1</v>
      </c>
    </row>
    <row r="288" spans="1:2" x14ac:dyDescent="0.2">
      <c r="A288" s="16" t="s">
        <v>3165</v>
      </c>
      <c r="B288">
        <v>6</v>
      </c>
    </row>
    <row r="289" spans="1:2" x14ac:dyDescent="0.2">
      <c r="A289" s="18" t="s">
        <v>7228</v>
      </c>
      <c r="B289">
        <v>1</v>
      </c>
    </row>
    <row r="290" spans="1:2" x14ac:dyDescent="0.2">
      <c r="A290" s="18" t="s">
        <v>7214</v>
      </c>
      <c r="B290">
        <v>1</v>
      </c>
    </row>
    <row r="291" spans="1:2" x14ac:dyDescent="0.2">
      <c r="A291" s="18" t="s">
        <v>7310</v>
      </c>
      <c r="B291">
        <v>1</v>
      </c>
    </row>
    <row r="292" spans="1:2" x14ac:dyDescent="0.2">
      <c r="A292" s="18" t="s">
        <v>7204</v>
      </c>
      <c r="B292">
        <v>1</v>
      </c>
    </row>
    <row r="293" spans="1:2" x14ac:dyDescent="0.2">
      <c r="A293" s="18" t="s">
        <v>7313</v>
      </c>
      <c r="B293">
        <v>1</v>
      </c>
    </row>
    <row r="294" spans="1:2" x14ac:dyDescent="0.2">
      <c r="A294" s="18" t="s">
        <v>7203</v>
      </c>
      <c r="B294">
        <v>1</v>
      </c>
    </row>
    <row r="295" spans="1:2" x14ac:dyDescent="0.2">
      <c r="A295" s="16" t="s">
        <v>5713</v>
      </c>
      <c r="B295">
        <v>1</v>
      </c>
    </row>
    <row r="296" spans="1:2" x14ac:dyDescent="0.2">
      <c r="A296" s="18" t="s">
        <v>7299</v>
      </c>
      <c r="B296">
        <v>1</v>
      </c>
    </row>
    <row r="297" spans="1:2" x14ac:dyDescent="0.2">
      <c r="A297" s="16" t="s">
        <v>353</v>
      </c>
      <c r="B297">
        <v>11</v>
      </c>
    </row>
    <row r="298" spans="1:2" x14ac:dyDescent="0.2">
      <c r="A298" s="18" t="s">
        <v>7222</v>
      </c>
      <c r="B298">
        <v>1</v>
      </c>
    </row>
    <row r="299" spans="1:2" x14ac:dyDescent="0.2">
      <c r="A299" s="18" t="s">
        <v>7202</v>
      </c>
      <c r="B299">
        <v>1</v>
      </c>
    </row>
    <row r="300" spans="1:2" x14ac:dyDescent="0.2">
      <c r="A300" s="18" t="s">
        <v>7231</v>
      </c>
      <c r="B300">
        <v>1</v>
      </c>
    </row>
    <row r="301" spans="1:2" x14ac:dyDescent="0.2">
      <c r="A301" s="18" t="s">
        <v>7198</v>
      </c>
      <c r="B301">
        <v>8</v>
      </c>
    </row>
    <row r="302" spans="1:2" x14ac:dyDescent="0.2">
      <c r="A302" s="16" t="s">
        <v>4502</v>
      </c>
      <c r="B302">
        <v>4</v>
      </c>
    </row>
    <row r="303" spans="1:2" x14ac:dyDescent="0.2">
      <c r="A303" s="18" t="s">
        <v>7195</v>
      </c>
      <c r="B303">
        <v>1</v>
      </c>
    </row>
    <row r="304" spans="1:2" x14ac:dyDescent="0.2">
      <c r="A304" s="18" t="s">
        <v>7316</v>
      </c>
      <c r="B304">
        <v>1</v>
      </c>
    </row>
    <row r="305" spans="1:2" x14ac:dyDescent="0.2">
      <c r="A305" s="18" t="s">
        <v>7208</v>
      </c>
      <c r="B305">
        <v>1</v>
      </c>
    </row>
    <row r="306" spans="1:2" x14ac:dyDescent="0.2">
      <c r="A306" s="18" t="s">
        <v>7231</v>
      </c>
      <c r="B306">
        <v>1</v>
      </c>
    </row>
    <row r="307" spans="1:2" x14ac:dyDescent="0.2">
      <c r="A307" s="16" t="s">
        <v>3647</v>
      </c>
      <c r="B307">
        <v>5</v>
      </c>
    </row>
    <row r="308" spans="1:2" x14ac:dyDescent="0.2">
      <c r="A308" s="18" t="s">
        <v>7312</v>
      </c>
      <c r="B308">
        <v>1</v>
      </c>
    </row>
    <row r="309" spans="1:2" x14ac:dyDescent="0.2">
      <c r="A309" s="18" t="s">
        <v>7224</v>
      </c>
      <c r="B309">
        <v>1</v>
      </c>
    </row>
    <row r="310" spans="1:2" x14ac:dyDescent="0.2">
      <c r="A310" s="18" t="s">
        <v>7314</v>
      </c>
      <c r="B310">
        <v>2</v>
      </c>
    </row>
    <row r="311" spans="1:2" x14ac:dyDescent="0.2">
      <c r="A311" s="18" t="s">
        <v>7219</v>
      </c>
      <c r="B311">
        <v>1</v>
      </c>
    </row>
    <row r="312" spans="1:2" x14ac:dyDescent="0.2">
      <c r="A312" s="16" t="s">
        <v>5118</v>
      </c>
      <c r="B312">
        <v>1</v>
      </c>
    </row>
    <row r="313" spans="1:2" x14ac:dyDescent="0.2">
      <c r="A313" s="18" t="s">
        <v>7347</v>
      </c>
      <c r="B313">
        <v>1</v>
      </c>
    </row>
    <row r="314" spans="1:2" x14ac:dyDescent="0.2">
      <c r="A314" s="16" t="s">
        <v>4732</v>
      </c>
      <c r="B314">
        <v>1</v>
      </c>
    </row>
    <row r="315" spans="1:2" x14ac:dyDescent="0.2">
      <c r="A315" s="18" t="s">
        <v>7218</v>
      </c>
      <c r="B315">
        <v>1</v>
      </c>
    </row>
    <row r="316" spans="1:2" x14ac:dyDescent="0.2">
      <c r="A316" s="16" t="s">
        <v>3702</v>
      </c>
      <c r="B316">
        <v>4</v>
      </c>
    </row>
    <row r="317" spans="1:2" x14ac:dyDescent="0.2">
      <c r="A317" s="18" t="s">
        <v>7197</v>
      </c>
      <c r="B317">
        <v>3</v>
      </c>
    </row>
    <row r="318" spans="1:2" x14ac:dyDescent="0.2">
      <c r="A318" s="18" t="s">
        <v>7215</v>
      </c>
      <c r="B318">
        <v>1</v>
      </c>
    </row>
    <row r="319" spans="1:2" x14ac:dyDescent="0.2">
      <c r="A319" s="16" t="s">
        <v>7174</v>
      </c>
    </row>
    <row r="320" spans="1:2" x14ac:dyDescent="0.2">
      <c r="A320" s="18" t="s">
        <v>7174</v>
      </c>
    </row>
    <row r="321" spans="1:2" x14ac:dyDescent="0.2">
      <c r="A321" s="16" t="s">
        <v>7175</v>
      </c>
      <c r="B321">
        <v>559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AE43-9DB3-4065-8C2D-DEF37EE76470}">
  <dimension ref="A1:L13"/>
  <sheetViews>
    <sheetView workbookViewId="0">
      <selection activeCell="E5" sqref="E5"/>
    </sheetView>
  </sheetViews>
  <sheetFormatPr baseColWidth="10" defaultColWidth="8.83203125" defaultRowHeight="15" x14ac:dyDescent="0.2"/>
  <sheetData>
    <row r="1" spans="1:12" x14ac:dyDescent="0.2">
      <c r="B1" t="s">
        <v>7353</v>
      </c>
      <c r="C1" t="s">
        <v>7354</v>
      </c>
      <c r="D1" t="s">
        <v>7355</v>
      </c>
      <c r="E1" t="s">
        <v>7356</v>
      </c>
      <c r="F1" t="s">
        <v>7357</v>
      </c>
      <c r="G1" t="s">
        <v>7358</v>
      </c>
      <c r="H1" t="s">
        <v>7359</v>
      </c>
      <c r="I1" t="s">
        <v>7360</v>
      </c>
      <c r="J1" t="s">
        <v>7361</v>
      </c>
      <c r="K1" t="s">
        <v>7362</v>
      </c>
      <c r="L1" t="s">
        <v>7363</v>
      </c>
    </row>
    <row r="2" spans="1:12" x14ac:dyDescent="0.2">
      <c r="A2" t="s">
        <v>603</v>
      </c>
    </row>
    <row r="3" spans="1:12" x14ac:dyDescent="0.2">
      <c r="A3" t="s">
        <v>7152</v>
      </c>
    </row>
    <row r="4" spans="1:12" x14ac:dyDescent="0.2">
      <c r="A4" t="s">
        <v>7154</v>
      </c>
      <c r="B4">
        <v>7</v>
      </c>
      <c r="F4">
        <v>1</v>
      </c>
      <c r="G4">
        <v>1</v>
      </c>
    </row>
    <row r="5" spans="1:12" x14ac:dyDescent="0.2">
      <c r="A5" t="s">
        <v>7156</v>
      </c>
      <c r="B5">
        <v>1</v>
      </c>
      <c r="C5">
        <v>1</v>
      </c>
      <c r="E5">
        <v>1</v>
      </c>
      <c r="F5">
        <v>1</v>
      </c>
      <c r="G5">
        <v>2</v>
      </c>
    </row>
    <row r="6" spans="1:12" x14ac:dyDescent="0.2">
      <c r="A6" t="s">
        <v>7158</v>
      </c>
    </row>
    <row r="7" spans="1:12" x14ac:dyDescent="0.2">
      <c r="A7" t="s">
        <v>7160</v>
      </c>
    </row>
    <row r="8" spans="1:12" x14ac:dyDescent="0.2">
      <c r="A8" s="16" t="s">
        <v>7286</v>
      </c>
    </row>
    <row r="9" spans="1:12" x14ac:dyDescent="0.2">
      <c r="A9" s="16" t="s">
        <v>7244</v>
      </c>
    </row>
    <row r="10" spans="1:12" x14ac:dyDescent="0.2">
      <c r="A10" s="16" t="s">
        <v>7281</v>
      </c>
    </row>
    <row r="11" spans="1:12" x14ac:dyDescent="0.2">
      <c r="A11" s="16" t="s">
        <v>7235</v>
      </c>
    </row>
    <row r="12" spans="1:12" x14ac:dyDescent="0.2">
      <c r="A12" s="16" t="s">
        <v>7248</v>
      </c>
    </row>
    <row r="13" spans="1:12" x14ac:dyDescent="0.2">
      <c r="A13" s="16" t="s">
        <v>7259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8355F32F4B64093FEF5146C5A491B" ma:contentTypeVersion="19" ma:contentTypeDescription="Create a new document." ma:contentTypeScope="" ma:versionID="079beb0219f363c4e1b00446359a6453">
  <xsd:schema xmlns:xsd="http://www.w3.org/2001/XMLSchema" xmlns:xs="http://www.w3.org/2001/XMLSchema" xmlns:p="http://schemas.microsoft.com/office/2006/metadata/properties" xmlns:ns2="62427a70-56b6-4b79-9700-b228ea8bdfac" xmlns:ns3="aa6be833-1673-4004-ab0b-89562d522927" targetNamespace="http://schemas.microsoft.com/office/2006/metadata/properties" ma:root="true" ma:fieldsID="9cba6ed262c5bc09c428cf35acd87275" ns2:_="" ns3:_="">
    <xsd:import namespace="62427a70-56b6-4b79-9700-b228ea8bdfac"/>
    <xsd:import namespace="aa6be833-1673-4004-ab0b-89562d5229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27a70-56b6-4b79-9700-b228ea8bd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c272d96-1133-4787-9d95-5d8ca748e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be833-1673-4004-ab0b-89562d52292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e515e13-7e20-4fbd-a623-653987d68d61}" ma:internalName="TaxCatchAll" ma:showField="CatchAllData" ma:web="aa6be833-1673-4004-ab0b-89562d5229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6be833-1673-4004-ab0b-89562d522927" xsi:nil="true"/>
    <lcf76f155ced4ddcb4097134ff3c332f xmlns="62427a70-56b6-4b79-9700-b228ea8bdf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3F8EBC-666A-43EB-9019-395D7F7C9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27a70-56b6-4b79-9700-b228ea8bdfac"/>
    <ds:schemaRef ds:uri="aa6be833-1673-4004-ab0b-89562d5229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906340-201B-4893-A90C-908CACBB6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194D10-184E-4004-80BA-E22587F5D032}">
  <ds:schemaRefs>
    <ds:schemaRef ds:uri="http://schemas.microsoft.com/office/2006/metadata/properties"/>
    <ds:schemaRef ds:uri="http://schemas.microsoft.com/office/infopath/2007/PartnerControls"/>
    <ds:schemaRef ds:uri="aa6be833-1673-4004-ab0b-89562d522927"/>
    <ds:schemaRef ds:uri="62427a70-56b6-4b79-9700-b228ea8bdf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vtx_bysourcelamb</vt:lpstr>
      <vt:lpstr>vtx_bysource</vt:lpstr>
      <vt:lpstr>new_stx_by_source</vt:lpstr>
      <vt:lpstr>stx_pies_497</vt:lpstr>
      <vt:lpstr>Sheet14</vt:lpstr>
      <vt:lpstr>alldata</vt:lpstr>
      <vt:lpstr>alldata_newdb</vt:lpstr>
      <vt:lpstr>pivot_variant</vt:lpstr>
      <vt:lpstr>R_assocplot</vt:lpstr>
      <vt:lpstr>R_bubbleplot</vt:lpstr>
      <vt:lpstr>otype_by_source_pivot</vt:lpstr>
      <vt:lpstr>prjna454819</vt:lpstr>
      <vt:lpstr>serotype_bysource</vt:lpstr>
      <vt:lpstr>ter_pies_R</vt:lpstr>
      <vt:lpstr>stx_source_pies_R</vt:lpstr>
      <vt:lpstr>R_w_lamb</vt:lpstr>
      <vt:lpstr>Sheet6</vt:lpstr>
      <vt:lpstr>Sheet18</vt:lpstr>
      <vt:lpstr>pivot_variant!Extract</vt:lpstr>
      <vt:lpstr>serotype_bysource!Extract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Ashley (CFIA/ACIA)</dc:creator>
  <cp:lastModifiedBy>Noor Shubair</cp:lastModifiedBy>
  <dcterms:created xsi:type="dcterms:W3CDTF">2015-06-05T18:17:20Z</dcterms:created>
  <dcterms:modified xsi:type="dcterms:W3CDTF">2026-08-24T03:04:00Z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0x01010062E8355F32F4B64093FEF5146C5A491B</vt:lpwstr>
  </property>
</Properties>
</file>