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oorshubair/Desktop/chapter2/"/>
    </mc:Choice>
  </mc:AlternateContent>
  <xr:revisionPtr revIDLastSave="0" documentId="13_ncr:1_{CDCA5D73-F084-E74D-AF02-21217E3E645D}" xr6:coauthVersionLast="47" xr6:coauthVersionMax="47" xr10:uidLastSave="{00000000-0000-0000-0000-000000000000}"/>
  <bookViews>
    <workbookView xWindow="0" yWindow="660" windowWidth="30240" windowHeight="17700" activeTab="1" xr2:uid="{00000000-000D-0000-FFFF-FFFF00000000}"/>
  </bookViews>
  <sheets>
    <sheet name="All_Metrics" sheetId="1" r:id="rId1"/>
    <sheet name="Sheet1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3" l="1"/>
  <c r="K16" i="3"/>
  <c r="J16" i="3"/>
  <c r="I16" i="3"/>
  <c r="H16" i="3"/>
  <c r="G16" i="3"/>
  <c r="L15" i="3"/>
  <c r="K15" i="3"/>
  <c r="J15" i="3"/>
  <c r="I15" i="3"/>
  <c r="H15" i="3"/>
  <c r="G15" i="3"/>
  <c r="L14" i="3"/>
  <c r="K14" i="3"/>
  <c r="J14" i="3"/>
  <c r="I14" i="3"/>
  <c r="H14" i="3"/>
  <c r="G14" i="3"/>
  <c r="L13" i="3"/>
  <c r="K13" i="3"/>
  <c r="J13" i="3"/>
  <c r="I13" i="3"/>
  <c r="H13" i="3"/>
  <c r="G13" i="3"/>
  <c r="L12" i="3"/>
  <c r="K12" i="3"/>
  <c r="J12" i="3"/>
  <c r="I12" i="3"/>
  <c r="H12" i="3"/>
  <c r="G12" i="3"/>
  <c r="L11" i="3"/>
  <c r="K11" i="3"/>
  <c r="J11" i="3"/>
  <c r="I11" i="3"/>
  <c r="H11" i="3"/>
  <c r="G11" i="3"/>
  <c r="L10" i="3"/>
  <c r="K10" i="3"/>
  <c r="J10" i="3"/>
  <c r="I10" i="3"/>
  <c r="H10" i="3"/>
  <c r="G10" i="3"/>
  <c r="L9" i="3"/>
  <c r="K9" i="3"/>
  <c r="J9" i="3"/>
  <c r="I9" i="3"/>
  <c r="H9" i="3"/>
  <c r="G9" i="3"/>
  <c r="L8" i="3"/>
  <c r="K8" i="3"/>
  <c r="J8" i="3"/>
  <c r="I8" i="3"/>
  <c r="H8" i="3"/>
  <c r="G8" i="3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L3" i="3"/>
  <c r="K3" i="3"/>
  <c r="J3" i="3"/>
  <c r="I3" i="3"/>
  <c r="H3" i="3"/>
  <c r="G3" i="3"/>
  <c r="L2" i="3"/>
  <c r="K2" i="3"/>
  <c r="J2" i="3"/>
  <c r="I2" i="3"/>
  <c r="H2" i="3"/>
  <c r="G2" i="3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K6" i="1"/>
  <c r="J6" i="1"/>
  <c r="I6" i="1"/>
  <c r="H6" i="1"/>
  <c r="M5" i="1"/>
  <c r="L5" i="1"/>
  <c r="K5" i="1"/>
  <c r="J5" i="1"/>
  <c r="I5" i="1"/>
  <c r="H5" i="1"/>
  <c r="M4" i="1"/>
  <c r="L4" i="1"/>
  <c r="K4" i="1"/>
  <c r="J4" i="1"/>
  <c r="I4" i="1"/>
  <c r="H4" i="1"/>
  <c r="M3" i="1"/>
  <c r="L3" i="1"/>
  <c r="K3" i="1"/>
  <c r="J3" i="1"/>
  <c r="I3" i="1"/>
  <c r="H3" i="1"/>
  <c r="M2" i="1"/>
  <c r="L2" i="1"/>
  <c r="K2" i="1"/>
  <c r="J2" i="1"/>
  <c r="I2" i="1"/>
  <c r="H2" i="1"/>
  <c r="M7" i="3" l="1"/>
  <c r="M13" i="3"/>
  <c r="M11" i="3"/>
  <c r="M5" i="3"/>
  <c r="M14" i="3"/>
  <c r="M15" i="3"/>
  <c r="M9" i="3"/>
  <c r="M16" i="3"/>
  <c r="M3" i="3"/>
  <c r="M2" i="3"/>
  <c r="M4" i="3"/>
  <c r="M6" i="3"/>
  <c r="M8" i="3"/>
  <c r="M10" i="3"/>
  <c r="M12" i="3"/>
  <c r="N7" i="1"/>
  <c r="N14" i="1"/>
  <c r="N5" i="1"/>
  <c r="N13" i="1"/>
  <c r="N15" i="1"/>
  <c r="N11" i="1"/>
  <c r="N9" i="1"/>
  <c r="N12" i="1"/>
  <c r="N10" i="1"/>
  <c r="N8" i="1"/>
  <c r="N6" i="1"/>
  <c r="N4" i="1"/>
  <c r="N2" i="1"/>
  <c r="N3" i="1"/>
  <c r="N16" i="1"/>
</calcChain>
</file>

<file path=xl/sharedStrings.xml><?xml version="1.0" encoding="utf-8"?>
<sst xmlns="http://schemas.openxmlformats.org/spreadsheetml/2006/main" count="118" uniqueCount="60">
  <si>
    <t>Tool</t>
  </si>
  <si>
    <t>Parameter_Set</t>
  </si>
  <si>
    <t>Source_Workbook</t>
  </si>
  <si>
    <t>TP</t>
  </si>
  <si>
    <t>FP</t>
  </si>
  <si>
    <t>FN</t>
  </si>
  <si>
    <t>TN</t>
  </si>
  <si>
    <t>Sensitivity/Recall</t>
  </si>
  <si>
    <t>Specificity</t>
  </si>
  <si>
    <t>Precision/PPV</t>
  </si>
  <si>
    <t>KMA</t>
  </si>
  <si>
    <t>Sipprverse</t>
  </si>
  <si>
    <t>sipprverse_subtype_comparison_results_0.98.xlsx</t>
  </si>
  <si>
    <t>GeneSeekr</t>
  </si>
  <si>
    <t>GeneSeekr_Subtype_Comparison.xlsx</t>
  </si>
  <si>
    <t>NCBI StxTyper</t>
  </si>
  <si>
    <t>StxTyper_Subtype_Comparison.xlsx</t>
  </si>
  <si>
    <t>Item</t>
  </si>
  <si>
    <t>Description</t>
  </si>
  <si>
    <t>Purpose</t>
  </si>
  <si>
    <t>Standardized subtype-level performance comparison across KMA, Sipprverse, GeneSeekr, and NCBI StxTyper.</t>
  </si>
  <si>
    <t>All 12 parameter combinations from 70–95% identity and ConClave modes 1 and 2 are included.</t>
  </si>
  <si>
    <t>Best KMA selection</t>
  </si>
  <si>
    <t>Selected by highest F1 score: 70% ID, conclave 1.</t>
  </si>
  <si>
    <t>Metrics taken from the uploaded 98% identity subtype comparison workbook.</t>
  </si>
  <si>
    <t>Metrics taken from the uploaded best-hit-per-region subtype comparison workbook.</t>
  </si>
  <si>
    <t>Metrics taken from the uploaded COMPLETE-operon-only subtype comparison workbook.</t>
  </si>
  <si>
    <t>Metric definitions</t>
  </si>
  <si>
    <t>NPV</t>
  </si>
  <si>
    <t>Accuracy</t>
  </si>
  <si>
    <t>F1_Score</t>
  </si>
  <si>
    <t>F1_Rank</t>
  </si>
  <si>
    <t>Sensitivity = TP/(TP+FN); Specificity = TN/(TN+FP); Precision = TP/(TP+FP); NPV = TN/(TN+FN); Accuracy = (TP+TN)/(TP+FP+FN+TN); F1 = 2TP/(2TP+FP+FN).</t>
  </si>
  <si>
    <t>No cutoff; best hit per region</t>
  </si>
  <si>
    <t>No cutoff; COMPLETE operons only</t>
  </si>
  <si>
    <t>70% ID, ConClave 1</t>
  </si>
  <si>
    <t>KMA_70_ConClave1_noTN.xlsx</t>
  </si>
  <si>
    <t>70% ID, ConClave 2</t>
  </si>
  <si>
    <t>KMA_70_ConClave2_noTN.xlsx</t>
  </si>
  <si>
    <t>75% ID, ConClave 1</t>
  </si>
  <si>
    <t>KMA_75_ConClave1_noTN.xlsx</t>
  </si>
  <si>
    <t>75% ID, ConClave 2</t>
  </si>
  <si>
    <t>KMA_75_ConClave2_noTN.xlsx</t>
  </si>
  <si>
    <t>80% ID, ConClave 1</t>
  </si>
  <si>
    <t>KMA_80_ConClave1_noTN.xlsx</t>
  </si>
  <si>
    <t>80% ID, ConClave 2</t>
  </si>
  <si>
    <t>KMA_80_ConClave2_noTN.xlsx</t>
  </si>
  <si>
    <t>85% ID, ConClave 1</t>
  </si>
  <si>
    <t>KMA_85_ConClave1_noTN.xlsx</t>
  </si>
  <si>
    <t>85% ID, ConClave 2</t>
  </si>
  <si>
    <t>KMA_85_ConClave2_noTN.xlsx</t>
  </si>
  <si>
    <t>90% ID, ConClave 1</t>
  </si>
  <si>
    <t>KMA_90_ConClave1_noTN.xlsx</t>
  </si>
  <si>
    <t>90% ID, ConClave 2</t>
  </si>
  <si>
    <t>KMA_90_ConClave2_noTN.xlsx</t>
  </si>
  <si>
    <t>95% ID, ConClave 1</t>
  </si>
  <si>
    <t>KMA_95_ConClave1_noTN.xlsx</t>
  </si>
  <si>
    <t>95% ID, ConClave 2</t>
  </si>
  <si>
    <t>KMA_95_ConClave2_noTN.xlsx</t>
  </si>
  <si>
    <t>98%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</si>
</sst>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10" fontId="1" fillId="3" borderId="0" xfId="0" applyNumberFormat="1" applyFont="1" applyFill="1" applyAlignment="1">
      <alignment vertical="center" wrapText="1"/>
    </xf>
    <xf numFmtId="10" fontId="1" fillId="3" borderId="2" xfId="0" applyNumberFormat="1" applyFont="1" applyFill="1" applyBorder="1" applyAlignment="1">
      <alignment vertical="center" wrapText="1"/>
    </xf>
    <xf numFmtId="10" fontId="1" fillId="0" borderId="2" xfId="0" applyNumberFormat="1" applyFont="1" applyBorder="1" applyAlignment="1">
      <alignment vertical="center" wrapText="1"/>
    </xf>
    <xf numFmtId="10" fontId="1" fillId="0" borderId="5" xfId="0" applyNumberFormat="1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1" fontId="4" fillId="0" borderId="0" xfId="0" applyNumberFormat="1" applyFont="1"/>
    <xf numFmtId="0" fontId="4" fillId="0" borderId="0" xfId="0" applyFont="1"/>
    <xf numFmtId="1" fontId="4" fillId="4" borderId="0" xfId="0" applyNumberFormat="1" applyFont="1" applyFill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MetricsTable" displayName="AllMetricsTable" ref="A1:N16">
  <tableColumns count="14">
    <tableColumn id="1" xr3:uid="{00000000-0010-0000-0000-000001000000}" name="Tool"/>
    <tableColumn id="2" xr3:uid="{00000000-0010-0000-0000-000002000000}" name="Parameter_Set"/>
    <tableColumn id="3" xr3:uid="{00000000-0010-0000-0000-000003000000}" name="Source_Workbook"/>
    <tableColumn id="4" xr3:uid="{00000000-0010-0000-0000-000004000000}" name="TP"/>
    <tableColumn id="5" xr3:uid="{00000000-0010-0000-0000-000005000000}" name="FP"/>
    <tableColumn id="6" xr3:uid="{00000000-0010-0000-0000-000006000000}" name="FN"/>
    <tableColumn id="7" xr3:uid="{00000000-0010-0000-0000-000007000000}" name="TN"/>
    <tableColumn id="8" xr3:uid="{00000000-0010-0000-0000-000008000000}" name="Sensitivity/Recall"/>
    <tableColumn id="9" xr3:uid="{00000000-0010-0000-0000-000009000000}" name="Specificity"/>
    <tableColumn id="10" xr3:uid="{00000000-0010-0000-0000-00000A000000}" name="Precision/PPV"/>
    <tableColumn id="11" xr3:uid="{00000000-0010-0000-0000-00000B000000}" name="NPV"/>
    <tableColumn id="12" xr3:uid="{00000000-0010-0000-0000-00000C000000}" name="Accuracy"/>
    <tableColumn id="13" xr3:uid="{00000000-0010-0000-0000-00000D000000}" name="F1_Score"/>
    <tableColumn id="14" xr3:uid="{D3F41D7D-FBC7-9C4D-9BE9-31BBFEEB754B}" name="F1_Rank" dataDxfId="1">
      <calculatedColumnFormula>RANK(M2,$M$2:$M$16,0)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C52377-E7E0-D24C-8F14-B038647D49C3}" name="AllMetricsTable3" displayName="AllMetricsTable3" ref="A1:M16">
  <tableColumns count="13">
    <tableColumn id="1" xr3:uid="{A999544F-ED36-3245-8F6A-5CB50A0D45B9}" name="Tool"/>
    <tableColumn id="2" xr3:uid="{0EBF8122-FF1D-9B4B-83D3-4EF7B28E1DB7}" name="Parameter_Set"/>
    <tableColumn id="4" xr3:uid="{5CA85A30-1547-0549-A764-5B05C5E6DFFD}" name="TP"/>
    <tableColumn id="5" xr3:uid="{9E5534CA-8779-FB4C-9706-30E1E8DB7C35}" name="FP"/>
    <tableColumn id="6" xr3:uid="{3A8B20F9-AFDD-1A46-9A3C-15F3408FA3CC}" name="FN"/>
    <tableColumn id="7" xr3:uid="{CE38DB0B-77D5-F648-828F-F524CE91E4F5}" name="TN"/>
    <tableColumn id="8" xr3:uid="{D15B46D4-CB80-D844-8EB9-D3F7A1C24EDE}" name="Sensitivity/Recall">
      <calculatedColumnFormula>IFERROR(C2/(C2+E2),0)</calculatedColumnFormula>
    </tableColumn>
    <tableColumn id="9" xr3:uid="{946D6288-FFD7-3A4E-82D5-C0ABF7B66C13}" name="Specificity">
      <calculatedColumnFormula>IFERROR(F2/(F2+D2),0)</calculatedColumnFormula>
    </tableColumn>
    <tableColumn id="10" xr3:uid="{F31A8F24-CB65-BE4B-9D43-CAA58AD4753F}" name="Precision/PPV">
      <calculatedColumnFormula>IFERROR(C2/(C2+D2),0)</calculatedColumnFormula>
    </tableColumn>
    <tableColumn id="11" xr3:uid="{01F92820-0621-8C4B-B654-7B47A51390E2}" name="NPV">
      <calculatedColumnFormula>IFERROR(F2/(F2+E2),0)</calculatedColumnFormula>
    </tableColumn>
    <tableColumn id="12" xr3:uid="{16FAE66E-8AD5-AF42-9E39-98CEF77413E6}" name="Accuracy">
      <calculatedColumnFormula>IFERROR((C2+F2)/(C2+D2+E2+F2),0)</calculatedColumnFormula>
    </tableColumn>
    <tableColumn id="13" xr3:uid="{FF1A63DA-41B7-2F4E-A7CF-9B3D859C9437}" name="F1_Score">
      <calculatedColumnFormula>IFERROR((2*C2)/(2*C2+D2+E2),0)</calculatedColumnFormula>
    </tableColumn>
    <tableColumn id="14" xr3:uid="{736F2D86-142F-EB46-A67C-30D9F850303B}" name="F1_Rank" dataDxfId="0">
      <calculatedColumnFormula>RANK(L2,$L$2:$L$16,0)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zoomScale="134" workbookViewId="0">
      <selection sqref="A1:XFD1048576"/>
    </sheetView>
  </sheetViews>
  <sheetFormatPr baseColWidth="10" defaultColWidth="8.83203125" defaultRowHeight="15"/>
  <cols>
    <col min="1" max="1" width="18" customWidth="1"/>
    <col min="2" max="2" width="30" customWidth="1"/>
    <col min="3" max="3" width="38" customWidth="1"/>
    <col min="4" max="7" width="9" customWidth="1"/>
    <col min="8" max="8" width="14.83203125" customWidth="1"/>
    <col min="9" max="12" width="14" customWidth="1"/>
    <col min="13" max="13" width="10" customWidth="1"/>
    <col min="14" max="14" width="8.83203125" style="20"/>
  </cols>
  <sheetData>
    <row r="1" spans="1:14" ht="1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28</v>
      </c>
      <c r="L1" s="8" t="s">
        <v>29</v>
      </c>
      <c r="M1" s="9" t="s">
        <v>30</v>
      </c>
      <c r="N1" s="18" t="s">
        <v>31</v>
      </c>
    </row>
    <row r="2" spans="1:14" ht="16">
      <c r="A2" s="12" t="s">
        <v>10</v>
      </c>
      <c r="B2" s="13" t="s">
        <v>35</v>
      </c>
      <c r="C2" s="13" t="s">
        <v>36</v>
      </c>
      <c r="D2" s="13">
        <v>271</v>
      </c>
      <c r="E2" s="13">
        <v>4</v>
      </c>
      <c r="F2" s="13">
        <v>2</v>
      </c>
      <c r="G2" s="13">
        <v>3523</v>
      </c>
      <c r="H2" s="14">
        <f t="shared" ref="H2:H16" si="0">IFERROR(D2/(D2+F2),0)</f>
        <v>0.9926739926739927</v>
      </c>
      <c r="I2" s="14">
        <f t="shared" ref="I2:I16" si="1">IFERROR(G2/(G2+E2),0)</f>
        <v>0.9988658916926566</v>
      </c>
      <c r="J2" s="14">
        <f t="shared" ref="J2:J16" si="2">IFERROR(D2/(D2+E2),0)</f>
        <v>0.98545454545454547</v>
      </c>
      <c r="K2" s="14">
        <f t="shared" ref="K2:K16" si="3">IFERROR(G2/(G2+F2),0)</f>
        <v>0.99943262411347522</v>
      </c>
      <c r="L2" s="14">
        <f t="shared" ref="L2:L16" si="4">IFERROR((D2+G2)/(D2+E2+F2+G2),0)</f>
        <v>0.99842105263157899</v>
      </c>
      <c r="M2" s="15">
        <f t="shared" ref="M2:M16" si="5">IFERROR((2*D2)/(2*D2+E2+F2),0)</f>
        <v>0.98905109489051091</v>
      </c>
      <c r="N2" s="21">
        <f t="shared" ref="N2:N16" si="6">RANK(M2,$M$2:$M$16,0)</f>
        <v>1</v>
      </c>
    </row>
    <row r="3" spans="1:14" ht="16">
      <c r="A3" s="1" t="s">
        <v>10</v>
      </c>
      <c r="B3" s="2" t="s">
        <v>37</v>
      </c>
      <c r="C3" s="2" t="s">
        <v>38</v>
      </c>
      <c r="D3" s="2">
        <v>273</v>
      </c>
      <c r="E3" s="2">
        <v>32</v>
      </c>
      <c r="F3" s="2">
        <v>0</v>
      </c>
      <c r="G3" s="2">
        <v>3495</v>
      </c>
      <c r="H3" s="10">
        <f t="shared" si="0"/>
        <v>1</v>
      </c>
      <c r="I3" s="10">
        <f t="shared" si="1"/>
        <v>0.99092713354125317</v>
      </c>
      <c r="J3" s="10">
        <f t="shared" si="2"/>
        <v>0.89508196721311473</v>
      </c>
      <c r="K3" s="10">
        <f t="shared" si="3"/>
        <v>1</v>
      </c>
      <c r="L3" s="10">
        <f t="shared" si="4"/>
        <v>0.991578947368421</v>
      </c>
      <c r="M3" s="16">
        <f t="shared" si="5"/>
        <v>0.94463667820069208</v>
      </c>
      <c r="N3" s="19">
        <f t="shared" si="6"/>
        <v>14</v>
      </c>
    </row>
    <row r="4" spans="1:14" ht="16">
      <c r="A4" s="1" t="s">
        <v>10</v>
      </c>
      <c r="B4" s="2" t="s">
        <v>39</v>
      </c>
      <c r="C4" s="2" t="s">
        <v>40</v>
      </c>
      <c r="D4" s="2">
        <v>267</v>
      </c>
      <c r="E4" s="2">
        <v>3</v>
      </c>
      <c r="F4" s="2">
        <v>6</v>
      </c>
      <c r="G4" s="2">
        <v>3524</v>
      </c>
      <c r="H4" s="10">
        <f t="shared" si="0"/>
        <v>0.97802197802197799</v>
      </c>
      <c r="I4" s="10">
        <f t="shared" si="1"/>
        <v>0.99914941876949248</v>
      </c>
      <c r="J4" s="10">
        <f t="shared" si="2"/>
        <v>0.98888888888888893</v>
      </c>
      <c r="K4" s="10">
        <f t="shared" si="3"/>
        <v>0.99830028328611897</v>
      </c>
      <c r="L4" s="10">
        <f t="shared" si="4"/>
        <v>0.99763157894736842</v>
      </c>
      <c r="M4" s="16">
        <f t="shared" si="5"/>
        <v>0.98342541436464093</v>
      </c>
      <c r="N4" s="19">
        <f t="shared" si="6"/>
        <v>5</v>
      </c>
    </row>
    <row r="5" spans="1:14" ht="16">
      <c r="A5" s="1" t="s">
        <v>10</v>
      </c>
      <c r="B5" s="2" t="s">
        <v>41</v>
      </c>
      <c r="C5" s="2" t="s">
        <v>42</v>
      </c>
      <c r="D5" s="2">
        <v>273</v>
      </c>
      <c r="E5" s="2">
        <v>21</v>
      </c>
      <c r="F5" s="2">
        <v>0</v>
      </c>
      <c r="G5" s="2">
        <v>3506</v>
      </c>
      <c r="H5" s="10">
        <f t="shared" si="0"/>
        <v>1</v>
      </c>
      <c r="I5" s="10">
        <f t="shared" si="1"/>
        <v>0.99404593138644737</v>
      </c>
      <c r="J5" s="10">
        <f t="shared" si="2"/>
        <v>0.9285714285714286</v>
      </c>
      <c r="K5" s="10">
        <f t="shared" si="3"/>
        <v>1</v>
      </c>
      <c r="L5" s="10">
        <f t="shared" si="4"/>
        <v>0.99447368421052629</v>
      </c>
      <c r="M5" s="16">
        <f t="shared" si="5"/>
        <v>0.96296296296296291</v>
      </c>
      <c r="N5" s="19">
        <f t="shared" si="6"/>
        <v>13</v>
      </c>
    </row>
    <row r="6" spans="1:14" ht="16">
      <c r="A6" s="1" t="s">
        <v>10</v>
      </c>
      <c r="B6" s="2" t="s">
        <v>43</v>
      </c>
      <c r="C6" s="2" t="s">
        <v>44</v>
      </c>
      <c r="D6" s="2">
        <v>266</v>
      </c>
      <c r="E6" s="2">
        <v>2</v>
      </c>
      <c r="F6" s="2">
        <v>7</v>
      </c>
      <c r="G6" s="2">
        <v>3525</v>
      </c>
      <c r="H6" s="10">
        <f t="shared" si="0"/>
        <v>0.97435897435897434</v>
      </c>
      <c r="I6" s="10">
        <f t="shared" si="1"/>
        <v>0.99943294584632836</v>
      </c>
      <c r="J6" s="10">
        <f t="shared" si="2"/>
        <v>0.9925373134328358</v>
      </c>
      <c r="K6" s="10">
        <f t="shared" si="3"/>
        <v>0.99801812004530011</v>
      </c>
      <c r="L6" s="10">
        <f t="shared" si="4"/>
        <v>0.99763157894736842</v>
      </c>
      <c r="M6" s="16">
        <f t="shared" si="5"/>
        <v>0.98336414048059151</v>
      </c>
      <c r="N6" s="19">
        <f t="shared" si="6"/>
        <v>6</v>
      </c>
    </row>
    <row r="7" spans="1:14" ht="16">
      <c r="A7" s="1" t="s">
        <v>10</v>
      </c>
      <c r="B7" s="2" t="s">
        <v>45</v>
      </c>
      <c r="C7" s="2" t="s">
        <v>46</v>
      </c>
      <c r="D7" s="2">
        <v>273</v>
      </c>
      <c r="E7" s="2">
        <v>14</v>
      </c>
      <c r="F7" s="2">
        <v>0</v>
      </c>
      <c r="G7" s="2">
        <v>3513</v>
      </c>
      <c r="H7" s="10">
        <f t="shared" si="0"/>
        <v>1</v>
      </c>
      <c r="I7" s="10">
        <f t="shared" si="1"/>
        <v>0.99603062092429828</v>
      </c>
      <c r="J7" s="10">
        <f t="shared" si="2"/>
        <v>0.95121951219512191</v>
      </c>
      <c r="K7" s="10">
        <f t="shared" si="3"/>
        <v>1</v>
      </c>
      <c r="L7" s="10">
        <f t="shared" si="4"/>
        <v>0.99631578947368427</v>
      </c>
      <c r="M7" s="16">
        <f t="shared" si="5"/>
        <v>0.97499999999999998</v>
      </c>
      <c r="N7" s="19">
        <f t="shared" si="6"/>
        <v>9</v>
      </c>
    </row>
    <row r="8" spans="1:14" ht="16">
      <c r="A8" s="1" t="s">
        <v>10</v>
      </c>
      <c r="B8" s="2" t="s">
        <v>47</v>
      </c>
      <c r="C8" s="2" t="s">
        <v>48</v>
      </c>
      <c r="D8" s="2">
        <v>265</v>
      </c>
      <c r="E8" s="2">
        <v>2</v>
      </c>
      <c r="F8" s="2">
        <v>8</v>
      </c>
      <c r="G8" s="2">
        <v>3525</v>
      </c>
      <c r="H8" s="10">
        <f t="shared" si="0"/>
        <v>0.97069597069597069</v>
      </c>
      <c r="I8" s="10">
        <f t="shared" si="1"/>
        <v>0.99943294584632836</v>
      </c>
      <c r="J8" s="10">
        <f t="shared" si="2"/>
        <v>0.99250936329588013</v>
      </c>
      <c r="K8" s="10">
        <f t="shared" si="3"/>
        <v>0.99773563543730537</v>
      </c>
      <c r="L8" s="10">
        <f t="shared" si="4"/>
        <v>0.99736842105263157</v>
      </c>
      <c r="M8" s="16">
        <f t="shared" si="5"/>
        <v>0.98148148148148151</v>
      </c>
      <c r="N8" s="19">
        <f t="shared" si="6"/>
        <v>7</v>
      </c>
    </row>
    <row r="9" spans="1:14" ht="16">
      <c r="A9" s="1" t="s">
        <v>10</v>
      </c>
      <c r="B9" s="2" t="s">
        <v>49</v>
      </c>
      <c r="C9" s="2" t="s">
        <v>50</v>
      </c>
      <c r="D9" s="2">
        <v>273</v>
      </c>
      <c r="E9" s="2">
        <v>9</v>
      </c>
      <c r="F9" s="2">
        <v>0</v>
      </c>
      <c r="G9" s="2">
        <v>3518</v>
      </c>
      <c r="H9" s="10">
        <f t="shared" si="0"/>
        <v>1</v>
      </c>
      <c r="I9" s="10">
        <f t="shared" si="1"/>
        <v>0.99744825630847744</v>
      </c>
      <c r="J9" s="10">
        <f t="shared" si="2"/>
        <v>0.96808510638297873</v>
      </c>
      <c r="K9" s="10">
        <f t="shared" si="3"/>
        <v>1</v>
      </c>
      <c r="L9" s="10">
        <f t="shared" si="4"/>
        <v>0.99763157894736842</v>
      </c>
      <c r="M9" s="16">
        <f t="shared" si="5"/>
        <v>0.98378378378378384</v>
      </c>
      <c r="N9" s="19">
        <f t="shared" si="6"/>
        <v>4</v>
      </c>
    </row>
    <row r="10" spans="1:14" ht="16">
      <c r="A10" s="1" t="s">
        <v>10</v>
      </c>
      <c r="B10" s="2" t="s">
        <v>51</v>
      </c>
      <c r="C10" s="2" t="s">
        <v>52</v>
      </c>
      <c r="D10" s="2">
        <v>264</v>
      </c>
      <c r="E10" s="2">
        <v>2</v>
      </c>
      <c r="F10" s="2">
        <v>9</v>
      </c>
      <c r="G10" s="2">
        <v>3525</v>
      </c>
      <c r="H10" s="10">
        <f t="shared" si="0"/>
        <v>0.96703296703296704</v>
      </c>
      <c r="I10" s="10">
        <f t="shared" si="1"/>
        <v>0.99943294584632836</v>
      </c>
      <c r="J10" s="10">
        <f t="shared" si="2"/>
        <v>0.99248120300751874</v>
      </c>
      <c r="K10" s="10">
        <f t="shared" si="3"/>
        <v>0.99745331069609511</v>
      </c>
      <c r="L10" s="10">
        <f t="shared" si="4"/>
        <v>0.99710526315789472</v>
      </c>
      <c r="M10" s="16">
        <f t="shared" si="5"/>
        <v>0.97959183673469385</v>
      </c>
      <c r="N10" s="19">
        <f t="shared" si="6"/>
        <v>8</v>
      </c>
    </row>
    <row r="11" spans="1:14" ht="16">
      <c r="A11" s="1" t="s">
        <v>10</v>
      </c>
      <c r="B11" s="2" t="s">
        <v>53</v>
      </c>
      <c r="C11" s="2" t="s">
        <v>54</v>
      </c>
      <c r="D11" s="2">
        <v>273</v>
      </c>
      <c r="E11" s="2">
        <v>8</v>
      </c>
      <c r="F11" s="2">
        <v>0</v>
      </c>
      <c r="G11" s="2">
        <v>3519</v>
      </c>
      <c r="H11" s="10">
        <f t="shared" si="0"/>
        <v>1</v>
      </c>
      <c r="I11" s="10">
        <f t="shared" si="1"/>
        <v>0.99773178338531332</v>
      </c>
      <c r="J11" s="10">
        <f t="shared" si="2"/>
        <v>0.97153024911032027</v>
      </c>
      <c r="K11" s="10">
        <f t="shared" si="3"/>
        <v>1</v>
      </c>
      <c r="L11" s="10">
        <f t="shared" si="4"/>
        <v>0.99789473684210528</v>
      </c>
      <c r="M11" s="16">
        <f t="shared" si="5"/>
        <v>0.98555956678700363</v>
      </c>
      <c r="N11" s="19">
        <f t="shared" si="6"/>
        <v>2</v>
      </c>
    </row>
    <row r="12" spans="1:14" ht="16">
      <c r="A12" s="1" t="s">
        <v>10</v>
      </c>
      <c r="B12" s="2" t="s">
        <v>55</v>
      </c>
      <c r="C12" s="2" t="s">
        <v>56</v>
      </c>
      <c r="D12" s="2">
        <v>261</v>
      </c>
      <c r="E12" s="2">
        <v>2</v>
      </c>
      <c r="F12" s="2">
        <v>12</v>
      </c>
      <c r="G12" s="2">
        <v>3525</v>
      </c>
      <c r="H12" s="10">
        <f t="shared" si="0"/>
        <v>0.95604395604395609</v>
      </c>
      <c r="I12" s="10">
        <f t="shared" si="1"/>
        <v>0.99943294584632836</v>
      </c>
      <c r="J12" s="10">
        <f t="shared" si="2"/>
        <v>0.99239543726235746</v>
      </c>
      <c r="K12" s="10">
        <f t="shared" si="3"/>
        <v>0.99660729431721795</v>
      </c>
      <c r="L12" s="10">
        <f t="shared" si="4"/>
        <v>0.99631578947368427</v>
      </c>
      <c r="M12" s="16">
        <f t="shared" si="5"/>
        <v>0.97388059701492535</v>
      </c>
      <c r="N12" s="19">
        <f t="shared" si="6"/>
        <v>10</v>
      </c>
    </row>
    <row r="13" spans="1:14" ht="16">
      <c r="A13" s="1" t="s">
        <v>10</v>
      </c>
      <c r="B13" s="2" t="s">
        <v>57</v>
      </c>
      <c r="C13" s="2" t="s">
        <v>58</v>
      </c>
      <c r="D13" s="2">
        <v>272</v>
      </c>
      <c r="E13" s="2">
        <v>7</v>
      </c>
      <c r="F13" s="2">
        <v>1</v>
      </c>
      <c r="G13" s="2">
        <v>3520</v>
      </c>
      <c r="H13" s="10">
        <f t="shared" si="0"/>
        <v>0.99633699633699635</v>
      </c>
      <c r="I13" s="10">
        <f t="shared" si="1"/>
        <v>0.99801531046214909</v>
      </c>
      <c r="J13" s="10">
        <f t="shared" si="2"/>
        <v>0.97491039426523296</v>
      </c>
      <c r="K13" s="10">
        <f t="shared" si="3"/>
        <v>0.99971598977563192</v>
      </c>
      <c r="L13" s="10">
        <f t="shared" si="4"/>
        <v>0.99789473684210528</v>
      </c>
      <c r="M13" s="16">
        <f t="shared" si="5"/>
        <v>0.98550724637681164</v>
      </c>
      <c r="N13" s="19">
        <f t="shared" si="6"/>
        <v>3</v>
      </c>
    </row>
    <row r="14" spans="1:14" ht="32">
      <c r="A14" s="1" t="s">
        <v>11</v>
      </c>
      <c r="B14" s="2" t="s">
        <v>59</v>
      </c>
      <c r="C14" s="2" t="s">
        <v>12</v>
      </c>
      <c r="D14" s="2">
        <v>259</v>
      </c>
      <c r="E14" s="2">
        <v>101</v>
      </c>
      <c r="F14" s="2">
        <v>14</v>
      </c>
      <c r="G14" s="2">
        <v>3426</v>
      </c>
      <c r="H14" s="10">
        <f t="shared" si="0"/>
        <v>0.94871794871794868</v>
      </c>
      <c r="I14" s="10">
        <f t="shared" si="1"/>
        <v>0.97136376523958035</v>
      </c>
      <c r="J14" s="10">
        <f t="shared" si="2"/>
        <v>0.71944444444444444</v>
      </c>
      <c r="K14" s="10">
        <f t="shared" si="3"/>
        <v>0.99593023255813951</v>
      </c>
      <c r="L14" s="10">
        <f t="shared" si="4"/>
        <v>0.96973684210526312</v>
      </c>
      <c r="M14" s="16">
        <f t="shared" si="5"/>
        <v>0.81832543443917849</v>
      </c>
      <c r="N14" s="19">
        <f t="shared" si="6"/>
        <v>15</v>
      </c>
    </row>
    <row r="15" spans="1:14" ht="16">
      <c r="A15" s="1" t="s">
        <v>13</v>
      </c>
      <c r="B15" s="2" t="s">
        <v>33</v>
      </c>
      <c r="C15" s="2" t="s">
        <v>14</v>
      </c>
      <c r="D15" s="2">
        <v>268</v>
      </c>
      <c r="E15" s="2">
        <v>12</v>
      </c>
      <c r="F15" s="2">
        <v>5</v>
      </c>
      <c r="G15" s="2">
        <v>3515</v>
      </c>
      <c r="H15" s="10">
        <f t="shared" si="0"/>
        <v>0.98168498168498164</v>
      </c>
      <c r="I15" s="10">
        <f t="shared" si="1"/>
        <v>0.99659767507796992</v>
      </c>
      <c r="J15" s="10">
        <f t="shared" si="2"/>
        <v>0.95714285714285718</v>
      </c>
      <c r="K15" s="10">
        <f t="shared" si="3"/>
        <v>0.99857954545454541</v>
      </c>
      <c r="L15" s="10">
        <f t="shared" si="4"/>
        <v>0.9955263157894737</v>
      </c>
      <c r="M15" s="16">
        <f t="shared" si="5"/>
        <v>0.96925858951175403</v>
      </c>
      <c r="N15" s="19">
        <f t="shared" si="6"/>
        <v>11</v>
      </c>
    </row>
    <row r="16" spans="1:14" ht="16">
      <c r="A16" s="4" t="s">
        <v>15</v>
      </c>
      <c r="B16" s="5" t="s">
        <v>34</v>
      </c>
      <c r="C16" s="5" t="s">
        <v>16</v>
      </c>
      <c r="D16" s="5">
        <v>256</v>
      </c>
      <c r="E16" s="5">
        <v>2</v>
      </c>
      <c r="F16" s="5">
        <v>17</v>
      </c>
      <c r="G16" s="5">
        <v>3525</v>
      </c>
      <c r="H16" s="11">
        <f t="shared" si="0"/>
        <v>0.93772893772893773</v>
      </c>
      <c r="I16" s="11">
        <f t="shared" si="1"/>
        <v>0.99943294584632836</v>
      </c>
      <c r="J16" s="11">
        <f t="shared" si="2"/>
        <v>0.99224806201550386</v>
      </c>
      <c r="K16" s="11">
        <f t="shared" si="3"/>
        <v>0.99520045172219085</v>
      </c>
      <c r="L16" s="11">
        <f t="shared" si="4"/>
        <v>0.995</v>
      </c>
      <c r="M16" s="17">
        <f t="shared" si="5"/>
        <v>0.96421845574387943</v>
      </c>
      <c r="N16" s="19">
        <f t="shared" si="6"/>
        <v>12</v>
      </c>
    </row>
  </sheetData>
  <conditionalFormatting sqref="H2:H1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2:J1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2:K16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2:M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C28A-374C-E94B-AAEF-D31D14C9B905}">
  <dimension ref="A1:M16"/>
  <sheetViews>
    <sheetView tabSelected="1" workbookViewId="0">
      <selection activeCell="E22" sqref="E22"/>
    </sheetView>
  </sheetViews>
  <sheetFormatPr baseColWidth="10" defaultColWidth="8.83203125" defaultRowHeight="15"/>
  <cols>
    <col min="1" max="1" width="18" customWidth="1"/>
    <col min="2" max="2" width="30" customWidth="1"/>
    <col min="3" max="6" width="9" customWidth="1"/>
    <col min="7" max="7" width="14.83203125" customWidth="1"/>
    <col min="8" max="11" width="14" customWidth="1"/>
    <col min="12" max="12" width="10" customWidth="1"/>
    <col min="13" max="13" width="8.83203125" style="20"/>
  </cols>
  <sheetData>
    <row r="1" spans="1:13" ht="16">
      <c r="A1" s="7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28</v>
      </c>
      <c r="K1" s="8" t="s">
        <v>29</v>
      </c>
      <c r="L1" s="9" t="s">
        <v>30</v>
      </c>
      <c r="M1" s="18" t="s">
        <v>31</v>
      </c>
    </row>
    <row r="2" spans="1:13" ht="16">
      <c r="A2" s="12" t="s">
        <v>10</v>
      </c>
      <c r="B2" s="13" t="s">
        <v>35</v>
      </c>
      <c r="C2" s="13">
        <v>271</v>
      </c>
      <c r="D2" s="13">
        <v>4</v>
      </c>
      <c r="E2" s="13">
        <v>2</v>
      </c>
      <c r="F2" s="13">
        <v>3523</v>
      </c>
      <c r="G2" s="14">
        <f t="shared" ref="G2:G16" si="0">IFERROR(C2/(C2+E2),0)</f>
        <v>0.9926739926739927</v>
      </c>
      <c r="H2" s="14">
        <f t="shared" ref="H2:H16" si="1">IFERROR(F2/(F2+D2),0)</f>
        <v>0.9988658916926566</v>
      </c>
      <c r="I2" s="14">
        <f t="shared" ref="I2:I16" si="2">IFERROR(C2/(C2+D2),0)</f>
        <v>0.98545454545454547</v>
      </c>
      <c r="J2" s="14">
        <f t="shared" ref="J2:J16" si="3">IFERROR(F2/(F2+E2),0)</f>
        <v>0.99943262411347522</v>
      </c>
      <c r="K2" s="14">
        <f t="shared" ref="K2:K16" si="4">IFERROR((C2+F2)/(C2+D2+E2+F2),0)</f>
        <v>0.99842105263157899</v>
      </c>
      <c r="L2" s="15">
        <f t="shared" ref="L2:L16" si="5">IFERROR((2*C2)/(2*C2+D2+E2),0)</f>
        <v>0.98905109489051091</v>
      </c>
      <c r="M2" s="21">
        <f t="shared" ref="M2:M16" si="6">RANK(L2,$L$2:$L$16,0)</f>
        <v>1</v>
      </c>
    </row>
    <row r="3" spans="1:13" ht="16">
      <c r="A3" s="1" t="s">
        <v>10</v>
      </c>
      <c r="B3" s="2" t="s">
        <v>37</v>
      </c>
      <c r="C3" s="2">
        <v>273</v>
      </c>
      <c r="D3" s="2">
        <v>32</v>
      </c>
      <c r="E3" s="2">
        <v>0</v>
      </c>
      <c r="F3" s="2">
        <v>3495</v>
      </c>
      <c r="G3" s="10">
        <f t="shared" si="0"/>
        <v>1</v>
      </c>
      <c r="H3" s="10">
        <f t="shared" si="1"/>
        <v>0.99092713354125317</v>
      </c>
      <c r="I3" s="10">
        <f t="shared" si="2"/>
        <v>0.89508196721311473</v>
      </c>
      <c r="J3" s="10">
        <f t="shared" si="3"/>
        <v>1</v>
      </c>
      <c r="K3" s="10">
        <f t="shared" si="4"/>
        <v>0.991578947368421</v>
      </c>
      <c r="L3" s="16">
        <f t="shared" si="5"/>
        <v>0.94463667820069208</v>
      </c>
      <c r="M3" s="19">
        <f t="shared" si="6"/>
        <v>14</v>
      </c>
    </row>
    <row r="4" spans="1:13" ht="16">
      <c r="A4" s="1" t="s">
        <v>10</v>
      </c>
      <c r="B4" s="2" t="s">
        <v>39</v>
      </c>
      <c r="C4" s="2">
        <v>267</v>
      </c>
      <c r="D4" s="2">
        <v>3</v>
      </c>
      <c r="E4" s="2">
        <v>6</v>
      </c>
      <c r="F4" s="2">
        <v>3524</v>
      </c>
      <c r="G4" s="10">
        <f t="shared" si="0"/>
        <v>0.97802197802197799</v>
      </c>
      <c r="H4" s="10">
        <f t="shared" si="1"/>
        <v>0.99914941876949248</v>
      </c>
      <c r="I4" s="10">
        <f t="shared" si="2"/>
        <v>0.98888888888888893</v>
      </c>
      <c r="J4" s="10">
        <f t="shared" si="3"/>
        <v>0.99830028328611897</v>
      </c>
      <c r="K4" s="10">
        <f t="shared" si="4"/>
        <v>0.99763157894736842</v>
      </c>
      <c r="L4" s="16">
        <f t="shared" si="5"/>
        <v>0.98342541436464093</v>
      </c>
      <c r="M4" s="19">
        <f t="shared" si="6"/>
        <v>5</v>
      </c>
    </row>
    <row r="5" spans="1:13" ht="16">
      <c r="A5" s="1" t="s">
        <v>10</v>
      </c>
      <c r="B5" s="2" t="s">
        <v>41</v>
      </c>
      <c r="C5" s="2">
        <v>273</v>
      </c>
      <c r="D5" s="2">
        <v>21</v>
      </c>
      <c r="E5" s="2">
        <v>0</v>
      </c>
      <c r="F5" s="2">
        <v>3506</v>
      </c>
      <c r="G5" s="10">
        <f t="shared" si="0"/>
        <v>1</v>
      </c>
      <c r="H5" s="10">
        <f t="shared" si="1"/>
        <v>0.99404593138644737</v>
      </c>
      <c r="I5" s="10">
        <f t="shared" si="2"/>
        <v>0.9285714285714286</v>
      </c>
      <c r="J5" s="10">
        <f t="shared" si="3"/>
        <v>1</v>
      </c>
      <c r="K5" s="10">
        <f t="shared" si="4"/>
        <v>0.99447368421052629</v>
      </c>
      <c r="L5" s="16">
        <f t="shared" si="5"/>
        <v>0.96296296296296291</v>
      </c>
      <c r="M5" s="19">
        <f t="shared" si="6"/>
        <v>13</v>
      </c>
    </row>
    <row r="6" spans="1:13" ht="16">
      <c r="A6" s="1" t="s">
        <v>10</v>
      </c>
      <c r="B6" s="2" t="s">
        <v>43</v>
      </c>
      <c r="C6" s="2">
        <v>266</v>
      </c>
      <c r="D6" s="2">
        <v>2</v>
      </c>
      <c r="E6" s="2">
        <v>7</v>
      </c>
      <c r="F6" s="2">
        <v>3525</v>
      </c>
      <c r="G6" s="10">
        <f t="shared" si="0"/>
        <v>0.97435897435897434</v>
      </c>
      <c r="H6" s="10">
        <f t="shared" si="1"/>
        <v>0.99943294584632836</v>
      </c>
      <c r="I6" s="10">
        <f t="shared" si="2"/>
        <v>0.9925373134328358</v>
      </c>
      <c r="J6" s="10">
        <f t="shared" si="3"/>
        <v>0.99801812004530011</v>
      </c>
      <c r="K6" s="10">
        <f t="shared" si="4"/>
        <v>0.99763157894736842</v>
      </c>
      <c r="L6" s="16">
        <f t="shared" si="5"/>
        <v>0.98336414048059151</v>
      </c>
      <c r="M6" s="19">
        <f t="shared" si="6"/>
        <v>6</v>
      </c>
    </row>
    <row r="7" spans="1:13" ht="16">
      <c r="A7" s="1" t="s">
        <v>10</v>
      </c>
      <c r="B7" s="2" t="s">
        <v>45</v>
      </c>
      <c r="C7" s="2">
        <v>273</v>
      </c>
      <c r="D7" s="2">
        <v>14</v>
      </c>
      <c r="E7" s="2">
        <v>0</v>
      </c>
      <c r="F7" s="2">
        <v>3513</v>
      </c>
      <c r="G7" s="10">
        <f t="shared" si="0"/>
        <v>1</v>
      </c>
      <c r="H7" s="10">
        <f t="shared" si="1"/>
        <v>0.99603062092429828</v>
      </c>
      <c r="I7" s="10">
        <f t="shared" si="2"/>
        <v>0.95121951219512191</v>
      </c>
      <c r="J7" s="10">
        <f t="shared" si="3"/>
        <v>1</v>
      </c>
      <c r="K7" s="10">
        <f t="shared" si="4"/>
        <v>0.99631578947368427</v>
      </c>
      <c r="L7" s="16">
        <f t="shared" si="5"/>
        <v>0.97499999999999998</v>
      </c>
      <c r="M7" s="19">
        <f t="shared" si="6"/>
        <v>9</v>
      </c>
    </row>
    <row r="8" spans="1:13" ht="16">
      <c r="A8" s="1" t="s">
        <v>10</v>
      </c>
      <c r="B8" s="2" t="s">
        <v>47</v>
      </c>
      <c r="C8" s="2">
        <v>265</v>
      </c>
      <c r="D8" s="2">
        <v>2</v>
      </c>
      <c r="E8" s="2">
        <v>8</v>
      </c>
      <c r="F8" s="2">
        <v>3525</v>
      </c>
      <c r="G8" s="10">
        <f t="shared" si="0"/>
        <v>0.97069597069597069</v>
      </c>
      <c r="H8" s="10">
        <f t="shared" si="1"/>
        <v>0.99943294584632836</v>
      </c>
      <c r="I8" s="10">
        <f t="shared" si="2"/>
        <v>0.99250936329588013</v>
      </c>
      <c r="J8" s="10">
        <f t="shared" si="3"/>
        <v>0.99773563543730537</v>
      </c>
      <c r="K8" s="10">
        <f t="shared" si="4"/>
        <v>0.99736842105263157</v>
      </c>
      <c r="L8" s="16">
        <f t="shared" si="5"/>
        <v>0.98148148148148151</v>
      </c>
      <c r="M8" s="19">
        <f t="shared" si="6"/>
        <v>7</v>
      </c>
    </row>
    <row r="9" spans="1:13" ht="16">
      <c r="A9" s="1" t="s">
        <v>10</v>
      </c>
      <c r="B9" s="2" t="s">
        <v>49</v>
      </c>
      <c r="C9" s="2">
        <v>273</v>
      </c>
      <c r="D9" s="2">
        <v>9</v>
      </c>
      <c r="E9" s="2">
        <v>0</v>
      </c>
      <c r="F9" s="2">
        <v>3518</v>
      </c>
      <c r="G9" s="10">
        <f t="shared" si="0"/>
        <v>1</v>
      </c>
      <c r="H9" s="10">
        <f t="shared" si="1"/>
        <v>0.99744825630847744</v>
      </c>
      <c r="I9" s="10">
        <f t="shared" si="2"/>
        <v>0.96808510638297873</v>
      </c>
      <c r="J9" s="10">
        <f t="shared" si="3"/>
        <v>1</v>
      </c>
      <c r="K9" s="10">
        <f t="shared" si="4"/>
        <v>0.99763157894736842</v>
      </c>
      <c r="L9" s="16">
        <f t="shared" si="5"/>
        <v>0.98378378378378384</v>
      </c>
      <c r="M9" s="19">
        <f t="shared" si="6"/>
        <v>4</v>
      </c>
    </row>
    <row r="10" spans="1:13" ht="16">
      <c r="A10" s="1" t="s">
        <v>10</v>
      </c>
      <c r="B10" s="2" t="s">
        <v>51</v>
      </c>
      <c r="C10" s="2">
        <v>264</v>
      </c>
      <c r="D10" s="2">
        <v>2</v>
      </c>
      <c r="E10" s="2">
        <v>9</v>
      </c>
      <c r="F10" s="2">
        <v>3525</v>
      </c>
      <c r="G10" s="10">
        <f t="shared" si="0"/>
        <v>0.96703296703296704</v>
      </c>
      <c r="H10" s="10">
        <f t="shared" si="1"/>
        <v>0.99943294584632836</v>
      </c>
      <c r="I10" s="10">
        <f t="shared" si="2"/>
        <v>0.99248120300751874</v>
      </c>
      <c r="J10" s="10">
        <f t="shared" si="3"/>
        <v>0.99745331069609511</v>
      </c>
      <c r="K10" s="10">
        <f t="shared" si="4"/>
        <v>0.99710526315789472</v>
      </c>
      <c r="L10" s="16">
        <f t="shared" si="5"/>
        <v>0.97959183673469385</v>
      </c>
      <c r="M10" s="19">
        <f t="shared" si="6"/>
        <v>8</v>
      </c>
    </row>
    <row r="11" spans="1:13" ht="16">
      <c r="A11" s="1" t="s">
        <v>10</v>
      </c>
      <c r="B11" s="2" t="s">
        <v>53</v>
      </c>
      <c r="C11" s="2">
        <v>273</v>
      </c>
      <c r="D11" s="2">
        <v>8</v>
      </c>
      <c r="E11" s="2">
        <v>0</v>
      </c>
      <c r="F11" s="2">
        <v>3519</v>
      </c>
      <c r="G11" s="10">
        <f t="shared" si="0"/>
        <v>1</v>
      </c>
      <c r="H11" s="10">
        <f t="shared" si="1"/>
        <v>0.99773178338531332</v>
      </c>
      <c r="I11" s="10">
        <f t="shared" si="2"/>
        <v>0.97153024911032027</v>
      </c>
      <c r="J11" s="10">
        <f t="shared" si="3"/>
        <v>1</v>
      </c>
      <c r="K11" s="10">
        <f t="shared" si="4"/>
        <v>0.99789473684210528</v>
      </c>
      <c r="L11" s="16">
        <f t="shared" si="5"/>
        <v>0.98555956678700363</v>
      </c>
      <c r="M11" s="19">
        <f t="shared" si="6"/>
        <v>2</v>
      </c>
    </row>
    <row r="12" spans="1:13" ht="16">
      <c r="A12" s="1" t="s">
        <v>10</v>
      </c>
      <c r="B12" s="2" t="s">
        <v>55</v>
      </c>
      <c r="C12" s="2">
        <v>261</v>
      </c>
      <c r="D12" s="2">
        <v>2</v>
      </c>
      <c r="E12" s="2">
        <v>12</v>
      </c>
      <c r="F12" s="2">
        <v>3525</v>
      </c>
      <c r="G12" s="10">
        <f t="shared" si="0"/>
        <v>0.95604395604395609</v>
      </c>
      <c r="H12" s="10">
        <f t="shared" si="1"/>
        <v>0.99943294584632836</v>
      </c>
      <c r="I12" s="10">
        <f t="shared" si="2"/>
        <v>0.99239543726235746</v>
      </c>
      <c r="J12" s="10">
        <f t="shared" si="3"/>
        <v>0.99660729431721795</v>
      </c>
      <c r="K12" s="10">
        <f t="shared" si="4"/>
        <v>0.99631578947368427</v>
      </c>
      <c r="L12" s="16">
        <f t="shared" si="5"/>
        <v>0.97388059701492535</v>
      </c>
      <c r="M12" s="19">
        <f t="shared" si="6"/>
        <v>10</v>
      </c>
    </row>
    <row r="13" spans="1:13" ht="16">
      <c r="A13" s="1" t="s">
        <v>10</v>
      </c>
      <c r="B13" s="2" t="s">
        <v>57</v>
      </c>
      <c r="C13" s="2">
        <v>272</v>
      </c>
      <c r="D13" s="2">
        <v>7</v>
      </c>
      <c r="E13" s="2">
        <v>1</v>
      </c>
      <c r="F13" s="2">
        <v>3520</v>
      </c>
      <c r="G13" s="10">
        <f t="shared" si="0"/>
        <v>0.99633699633699635</v>
      </c>
      <c r="H13" s="10">
        <f t="shared" si="1"/>
        <v>0.99801531046214909</v>
      </c>
      <c r="I13" s="10">
        <f t="shared" si="2"/>
        <v>0.97491039426523296</v>
      </c>
      <c r="J13" s="10">
        <f t="shared" si="3"/>
        <v>0.99971598977563192</v>
      </c>
      <c r="K13" s="10">
        <f t="shared" si="4"/>
        <v>0.99789473684210528</v>
      </c>
      <c r="L13" s="16">
        <f t="shared" si="5"/>
        <v>0.98550724637681164</v>
      </c>
      <c r="M13" s="19">
        <f t="shared" si="6"/>
        <v>3</v>
      </c>
    </row>
    <row r="14" spans="1:13" ht="16">
      <c r="A14" s="1" t="s">
        <v>11</v>
      </c>
      <c r="B14" s="2" t="s">
        <v>59</v>
      </c>
      <c r="C14" s="2">
        <v>259</v>
      </c>
      <c r="D14" s="2">
        <v>101</v>
      </c>
      <c r="E14" s="2">
        <v>14</v>
      </c>
      <c r="F14" s="2">
        <v>3426</v>
      </c>
      <c r="G14" s="10">
        <f t="shared" si="0"/>
        <v>0.94871794871794868</v>
      </c>
      <c r="H14" s="10">
        <f t="shared" si="1"/>
        <v>0.97136376523958035</v>
      </c>
      <c r="I14" s="10">
        <f t="shared" si="2"/>
        <v>0.71944444444444444</v>
      </c>
      <c r="J14" s="10">
        <f t="shared" si="3"/>
        <v>0.99593023255813951</v>
      </c>
      <c r="K14" s="10">
        <f t="shared" si="4"/>
        <v>0.96973684210526312</v>
      </c>
      <c r="L14" s="16">
        <f t="shared" si="5"/>
        <v>0.81832543443917849</v>
      </c>
      <c r="M14" s="19">
        <f t="shared" si="6"/>
        <v>15</v>
      </c>
    </row>
    <row r="15" spans="1:13" ht="16">
      <c r="A15" s="1" t="s">
        <v>13</v>
      </c>
      <c r="B15" s="2" t="s">
        <v>33</v>
      </c>
      <c r="C15" s="2">
        <v>268</v>
      </c>
      <c r="D15" s="2">
        <v>12</v>
      </c>
      <c r="E15" s="2">
        <v>5</v>
      </c>
      <c r="F15" s="2">
        <v>3515</v>
      </c>
      <c r="G15" s="10">
        <f t="shared" si="0"/>
        <v>0.98168498168498164</v>
      </c>
      <c r="H15" s="10">
        <f t="shared" si="1"/>
        <v>0.99659767507796992</v>
      </c>
      <c r="I15" s="10">
        <f t="shared" si="2"/>
        <v>0.95714285714285718</v>
      </c>
      <c r="J15" s="10">
        <f t="shared" si="3"/>
        <v>0.99857954545454541</v>
      </c>
      <c r="K15" s="10">
        <f t="shared" si="4"/>
        <v>0.9955263157894737</v>
      </c>
      <c r="L15" s="16">
        <f t="shared" si="5"/>
        <v>0.96925858951175403</v>
      </c>
      <c r="M15" s="19">
        <f t="shared" si="6"/>
        <v>11</v>
      </c>
    </row>
    <row r="16" spans="1:13" ht="16">
      <c r="A16" s="4" t="s">
        <v>15</v>
      </c>
      <c r="B16" s="5" t="s">
        <v>34</v>
      </c>
      <c r="C16" s="5">
        <v>256</v>
      </c>
      <c r="D16" s="5">
        <v>2</v>
      </c>
      <c r="E16" s="5">
        <v>17</v>
      </c>
      <c r="F16" s="5">
        <v>3525</v>
      </c>
      <c r="G16" s="11">
        <f t="shared" si="0"/>
        <v>0.93772893772893773</v>
      </c>
      <c r="H16" s="11">
        <f t="shared" si="1"/>
        <v>0.99943294584632836</v>
      </c>
      <c r="I16" s="11">
        <f t="shared" si="2"/>
        <v>0.99224806201550386</v>
      </c>
      <c r="J16" s="11">
        <f t="shared" si="3"/>
        <v>0.99520045172219085</v>
      </c>
      <c r="K16" s="11">
        <f t="shared" si="4"/>
        <v>0.995</v>
      </c>
      <c r="L16" s="17">
        <f t="shared" si="5"/>
        <v>0.96421845574387943</v>
      </c>
      <c r="M16" s="19">
        <f t="shared" si="6"/>
        <v>12</v>
      </c>
    </row>
  </sheetData>
  <conditionalFormatting sqref="G2:G1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2:H16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2:J16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4" customWidth="1"/>
    <col min="2" max="2" width="85" customWidth="1"/>
  </cols>
  <sheetData>
    <row r="1" spans="1:2" ht="16">
      <c r="A1" s="7" t="s">
        <v>17</v>
      </c>
      <c r="B1" s="9" t="s">
        <v>18</v>
      </c>
    </row>
    <row r="2" spans="1:2" ht="16">
      <c r="A2" s="1" t="s">
        <v>19</v>
      </c>
      <c r="B2" s="3" t="s">
        <v>20</v>
      </c>
    </row>
    <row r="3" spans="1:2" ht="16">
      <c r="A3" s="1" t="s">
        <v>10</v>
      </c>
      <c r="B3" s="3" t="s">
        <v>21</v>
      </c>
    </row>
    <row r="4" spans="1:2" ht="16">
      <c r="A4" s="1" t="s">
        <v>22</v>
      </c>
      <c r="B4" s="3" t="s">
        <v>23</v>
      </c>
    </row>
    <row r="5" spans="1:2" ht="16">
      <c r="A5" s="1" t="s">
        <v>11</v>
      </c>
      <c r="B5" s="3" t="s">
        <v>24</v>
      </c>
    </row>
    <row r="6" spans="1:2" ht="16">
      <c r="A6" s="1" t="s">
        <v>13</v>
      </c>
      <c r="B6" s="3" t="s">
        <v>25</v>
      </c>
    </row>
    <row r="7" spans="1:2" ht="16">
      <c r="A7" s="1" t="s">
        <v>15</v>
      </c>
      <c r="B7" s="3" t="s">
        <v>26</v>
      </c>
    </row>
    <row r="8" spans="1:2" ht="32">
      <c r="A8" s="4" t="s">
        <v>27</v>
      </c>
      <c r="B8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All_Metrics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Shubair</cp:lastModifiedBy>
  <dcterms:created xsi:type="dcterms:W3CDTF">2026-07-15T18:38:39Z</dcterms:created>
  <dcterms:modified xsi:type="dcterms:W3CDTF">2026-07-15T18:52:18Z</dcterms:modified>
</cp:coreProperties>
</file>